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ttom\Desktop\Ohjelmointi\"/>
    </mc:Choice>
  </mc:AlternateContent>
  <xr:revisionPtr revIDLastSave="0" documentId="13_ncr:1_{CA4DDC9D-12BE-4D77-B273-6FCB381996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CF" sheetId="7" r:id="rId1"/>
    <sheet name="Overview" sheetId="1" r:id="rId2"/>
    <sheet name="Capital structure" sheetId="6" r:id="rId3"/>
    <sheet name="Monte Carlo" sheetId="8" r:id="rId4"/>
    <sheet name="Tuloslaskelma" sheetId="2" r:id="rId5"/>
    <sheet name="Tase" sheetId="3" r:id="rId6"/>
    <sheet name="Rahavirtalaskelma" sheetId="4" r:id="rId7"/>
    <sheet name="Hinta" sheetId="5" r:id="rId8"/>
  </sheets>
  <definedNames>
    <definedName name="_xlchart.v1.0" hidden="1">'Monte Carlo'!$H$16:$H$2116</definedName>
    <definedName name="_xlchart.v1.1" hidden="1">'Monte Carlo'!$H$16:$H$2116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8" l="1"/>
  <c r="D17" i="8" s="1"/>
  <c r="E17" i="8"/>
  <c r="C18" i="8"/>
  <c r="D18" i="8" s="1"/>
  <c r="E18" i="8"/>
  <c r="C19" i="8"/>
  <c r="D19" i="8" s="1"/>
  <c r="E19" i="8"/>
  <c r="C20" i="8"/>
  <c r="D20" i="8" s="1"/>
  <c r="E20" i="8"/>
  <c r="C21" i="8"/>
  <c r="D21" i="8" s="1"/>
  <c r="E21" i="8"/>
  <c r="C22" i="8"/>
  <c r="D22" i="8" s="1"/>
  <c r="E22" i="8"/>
  <c r="C23" i="8"/>
  <c r="D23" i="8" s="1"/>
  <c r="E23" i="8"/>
  <c r="C24" i="8"/>
  <c r="D24" i="8" s="1"/>
  <c r="E24" i="8"/>
  <c r="C25" i="8"/>
  <c r="D25" i="8" s="1"/>
  <c r="E25" i="8"/>
  <c r="C26" i="8"/>
  <c r="D26" i="8" s="1"/>
  <c r="E26" i="8"/>
  <c r="C27" i="8"/>
  <c r="D27" i="8" s="1"/>
  <c r="E27" i="8"/>
  <c r="C28" i="8"/>
  <c r="D28" i="8" s="1"/>
  <c r="E28" i="8"/>
  <c r="C29" i="8"/>
  <c r="D29" i="8" s="1"/>
  <c r="E29" i="8"/>
  <c r="C30" i="8"/>
  <c r="D30" i="8" s="1"/>
  <c r="E30" i="8"/>
  <c r="C31" i="8"/>
  <c r="D31" i="8" s="1"/>
  <c r="E31" i="8"/>
  <c r="C32" i="8"/>
  <c r="D32" i="8" s="1"/>
  <c r="E32" i="8"/>
  <c r="C33" i="8"/>
  <c r="D33" i="8" s="1"/>
  <c r="E33" i="8"/>
  <c r="C34" i="8"/>
  <c r="D34" i="8" s="1"/>
  <c r="E34" i="8"/>
  <c r="C35" i="8"/>
  <c r="D35" i="8" s="1"/>
  <c r="E35" i="8"/>
  <c r="C36" i="8"/>
  <c r="D36" i="8" s="1"/>
  <c r="E36" i="8"/>
  <c r="C37" i="8"/>
  <c r="D37" i="8" s="1"/>
  <c r="E37" i="8"/>
  <c r="C38" i="8"/>
  <c r="D38" i="8" s="1"/>
  <c r="E38" i="8"/>
  <c r="C39" i="8"/>
  <c r="D39" i="8" s="1"/>
  <c r="E39" i="8"/>
  <c r="C40" i="8"/>
  <c r="D40" i="8" s="1"/>
  <c r="E40" i="8"/>
  <c r="C41" i="8"/>
  <c r="D41" i="8" s="1"/>
  <c r="E41" i="8"/>
  <c r="C42" i="8"/>
  <c r="D42" i="8" s="1"/>
  <c r="E42" i="8"/>
  <c r="C43" i="8"/>
  <c r="D43" i="8" s="1"/>
  <c r="E43" i="8"/>
  <c r="C44" i="8"/>
  <c r="D44" i="8" s="1"/>
  <c r="E44" i="8"/>
  <c r="C45" i="8"/>
  <c r="D45" i="8" s="1"/>
  <c r="E45" i="8"/>
  <c r="C46" i="8"/>
  <c r="D46" i="8" s="1"/>
  <c r="E46" i="8"/>
  <c r="C47" i="8"/>
  <c r="D47" i="8" s="1"/>
  <c r="E47" i="8"/>
  <c r="C48" i="8"/>
  <c r="D48" i="8" s="1"/>
  <c r="E48" i="8"/>
  <c r="C49" i="8"/>
  <c r="D49" i="8" s="1"/>
  <c r="E49" i="8"/>
  <c r="C50" i="8"/>
  <c r="D50" i="8" s="1"/>
  <c r="E50" i="8"/>
  <c r="C51" i="8"/>
  <c r="D51" i="8" s="1"/>
  <c r="E51" i="8"/>
  <c r="C52" i="8"/>
  <c r="D52" i="8" s="1"/>
  <c r="E52" i="8"/>
  <c r="C53" i="8"/>
  <c r="D53" i="8" s="1"/>
  <c r="E53" i="8"/>
  <c r="C54" i="8"/>
  <c r="D54" i="8" s="1"/>
  <c r="E54" i="8"/>
  <c r="C55" i="8"/>
  <c r="D55" i="8" s="1"/>
  <c r="E55" i="8"/>
  <c r="C56" i="8"/>
  <c r="D56" i="8" s="1"/>
  <c r="E56" i="8"/>
  <c r="C57" i="8"/>
  <c r="D57" i="8" s="1"/>
  <c r="E57" i="8"/>
  <c r="C58" i="8"/>
  <c r="D58" i="8" s="1"/>
  <c r="E58" i="8"/>
  <c r="C59" i="8"/>
  <c r="D59" i="8" s="1"/>
  <c r="E59" i="8"/>
  <c r="C60" i="8"/>
  <c r="D60" i="8" s="1"/>
  <c r="E60" i="8"/>
  <c r="C61" i="8"/>
  <c r="D61" i="8" s="1"/>
  <c r="E61" i="8"/>
  <c r="C62" i="8"/>
  <c r="D62" i="8" s="1"/>
  <c r="E62" i="8"/>
  <c r="C63" i="8"/>
  <c r="D63" i="8" s="1"/>
  <c r="E63" i="8"/>
  <c r="C64" i="8"/>
  <c r="D64" i="8" s="1"/>
  <c r="E64" i="8"/>
  <c r="C65" i="8"/>
  <c r="D65" i="8" s="1"/>
  <c r="E65" i="8"/>
  <c r="C66" i="8"/>
  <c r="D66" i="8" s="1"/>
  <c r="E66" i="8"/>
  <c r="C67" i="8"/>
  <c r="D67" i="8" s="1"/>
  <c r="E67" i="8"/>
  <c r="C68" i="8"/>
  <c r="D68" i="8" s="1"/>
  <c r="E68" i="8"/>
  <c r="C69" i="8"/>
  <c r="D69" i="8" s="1"/>
  <c r="E69" i="8"/>
  <c r="C70" i="8"/>
  <c r="D70" i="8" s="1"/>
  <c r="E70" i="8"/>
  <c r="C71" i="8"/>
  <c r="D71" i="8" s="1"/>
  <c r="E71" i="8"/>
  <c r="C72" i="8"/>
  <c r="D72" i="8" s="1"/>
  <c r="E72" i="8"/>
  <c r="C73" i="8"/>
  <c r="D73" i="8" s="1"/>
  <c r="E73" i="8"/>
  <c r="C74" i="8"/>
  <c r="D74" i="8" s="1"/>
  <c r="E74" i="8"/>
  <c r="C75" i="8"/>
  <c r="D75" i="8" s="1"/>
  <c r="E75" i="8"/>
  <c r="C76" i="8"/>
  <c r="D76" i="8" s="1"/>
  <c r="E76" i="8"/>
  <c r="C77" i="8"/>
  <c r="D77" i="8" s="1"/>
  <c r="E77" i="8"/>
  <c r="C78" i="8"/>
  <c r="D78" i="8" s="1"/>
  <c r="E78" i="8"/>
  <c r="C79" i="8"/>
  <c r="D79" i="8" s="1"/>
  <c r="E79" i="8"/>
  <c r="C80" i="8"/>
  <c r="D80" i="8" s="1"/>
  <c r="E80" i="8"/>
  <c r="C81" i="8"/>
  <c r="D81" i="8" s="1"/>
  <c r="E81" i="8"/>
  <c r="C82" i="8"/>
  <c r="D82" i="8" s="1"/>
  <c r="E82" i="8"/>
  <c r="C83" i="8"/>
  <c r="D83" i="8" s="1"/>
  <c r="E83" i="8"/>
  <c r="C84" i="8"/>
  <c r="D84" i="8" s="1"/>
  <c r="E84" i="8"/>
  <c r="C85" i="8"/>
  <c r="D85" i="8" s="1"/>
  <c r="E85" i="8"/>
  <c r="C86" i="8"/>
  <c r="D86" i="8" s="1"/>
  <c r="E86" i="8"/>
  <c r="C87" i="8"/>
  <c r="D87" i="8" s="1"/>
  <c r="E87" i="8"/>
  <c r="C88" i="8"/>
  <c r="D88" i="8" s="1"/>
  <c r="E88" i="8"/>
  <c r="C89" i="8"/>
  <c r="D89" i="8" s="1"/>
  <c r="E89" i="8"/>
  <c r="C90" i="8"/>
  <c r="D90" i="8" s="1"/>
  <c r="E90" i="8"/>
  <c r="C91" i="8"/>
  <c r="D91" i="8" s="1"/>
  <c r="E91" i="8"/>
  <c r="C92" i="8"/>
  <c r="D92" i="8" s="1"/>
  <c r="E92" i="8"/>
  <c r="C93" i="8"/>
  <c r="D93" i="8" s="1"/>
  <c r="E93" i="8"/>
  <c r="C94" i="8"/>
  <c r="D94" i="8" s="1"/>
  <c r="E94" i="8"/>
  <c r="C95" i="8"/>
  <c r="D95" i="8" s="1"/>
  <c r="E95" i="8"/>
  <c r="C96" i="8"/>
  <c r="D96" i="8" s="1"/>
  <c r="E96" i="8"/>
  <c r="C97" i="8"/>
  <c r="D97" i="8" s="1"/>
  <c r="E97" i="8"/>
  <c r="C98" i="8"/>
  <c r="D98" i="8" s="1"/>
  <c r="E98" i="8"/>
  <c r="C99" i="8"/>
  <c r="D99" i="8" s="1"/>
  <c r="E99" i="8"/>
  <c r="C100" i="8"/>
  <c r="D100" i="8" s="1"/>
  <c r="E100" i="8"/>
  <c r="C101" i="8"/>
  <c r="D101" i="8" s="1"/>
  <c r="E101" i="8"/>
  <c r="C102" i="8"/>
  <c r="D102" i="8" s="1"/>
  <c r="E102" i="8"/>
  <c r="C103" i="8"/>
  <c r="D103" i="8" s="1"/>
  <c r="E103" i="8"/>
  <c r="C104" i="8"/>
  <c r="D104" i="8" s="1"/>
  <c r="E104" i="8"/>
  <c r="C105" i="8"/>
  <c r="D105" i="8" s="1"/>
  <c r="E105" i="8"/>
  <c r="C106" i="8"/>
  <c r="D106" i="8" s="1"/>
  <c r="E106" i="8"/>
  <c r="C107" i="8"/>
  <c r="D107" i="8" s="1"/>
  <c r="E107" i="8"/>
  <c r="C108" i="8"/>
  <c r="D108" i="8" s="1"/>
  <c r="E108" i="8"/>
  <c r="C109" i="8"/>
  <c r="D109" i="8" s="1"/>
  <c r="E109" i="8"/>
  <c r="C110" i="8"/>
  <c r="D110" i="8" s="1"/>
  <c r="E110" i="8"/>
  <c r="C111" i="8"/>
  <c r="D111" i="8" s="1"/>
  <c r="E111" i="8"/>
  <c r="C112" i="8"/>
  <c r="D112" i="8" s="1"/>
  <c r="E112" i="8"/>
  <c r="C113" i="8"/>
  <c r="D113" i="8" s="1"/>
  <c r="E113" i="8"/>
  <c r="C114" i="8"/>
  <c r="D114" i="8" s="1"/>
  <c r="E114" i="8"/>
  <c r="C115" i="8"/>
  <c r="D115" i="8" s="1"/>
  <c r="E115" i="8"/>
  <c r="C116" i="8"/>
  <c r="D116" i="8" s="1"/>
  <c r="E116" i="8"/>
  <c r="C117" i="8"/>
  <c r="D117" i="8" s="1"/>
  <c r="E117" i="8"/>
  <c r="C118" i="8"/>
  <c r="D118" i="8" s="1"/>
  <c r="E118" i="8"/>
  <c r="C119" i="8"/>
  <c r="D119" i="8" s="1"/>
  <c r="E119" i="8"/>
  <c r="C120" i="8"/>
  <c r="D120" i="8" s="1"/>
  <c r="E120" i="8"/>
  <c r="C121" i="8"/>
  <c r="D121" i="8" s="1"/>
  <c r="E121" i="8"/>
  <c r="C122" i="8"/>
  <c r="D122" i="8" s="1"/>
  <c r="E122" i="8"/>
  <c r="C123" i="8"/>
  <c r="D123" i="8" s="1"/>
  <c r="E123" i="8"/>
  <c r="C124" i="8"/>
  <c r="D124" i="8" s="1"/>
  <c r="E124" i="8"/>
  <c r="C125" i="8"/>
  <c r="D125" i="8" s="1"/>
  <c r="E125" i="8"/>
  <c r="C126" i="8"/>
  <c r="D126" i="8" s="1"/>
  <c r="E126" i="8"/>
  <c r="C127" i="8"/>
  <c r="D127" i="8" s="1"/>
  <c r="E127" i="8"/>
  <c r="C128" i="8"/>
  <c r="D128" i="8" s="1"/>
  <c r="E128" i="8"/>
  <c r="C129" i="8"/>
  <c r="D129" i="8" s="1"/>
  <c r="E129" i="8"/>
  <c r="C130" i="8"/>
  <c r="D130" i="8" s="1"/>
  <c r="E130" i="8"/>
  <c r="C131" i="8"/>
  <c r="D131" i="8" s="1"/>
  <c r="E131" i="8"/>
  <c r="C132" i="8"/>
  <c r="D132" i="8" s="1"/>
  <c r="E132" i="8"/>
  <c r="C133" i="8"/>
  <c r="D133" i="8" s="1"/>
  <c r="E133" i="8"/>
  <c r="C134" i="8"/>
  <c r="D134" i="8" s="1"/>
  <c r="E134" i="8"/>
  <c r="C135" i="8"/>
  <c r="D135" i="8" s="1"/>
  <c r="E135" i="8"/>
  <c r="C136" i="8"/>
  <c r="D136" i="8" s="1"/>
  <c r="E136" i="8"/>
  <c r="C137" i="8"/>
  <c r="D137" i="8" s="1"/>
  <c r="E137" i="8"/>
  <c r="C138" i="8"/>
  <c r="D138" i="8" s="1"/>
  <c r="E138" i="8"/>
  <c r="C139" i="8"/>
  <c r="D139" i="8" s="1"/>
  <c r="E139" i="8"/>
  <c r="C140" i="8"/>
  <c r="D140" i="8" s="1"/>
  <c r="E140" i="8"/>
  <c r="C141" i="8"/>
  <c r="D141" i="8" s="1"/>
  <c r="E141" i="8"/>
  <c r="C142" i="8"/>
  <c r="D142" i="8" s="1"/>
  <c r="E142" i="8"/>
  <c r="C143" i="8"/>
  <c r="D143" i="8" s="1"/>
  <c r="E143" i="8"/>
  <c r="C144" i="8"/>
  <c r="D144" i="8" s="1"/>
  <c r="E144" i="8"/>
  <c r="C145" i="8"/>
  <c r="D145" i="8" s="1"/>
  <c r="E145" i="8"/>
  <c r="C146" i="8"/>
  <c r="D146" i="8" s="1"/>
  <c r="E146" i="8"/>
  <c r="C147" i="8"/>
  <c r="D147" i="8" s="1"/>
  <c r="E147" i="8"/>
  <c r="C148" i="8"/>
  <c r="D148" i="8" s="1"/>
  <c r="E148" i="8"/>
  <c r="C149" i="8"/>
  <c r="D149" i="8" s="1"/>
  <c r="E149" i="8"/>
  <c r="C150" i="8"/>
  <c r="D150" i="8" s="1"/>
  <c r="E150" i="8"/>
  <c r="C151" i="8"/>
  <c r="D151" i="8" s="1"/>
  <c r="E151" i="8"/>
  <c r="C152" i="8"/>
  <c r="D152" i="8" s="1"/>
  <c r="E152" i="8"/>
  <c r="C153" i="8"/>
  <c r="D153" i="8" s="1"/>
  <c r="E153" i="8"/>
  <c r="C154" i="8"/>
  <c r="D154" i="8" s="1"/>
  <c r="E154" i="8"/>
  <c r="C155" i="8"/>
  <c r="D155" i="8" s="1"/>
  <c r="E155" i="8"/>
  <c r="C156" i="8"/>
  <c r="D156" i="8" s="1"/>
  <c r="E156" i="8"/>
  <c r="C157" i="8"/>
  <c r="D157" i="8" s="1"/>
  <c r="E157" i="8"/>
  <c r="C158" i="8"/>
  <c r="D158" i="8" s="1"/>
  <c r="E158" i="8"/>
  <c r="C159" i="8"/>
  <c r="D159" i="8" s="1"/>
  <c r="E159" i="8"/>
  <c r="C160" i="8"/>
  <c r="D160" i="8" s="1"/>
  <c r="E160" i="8"/>
  <c r="C161" i="8"/>
  <c r="D161" i="8" s="1"/>
  <c r="E161" i="8"/>
  <c r="C162" i="8"/>
  <c r="D162" i="8" s="1"/>
  <c r="E162" i="8"/>
  <c r="C163" i="8"/>
  <c r="D163" i="8" s="1"/>
  <c r="E163" i="8"/>
  <c r="C164" i="8"/>
  <c r="D164" i="8" s="1"/>
  <c r="E164" i="8"/>
  <c r="C165" i="8"/>
  <c r="D165" i="8" s="1"/>
  <c r="E165" i="8"/>
  <c r="C166" i="8"/>
  <c r="D166" i="8" s="1"/>
  <c r="E166" i="8"/>
  <c r="C167" i="8"/>
  <c r="D167" i="8" s="1"/>
  <c r="E167" i="8"/>
  <c r="C168" i="8"/>
  <c r="D168" i="8" s="1"/>
  <c r="E168" i="8"/>
  <c r="C169" i="8"/>
  <c r="D169" i="8" s="1"/>
  <c r="E169" i="8"/>
  <c r="C170" i="8"/>
  <c r="D170" i="8" s="1"/>
  <c r="E170" i="8"/>
  <c r="C171" i="8"/>
  <c r="D171" i="8" s="1"/>
  <c r="E171" i="8"/>
  <c r="C172" i="8"/>
  <c r="D172" i="8" s="1"/>
  <c r="E172" i="8"/>
  <c r="C173" i="8"/>
  <c r="D173" i="8" s="1"/>
  <c r="E173" i="8"/>
  <c r="C174" i="8"/>
  <c r="D174" i="8" s="1"/>
  <c r="E174" i="8"/>
  <c r="C175" i="8"/>
  <c r="D175" i="8" s="1"/>
  <c r="E175" i="8"/>
  <c r="C176" i="8"/>
  <c r="D176" i="8" s="1"/>
  <c r="E176" i="8"/>
  <c r="C177" i="8"/>
  <c r="D177" i="8" s="1"/>
  <c r="E177" i="8"/>
  <c r="C178" i="8"/>
  <c r="D178" i="8" s="1"/>
  <c r="E178" i="8"/>
  <c r="C179" i="8"/>
  <c r="D179" i="8" s="1"/>
  <c r="E179" i="8"/>
  <c r="C180" i="8"/>
  <c r="D180" i="8" s="1"/>
  <c r="E180" i="8"/>
  <c r="C181" i="8"/>
  <c r="D181" i="8" s="1"/>
  <c r="E181" i="8"/>
  <c r="C182" i="8"/>
  <c r="D182" i="8" s="1"/>
  <c r="E182" i="8"/>
  <c r="C183" i="8"/>
  <c r="D183" i="8"/>
  <c r="E183" i="8"/>
  <c r="C184" i="8"/>
  <c r="D184" i="8" s="1"/>
  <c r="E184" i="8"/>
  <c r="C185" i="8"/>
  <c r="D185" i="8" s="1"/>
  <c r="E185" i="8"/>
  <c r="C186" i="8"/>
  <c r="D186" i="8" s="1"/>
  <c r="E186" i="8"/>
  <c r="C187" i="8"/>
  <c r="D187" i="8" s="1"/>
  <c r="E187" i="8"/>
  <c r="C188" i="8"/>
  <c r="D188" i="8" s="1"/>
  <c r="E188" i="8"/>
  <c r="C189" i="8"/>
  <c r="D189" i="8" s="1"/>
  <c r="E189" i="8"/>
  <c r="C190" i="8"/>
  <c r="D190" i="8" s="1"/>
  <c r="E190" i="8"/>
  <c r="C191" i="8"/>
  <c r="D191" i="8" s="1"/>
  <c r="E191" i="8"/>
  <c r="C192" i="8"/>
  <c r="D192" i="8" s="1"/>
  <c r="E192" i="8"/>
  <c r="C193" i="8"/>
  <c r="D193" i="8" s="1"/>
  <c r="E193" i="8"/>
  <c r="C194" i="8"/>
  <c r="D194" i="8" s="1"/>
  <c r="E194" i="8"/>
  <c r="C195" i="8"/>
  <c r="D195" i="8" s="1"/>
  <c r="E195" i="8"/>
  <c r="C196" i="8"/>
  <c r="D196" i="8" s="1"/>
  <c r="E196" i="8"/>
  <c r="C197" i="8"/>
  <c r="D197" i="8" s="1"/>
  <c r="E197" i="8"/>
  <c r="C198" i="8"/>
  <c r="D198" i="8" s="1"/>
  <c r="E198" i="8"/>
  <c r="C199" i="8"/>
  <c r="D199" i="8" s="1"/>
  <c r="E199" i="8"/>
  <c r="C200" i="8"/>
  <c r="D200" i="8" s="1"/>
  <c r="E200" i="8"/>
  <c r="C201" i="8"/>
  <c r="D201" i="8" s="1"/>
  <c r="E201" i="8"/>
  <c r="C202" i="8"/>
  <c r="D202" i="8" s="1"/>
  <c r="E202" i="8"/>
  <c r="C203" i="8"/>
  <c r="D203" i="8" s="1"/>
  <c r="E203" i="8"/>
  <c r="C204" i="8"/>
  <c r="D204" i="8" s="1"/>
  <c r="E204" i="8"/>
  <c r="C205" i="8"/>
  <c r="D205" i="8" s="1"/>
  <c r="E205" i="8"/>
  <c r="C206" i="8"/>
  <c r="D206" i="8" s="1"/>
  <c r="E206" i="8"/>
  <c r="C207" i="8"/>
  <c r="D207" i="8" s="1"/>
  <c r="E207" i="8"/>
  <c r="C208" i="8"/>
  <c r="D208" i="8" s="1"/>
  <c r="E208" i="8"/>
  <c r="C209" i="8"/>
  <c r="D209" i="8" s="1"/>
  <c r="E209" i="8"/>
  <c r="C210" i="8"/>
  <c r="D210" i="8" s="1"/>
  <c r="E210" i="8"/>
  <c r="C211" i="8"/>
  <c r="D211" i="8" s="1"/>
  <c r="E211" i="8"/>
  <c r="C212" i="8"/>
  <c r="D212" i="8" s="1"/>
  <c r="E212" i="8"/>
  <c r="C213" i="8"/>
  <c r="D213" i="8" s="1"/>
  <c r="E213" i="8"/>
  <c r="C214" i="8"/>
  <c r="D214" i="8" s="1"/>
  <c r="E214" i="8"/>
  <c r="C215" i="8"/>
  <c r="D215" i="8" s="1"/>
  <c r="E215" i="8"/>
  <c r="C216" i="8"/>
  <c r="D216" i="8" s="1"/>
  <c r="E216" i="8"/>
  <c r="C217" i="8"/>
  <c r="D217" i="8" s="1"/>
  <c r="E217" i="8"/>
  <c r="C218" i="8"/>
  <c r="D218" i="8" s="1"/>
  <c r="E218" i="8"/>
  <c r="C219" i="8"/>
  <c r="D219" i="8" s="1"/>
  <c r="E219" i="8"/>
  <c r="C220" i="8"/>
  <c r="D220" i="8" s="1"/>
  <c r="E220" i="8"/>
  <c r="C221" i="8"/>
  <c r="D221" i="8" s="1"/>
  <c r="E221" i="8"/>
  <c r="C222" i="8"/>
  <c r="D222" i="8" s="1"/>
  <c r="E222" i="8"/>
  <c r="C223" i="8"/>
  <c r="D223" i="8" s="1"/>
  <c r="E223" i="8"/>
  <c r="C224" i="8"/>
  <c r="D224" i="8" s="1"/>
  <c r="E224" i="8"/>
  <c r="C225" i="8"/>
  <c r="D225" i="8" s="1"/>
  <c r="E225" i="8"/>
  <c r="C226" i="8"/>
  <c r="D226" i="8" s="1"/>
  <c r="E226" i="8"/>
  <c r="C227" i="8"/>
  <c r="D227" i="8" s="1"/>
  <c r="E227" i="8"/>
  <c r="C228" i="8"/>
  <c r="D228" i="8" s="1"/>
  <c r="E228" i="8"/>
  <c r="C229" i="8"/>
  <c r="D229" i="8" s="1"/>
  <c r="E229" i="8"/>
  <c r="C230" i="8"/>
  <c r="D230" i="8" s="1"/>
  <c r="E230" i="8"/>
  <c r="C231" i="8"/>
  <c r="D231" i="8" s="1"/>
  <c r="E231" i="8"/>
  <c r="C232" i="8"/>
  <c r="D232" i="8" s="1"/>
  <c r="E232" i="8"/>
  <c r="C233" i="8"/>
  <c r="D233" i="8" s="1"/>
  <c r="E233" i="8"/>
  <c r="C234" i="8"/>
  <c r="D234" i="8" s="1"/>
  <c r="E234" i="8"/>
  <c r="C235" i="8"/>
  <c r="D235" i="8" s="1"/>
  <c r="E235" i="8"/>
  <c r="C236" i="8"/>
  <c r="D236" i="8" s="1"/>
  <c r="E236" i="8"/>
  <c r="C237" i="8"/>
  <c r="D237" i="8" s="1"/>
  <c r="E237" i="8"/>
  <c r="C238" i="8"/>
  <c r="D238" i="8" s="1"/>
  <c r="E238" i="8"/>
  <c r="C239" i="8"/>
  <c r="D239" i="8" s="1"/>
  <c r="E239" i="8"/>
  <c r="C240" i="8"/>
  <c r="D240" i="8" s="1"/>
  <c r="E240" i="8"/>
  <c r="C241" i="8"/>
  <c r="D241" i="8" s="1"/>
  <c r="E241" i="8"/>
  <c r="C242" i="8"/>
  <c r="D242" i="8" s="1"/>
  <c r="E242" i="8"/>
  <c r="C243" i="8"/>
  <c r="D243" i="8" s="1"/>
  <c r="E243" i="8"/>
  <c r="C244" i="8"/>
  <c r="D244" i="8" s="1"/>
  <c r="E244" i="8"/>
  <c r="C245" i="8"/>
  <c r="D245" i="8" s="1"/>
  <c r="E245" i="8"/>
  <c r="C246" i="8"/>
  <c r="D246" i="8" s="1"/>
  <c r="E246" i="8"/>
  <c r="C247" i="8"/>
  <c r="D247" i="8" s="1"/>
  <c r="E247" i="8"/>
  <c r="C248" i="8"/>
  <c r="D248" i="8" s="1"/>
  <c r="E248" i="8"/>
  <c r="C249" i="8"/>
  <c r="D249" i="8" s="1"/>
  <c r="E249" i="8"/>
  <c r="C250" i="8"/>
  <c r="D250" i="8" s="1"/>
  <c r="E250" i="8"/>
  <c r="C251" i="8"/>
  <c r="D251" i="8" s="1"/>
  <c r="E251" i="8"/>
  <c r="C252" i="8"/>
  <c r="D252" i="8" s="1"/>
  <c r="E252" i="8"/>
  <c r="C253" i="8"/>
  <c r="D253" i="8" s="1"/>
  <c r="E253" i="8"/>
  <c r="C254" i="8"/>
  <c r="D254" i="8" s="1"/>
  <c r="E254" i="8"/>
  <c r="C255" i="8"/>
  <c r="D255" i="8" s="1"/>
  <c r="E255" i="8"/>
  <c r="C256" i="8"/>
  <c r="D256" i="8" s="1"/>
  <c r="E256" i="8"/>
  <c r="C257" i="8"/>
  <c r="D257" i="8" s="1"/>
  <c r="E257" i="8"/>
  <c r="C258" i="8"/>
  <c r="D258" i="8" s="1"/>
  <c r="E258" i="8"/>
  <c r="C259" i="8"/>
  <c r="D259" i="8" s="1"/>
  <c r="E259" i="8"/>
  <c r="C260" i="8"/>
  <c r="D260" i="8" s="1"/>
  <c r="E260" i="8"/>
  <c r="C261" i="8"/>
  <c r="D261" i="8" s="1"/>
  <c r="E261" i="8"/>
  <c r="C262" i="8"/>
  <c r="D262" i="8" s="1"/>
  <c r="E262" i="8"/>
  <c r="C263" i="8"/>
  <c r="D263" i="8" s="1"/>
  <c r="E263" i="8"/>
  <c r="C264" i="8"/>
  <c r="D264" i="8" s="1"/>
  <c r="E264" i="8"/>
  <c r="C265" i="8"/>
  <c r="D265" i="8" s="1"/>
  <c r="E265" i="8"/>
  <c r="C266" i="8"/>
  <c r="D266" i="8" s="1"/>
  <c r="E266" i="8"/>
  <c r="C267" i="8"/>
  <c r="D267" i="8" s="1"/>
  <c r="E267" i="8"/>
  <c r="C268" i="8"/>
  <c r="D268" i="8" s="1"/>
  <c r="E268" i="8"/>
  <c r="C269" i="8"/>
  <c r="D269" i="8" s="1"/>
  <c r="E269" i="8"/>
  <c r="C270" i="8"/>
  <c r="D270" i="8" s="1"/>
  <c r="E270" i="8"/>
  <c r="C271" i="8"/>
  <c r="D271" i="8" s="1"/>
  <c r="E271" i="8"/>
  <c r="C272" i="8"/>
  <c r="D272" i="8" s="1"/>
  <c r="E272" i="8"/>
  <c r="C273" i="8"/>
  <c r="D273" i="8" s="1"/>
  <c r="E273" i="8"/>
  <c r="C274" i="8"/>
  <c r="D274" i="8" s="1"/>
  <c r="E274" i="8"/>
  <c r="C275" i="8"/>
  <c r="D275" i="8" s="1"/>
  <c r="E275" i="8"/>
  <c r="C276" i="8"/>
  <c r="D276" i="8" s="1"/>
  <c r="E276" i="8"/>
  <c r="C277" i="8"/>
  <c r="D277" i="8" s="1"/>
  <c r="E277" i="8"/>
  <c r="C278" i="8"/>
  <c r="D278" i="8" s="1"/>
  <c r="E278" i="8"/>
  <c r="C279" i="8"/>
  <c r="D279" i="8" s="1"/>
  <c r="E279" i="8"/>
  <c r="C280" i="8"/>
  <c r="D280" i="8" s="1"/>
  <c r="E280" i="8"/>
  <c r="C281" i="8"/>
  <c r="D281" i="8" s="1"/>
  <c r="E281" i="8"/>
  <c r="C282" i="8"/>
  <c r="D282" i="8" s="1"/>
  <c r="E282" i="8"/>
  <c r="C283" i="8"/>
  <c r="D283" i="8" s="1"/>
  <c r="E283" i="8"/>
  <c r="C284" i="8"/>
  <c r="D284" i="8" s="1"/>
  <c r="E284" i="8"/>
  <c r="C285" i="8"/>
  <c r="D285" i="8" s="1"/>
  <c r="E285" i="8"/>
  <c r="C286" i="8"/>
  <c r="D286" i="8" s="1"/>
  <c r="E286" i="8"/>
  <c r="C287" i="8"/>
  <c r="D287" i="8" s="1"/>
  <c r="E287" i="8"/>
  <c r="C288" i="8"/>
  <c r="D288" i="8" s="1"/>
  <c r="E288" i="8"/>
  <c r="C289" i="8"/>
  <c r="D289" i="8" s="1"/>
  <c r="E289" i="8"/>
  <c r="C290" i="8"/>
  <c r="D290" i="8" s="1"/>
  <c r="E290" i="8"/>
  <c r="C291" i="8"/>
  <c r="D291" i="8" s="1"/>
  <c r="E291" i="8"/>
  <c r="C292" i="8"/>
  <c r="D292" i="8" s="1"/>
  <c r="E292" i="8"/>
  <c r="C293" i="8"/>
  <c r="D293" i="8" s="1"/>
  <c r="E293" i="8"/>
  <c r="C294" i="8"/>
  <c r="D294" i="8" s="1"/>
  <c r="E294" i="8"/>
  <c r="C295" i="8"/>
  <c r="D295" i="8" s="1"/>
  <c r="E295" i="8"/>
  <c r="C296" i="8"/>
  <c r="D296" i="8" s="1"/>
  <c r="E296" i="8"/>
  <c r="C297" i="8"/>
  <c r="D297" i="8" s="1"/>
  <c r="E297" i="8"/>
  <c r="C298" i="8"/>
  <c r="D298" i="8" s="1"/>
  <c r="E298" i="8"/>
  <c r="C299" i="8"/>
  <c r="D299" i="8" s="1"/>
  <c r="E299" i="8"/>
  <c r="C300" i="8"/>
  <c r="D300" i="8" s="1"/>
  <c r="E300" i="8"/>
  <c r="C301" i="8"/>
  <c r="D301" i="8" s="1"/>
  <c r="E301" i="8"/>
  <c r="C302" i="8"/>
  <c r="D302" i="8" s="1"/>
  <c r="E302" i="8"/>
  <c r="C303" i="8"/>
  <c r="D303" i="8" s="1"/>
  <c r="E303" i="8"/>
  <c r="C304" i="8"/>
  <c r="D304" i="8" s="1"/>
  <c r="E304" i="8"/>
  <c r="C305" i="8"/>
  <c r="D305" i="8" s="1"/>
  <c r="E305" i="8"/>
  <c r="C306" i="8"/>
  <c r="D306" i="8" s="1"/>
  <c r="E306" i="8"/>
  <c r="C307" i="8"/>
  <c r="D307" i="8" s="1"/>
  <c r="E307" i="8"/>
  <c r="C308" i="8"/>
  <c r="D308" i="8" s="1"/>
  <c r="E308" i="8"/>
  <c r="C309" i="8"/>
  <c r="D309" i="8" s="1"/>
  <c r="E309" i="8"/>
  <c r="C310" i="8"/>
  <c r="D310" i="8" s="1"/>
  <c r="E310" i="8"/>
  <c r="C311" i="8"/>
  <c r="D311" i="8" s="1"/>
  <c r="E311" i="8"/>
  <c r="C312" i="8"/>
  <c r="D312" i="8" s="1"/>
  <c r="E312" i="8"/>
  <c r="C313" i="8"/>
  <c r="D313" i="8" s="1"/>
  <c r="E313" i="8"/>
  <c r="C314" i="8"/>
  <c r="D314" i="8" s="1"/>
  <c r="E314" i="8"/>
  <c r="C315" i="8"/>
  <c r="D315" i="8" s="1"/>
  <c r="E315" i="8"/>
  <c r="C316" i="8"/>
  <c r="D316" i="8" s="1"/>
  <c r="E316" i="8"/>
  <c r="C317" i="8"/>
  <c r="D317" i="8" s="1"/>
  <c r="E317" i="8"/>
  <c r="C318" i="8"/>
  <c r="D318" i="8" s="1"/>
  <c r="E318" i="8"/>
  <c r="C319" i="8"/>
  <c r="D319" i="8" s="1"/>
  <c r="E319" i="8"/>
  <c r="C320" i="8"/>
  <c r="D320" i="8" s="1"/>
  <c r="E320" i="8"/>
  <c r="C321" i="8"/>
  <c r="D321" i="8" s="1"/>
  <c r="E321" i="8"/>
  <c r="C322" i="8"/>
  <c r="D322" i="8" s="1"/>
  <c r="E322" i="8"/>
  <c r="C323" i="8"/>
  <c r="D323" i="8" s="1"/>
  <c r="E323" i="8"/>
  <c r="C324" i="8"/>
  <c r="D324" i="8" s="1"/>
  <c r="E324" i="8"/>
  <c r="C325" i="8"/>
  <c r="D325" i="8" s="1"/>
  <c r="E325" i="8"/>
  <c r="C326" i="8"/>
  <c r="D326" i="8" s="1"/>
  <c r="E326" i="8"/>
  <c r="C327" i="8"/>
  <c r="D327" i="8" s="1"/>
  <c r="E327" i="8"/>
  <c r="C328" i="8"/>
  <c r="D328" i="8" s="1"/>
  <c r="E328" i="8"/>
  <c r="C329" i="8"/>
  <c r="D329" i="8" s="1"/>
  <c r="E329" i="8"/>
  <c r="C330" i="8"/>
  <c r="D330" i="8" s="1"/>
  <c r="E330" i="8"/>
  <c r="C331" i="8"/>
  <c r="D331" i="8" s="1"/>
  <c r="E331" i="8"/>
  <c r="C332" i="8"/>
  <c r="D332" i="8" s="1"/>
  <c r="E332" i="8"/>
  <c r="C333" i="8"/>
  <c r="D333" i="8" s="1"/>
  <c r="E333" i="8"/>
  <c r="C334" i="8"/>
  <c r="D334" i="8" s="1"/>
  <c r="E334" i="8"/>
  <c r="C335" i="8"/>
  <c r="D335" i="8" s="1"/>
  <c r="E335" i="8"/>
  <c r="C336" i="8"/>
  <c r="D336" i="8" s="1"/>
  <c r="E336" i="8"/>
  <c r="C337" i="8"/>
  <c r="D337" i="8" s="1"/>
  <c r="E337" i="8"/>
  <c r="C338" i="8"/>
  <c r="D338" i="8" s="1"/>
  <c r="E338" i="8"/>
  <c r="C339" i="8"/>
  <c r="D339" i="8" s="1"/>
  <c r="E339" i="8"/>
  <c r="C340" i="8"/>
  <c r="D340" i="8" s="1"/>
  <c r="E340" i="8"/>
  <c r="C341" i="8"/>
  <c r="D341" i="8" s="1"/>
  <c r="E341" i="8"/>
  <c r="C342" i="8"/>
  <c r="D342" i="8" s="1"/>
  <c r="E342" i="8"/>
  <c r="C343" i="8"/>
  <c r="D343" i="8" s="1"/>
  <c r="E343" i="8"/>
  <c r="C344" i="8"/>
  <c r="D344" i="8" s="1"/>
  <c r="E344" i="8"/>
  <c r="C345" i="8"/>
  <c r="D345" i="8" s="1"/>
  <c r="E345" i="8"/>
  <c r="C346" i="8"/>
  <c r="D346" i="8" s="1"/>
  <c r="E346" i="8"/>
  <c r="C347" i="8"/>
  <c r="D347" i="8" s="1"/>
  <c r="E347" i="8"/>
  <c r="C348" i="8"/>
  <c r="D348" i="8" s="1"/>
  <c r="E348" i="8"/>
  <c r="C349" i="8"/>
  <c r="D349" i="8" s="1"/>
  <c r="E349" i="8"/>
  <c r="C350" i="8"/>
  <c r="D350" i="8" s="1"/>
  <c r="E350" i="8"/>
  <c r="C351" i="8"/>
  <c r="D351" i="8" s="1"/>
  <c r="E351" i="8"/>
  <c r="C352" i="8"/>
  <c r="D352" i="8" s="1"/>
  <c r="E352" i="8"/>
  <c r="C353" i="8"/>
  <c r="D353" i="8" s="1"/>
  <c r="E353" i="8"/>
  <c r="C354" i="8"/>
  <c r="D354" i="8" s="1"/>
  <c r="E354" i="8"/>
  <c r="C355" i="8"/>
  <c r="D355" i="8" s="1"/>
  <c r="E355" i="8"/>
  <c r="C356" i="8"/>
  <c r="D356" i="8" s="1"/>
  <c r="E356" i="8"/>
  <c r="C357" i="8"/>
  <c r="D357" i="8" s="1"/>
  <c r="E357" i="8"/>
  <c r="C358" i="8"/>
  <c r="D358" i="8" s="1"/>
  <c r="E358" i="8"/>
  <c r="C359" i="8"/>
  <c r="D359" i="8" s="1"/>
  <c r="E359" i="8"/>
  <c r="C360" i="8"/>
  <c r="D360" i="8" s="1"/>
  <c r="E360" i="8"/>
  <c r="C361" i="8"/>
  <c r="D361" i="8" s="1"/>
  <c r="E361" i="8"/>
  <c r="C362" i="8"/>
  <c r="D362" i="8" s="1"/>
  <c r="E362" i="8"/>
  <c r="C363" i="8"/>
  <c r="D363" i="8" s="1"/>
  <c r="E363" i="8"/>
  <c r="C364" i="8"/>
  <c r="D364" i="8" s="1"/>
  <c r="E364" i="8"/>
  <c r="C365" i="8"/>
  <c r="D365" i="8" s="1"/>
  <c r="E365" i="8"/>
  <c r="C366" i="8"/>
  <c r="D366" i="8" s="1"/>
  <c r="E366" i="8"/>
  <c r="C367" i="8"/>
  <c r="D367" i="8" s="1"/>
  <c r="E367" i="8"/>
  <c r="C368" i="8"/>
  <c r="D368" i="8" s="1"/>
  <c r="E368" i="8"/>
  <c r="C369" i="8"/>
  <c r="D369" i="8" s="1"/>
  <c r="E369" i="8"/>
  <c r="C370" i="8"/>
  <c r="D370" i="8" s="1"/>
  <c r="E370" i="8"/>
  <c r="C371" i="8"/>
  <c r="D371" i="8" s="1"/>
  <c r="E371" i="8"/>
  <c r="C372" i="8"/>
  <c r="D372" i="8" s="1"/>
  <c r="E372" i="8"/>
  <c r="C373" i="8"/>
  <c r="D373" i="8" s="1"/>
  <c r="E373" i="8"/>
  <c r="C374" i="8"/>
  <c r="D374" i="8" s="1"/>
  <c r="E374" i="8"/>
  <c r="C375" i="8"/>
  <c r="D375" i="8" s="1"/>
  <c r="E375" i="8"/>
  <c r="C376" i="8"/>
  <c r="D376" i="8" s="1"/>
  <c r="E376" i="8"/>
  <c r="C377" i="8"/>
  <c r="D377" i="8" s="1"/>
  <c r="E377" i="8"/>
  <c r="C378" i="8"/>
  <c r="D378" i="8" s="1"/>
  <c r="E378" i="8"/>
  <c r="C379" i="8"/>
  <c r="D379" i="8" s="1"/>
  <c r="E379" i="8"/>
  <c r="C380" i="8"/>
  <c r="D380" i="8" s="1"/>
  <c r="E380" i="8"/>
  <c r="C381" i="8"/>
  <c r="D381" i="8" s="1"/>
  <c r="E381" i="8"/>
  <c r="C382" i="8"/>
  <c r="D382" i="8" s="1"/>
  <c r="E382" i="8"/>
  <c r="C383" i="8"/>
  <c r="D383" i="8" s="1"/>
  <c r="E383" i="8"/>
  <c r="C384" i="8"/>
  <c r="D384" i="8" s="1"/>
  <c r="E384" i="8"/>
  <c r="C385" i="8"/>
  <c r="D385" i="8" s="1"/>
  <c r="E385" i="8"/>
  <c r="C386" i="8"/>
  <c r="D386" i="8" s="1"/>
  <c r="E386" i="8"/>
  <c r="C387" i="8"/>
  <c r="D387" i="8" s="1"/>
  <c r="E387" i="8"/>
  <c r="C388" i="8"/>
  <c r="D388" i="8" s="1"/>
  <c r="E388" i="8"/>
  <c r="C389" i="8"/>
  <c r="D389" i="8" s="1"/>
  <c r="E389" i="8"/>
  <c r="C390" i="8"/>
  <c r="D390" i="8" s="1"/>
  <c r="E390" i="8"/>
  <c r="C391" i="8"/>
  <c r="D391" i="8" s="1"/>
  <c r="E391" i="8"/>
  <c r="C392" i="8"/>
  <c r="D392" i="8" s="1"/>
  <c r="E392" i="8"/>
  <c r="C393" i="8"/>
  <c r="D393" i="8" s="1"/>
  <c r="E393" i="8"/>
  <c r="C394" i="8"/>
  <c r="D394" i="8" s="1"/>
  <c r="E394" i="8"/>
  <c r="C395" i="8"/>
  <c r="D395" i="8" s="1"/>
  <c r="E395" i="8"/>
  <c r="C396" i="8"/>
  <c r="D396" i="8" s="1"/>
  <c r="E396" i="8"/>
  <c r="C397" i="8"/>
  <c r="D397" i="8" s="1"/>
  <c r="E397" i="8"/>
  <c r="C398" i="8"/>
  <c r="D398" i="8" s="1"/>
  <c r="E398" i="8"/>
  <c r="C399" i="8"/>
  <c r="D399" i="8" s="1"/>
  <c r="E399" i="8"/>
  <c r="C400" i="8"/>
  <c r="D400" i="8" s="1"/>
  <c r="E400" i="8"/>
  <c r="C401" i="8"/>
  <c r="D401" i="8" s="1"/>
  <c r="E401" i="8"/>
  <c r="C402" i="8"/>
  <c r="D402" i="8" s="1"/>
  <c r="E402" i="8"/>
  <c r="C403" i="8"/>
  <c r="D403" i="8" s="1"/>
  <c r="E403" i="8"/>
  <c r="C404" i="8"/>
  <c r="D404" i="8" s="1"/>
  <c r="E404" i="8"/>
  <c r="C405" i="8"/>
  <c r="D405" i="8" s="1"/>
  <c r="E405" i="8"/>
  <c r="C406" i="8"/>
  <c r="D406" i="8" s="1"/>
  <c r="E406" i="8"/>
  <c r="C407" i="8"/>
  <c r="D407" i="8" s="1"/>
  <c r="E407" i="8"/>
  <c r="C408" i="8"/>
  <c r="D408" i="8" s="1"/>
  <c r="E408" i="8"/>
  <c r="C409" i="8"/>
  <c r="D409" i="8" s="1"/>
  <c r="E409" i="8"/>
  <c r="C410" i="8"/>
  <c r="D410" i="8" s="1"/>
  <c r="E410" i="8"/>
  <c r="C411" i="8"/>
  <c r="D411" i="8" s="1"/>
  <c r="E411" i="8"/>
  <c r="C412" i="8"/>
  <c r="D412" i="8" s="1"/>
  <c r="E412" i="8"/>
  <c r="C413" i="8"/>
  <c r="D413" i="8" s="1"/>
  <c r="E413" i="8"/>
  <c r="C414" i="8"/>
  <c r="D414" i="8" s="1"/>
  <c r="E414" i="8"/>
  <c r="C415" i="8"/>
  <c r="D415" i="8" s="1"/>
  <c r="E415" i="8"/>
  <c r="C416" i="8"/>
  <c r="D416" i="8" s="1"/>
  <c r="E416" i="8"/>
  <c r="C417" i="8"/>
  <c r="D417" i="8" s="1"/>
  <c r="E417" i="8"/>
  <c r="C418" i="8"/>
  <c r="D418" i="8" s="1"/>
  <c r="E418" i="8"/>
  <c r="C419" i="8"/>
  <c r="D419" i="8" s="1"/>
  <c r="E419" i="8"/>
  <c r="C420" i="8"/>
  <c r="D420" i="8" s="1"/>
  <c r="E420" i="8"/>
  <c r="C421" i="8"/>
  <c r="D421" i="8" s="1"/>
  <c r="E421" i="8"/>
  <c r="C422" i="8"/>
  <c r="D422" i="8" s="1"/>
  <c r="E422" i="8"/>
  <c r="C423" i="8"/>
  <c r="D423" i="8" s="1"/>
  <c r="E423" i="8"/>
  <c r="C424" i="8"/>
  <c r="D424" i="8" s="1"/>
  <c r="E424" i="8"/>
  <c r="C425" i="8"/>
  <c r="D425" i="8" s="1"/>
  <c r="E425" i="8"/>
  <c r="C426" i="8"/>
  <c r="D426" i="8" s="1"/>
  <c r="E426" i="8"/>
  <c r="C427" i="8"/>
  <c r="D427" i="8" s="1"/>
  <c r="E427" i="8"/>
  <c r="C428" i="8"/>
  <c r="D428" i="8" s="1"/>
  <c r="E428" i="8"/>
  <c r="C429" i="8"/>
  <c r="D429" i="8" s="1"/>
  <c r="E429" i="8"/>
  <c r="C430" i="8"/>
  <c r="D430" i="8" s="1"/>
  <c r="E430" i="8"/>
  <c r="C431" i="8"/>
  <c r="D431" i="8" s="1"/>
  <c r="E431" i="8"/>
  <c r="C432" i="8"/>
  <c r="D432" i="8" s="1"/>
  <c r="E432" i="8"/>
  <c r="C433" i="8"/>
  <c r="D433" i="8" s="1"/>
  <c r="E433" i="8"/>
  <c r="C434" i="8"/>
  <c r="D434" i="8" s="1"/>
  <c r="E434" i="8"/>
  <c r="C435" i="8"/>
  <c r="D435" i="8" s="1"/>
  <c r="E435" i="8"/>
  <c r="C436" i="8"/>
  <c r="D436" i="8" s="1"/>
  <c r="E436" i="8"/>
  <c r="C437" i="8"/>
  <c r="D437" i="8" s="1"/>
  <c r="E437" i="8"/>
  <c r="C438" i="8"/>
  <c r="D438" i="8" s="1"/>
  <c r="E438" i="8"/>
  <c r="C439" i="8"/>
  <c r="D439" i="8" s="1"/>
  <c r="E439" i="8"/>
  <c r="C440" i="8"/>
  <c r="D440" i="8" s="1"/>
  <c r="E440" i="8"/>
  <c r="C441" i="8"/>
  <c r="D441" i="8" s="1"/>
  <c r="E441" i="8"/>
  <c r="C442" i="8"/>
  <c r="D442" i="8" s="1"/>
  <c r="E442" i="8"/>
  <c r="C443" i="8"/>
  <c r="D443" i="8" s="1"/>
  <c r="E443" i="8"/>
  <c r="C444" i="8"/>
  <c r="D444" i="8" s="1"/>
  <c r="E444" i="8"/>
  <c r="C445" i="8"/>
  <c r="D445" i="8" s="1"/>
  <c r="E445" i="8"/>
  <c r="C446" i="8"/>
  <c r="D446" i="8" s="1"/>
  <c r="E446" i="8"/>
  <c r="C447" i="8"/>
  <c r="D447" i="8" s="1"/>
  <c r="E447" i="8"/>
  <c r="C448" i="8"/>
  <c r="D448" i="8" s="1"/>
  <c r="E448" i="8"/>
  <c r="C449" i="8"/>
  <c r="D449" i="8" s="1"/>
  <c r="E449" i="8"/>
  <c r="C450" i="8"/>
  <c r="D450" i="8" s="1"/>
  <c r="E450" i="8"/>
  <c r="C451" i="8"/>
  <c r="D451" i="8" s="1"/>
  <c r="E451" i="8"/>
  <c r="C452" i="8"/>
  <c r="D452" i="8" s="1"/>
  <c r="E452" i="8"/>
  <c r="C453" i="8"/>
  <c r="D453" i="8" s="1"/>
  <c r="E453" i="8"/>
  <c r="C454" i="8"/>
  <c r="D454" i="8" s="1"/>
  <c r="E454" i="8"/>
  <c r="C455" i="8"/>
  <c r="D455" i="8" s="1"/>
  <c r="E455" i="8"/>
  <c r="C456" i="8"/>
  <c r="D456" i="8" s="1"/>
  <c r="E456" i="8"/>
  <c r="C457" i="8"/>
  <c r="D457" i="8" s="1"/>
  <c r="E457" i="8"/>
  <c r="C458" i="8"/>
  <c r="D458" i="8" s="1"/>
  <c r="E458" i="8"/>
  <c r="C459" i="8"/>
  <c r="D459" i="8" s="1"/>
  <c r="E459" i="8"/>
  <c r="C460" i="8"/>
  <c r="D460" i="8" s="1"/>
  <c r="E460" i="8"/>
  <c r="C461" i="8"/>
  <c r="D461" i="8" s="1"/>
  <c r="E461" i="8"/>
  <c r="C462" i="8"/>
  <c r="D462" i="8" s="1"/>
  <c r="E462" i="8"/>
  <c r="C463" i="8"/>
  <c r="D463" i="8" s="1"/>
  <c r="E463" i="8"/>
  <c r="C464" i="8"/>
  <c r="D464" i="8" s="1"/>
  <c r="E464" i="8"/>
  <c r="C465" i="8"/>
  <c r="D465" i="8" s="1"/>
  <c r="E465" i="8"/>
  <c r="C466" i="8"/>
  <c r="D466" i="8" s="1"/>
  <c r="E466" i="8"/>
  <c r="C467" i="8"/>
  <c r="D467" i="8" s="1"/>
  <c r="E467" i="8"/>
  <c r="C468" i="8"/>
  <c r="D468" i="8" s="1"/>
  <c r="E468" i="8"/>
  <c r="C469" i="8"/>
  <c r="D469" i="8" s="1"/>
  <c r="E469" i="8"/>
  <c r="C470" i="8"/>
  <c r="D470" i="8" s="1"/>
  <c r="E470" i="8"/>
  <c r="C471" i="8"/>
  <c r="D471" i="8" s="1"/>
  <c r="E471" i="8"/>
  <c r="C472" i="8"/>
  <c r="D472" i="8" s="1"/>
  <c r="E472" i="8"/>
  <c r="C473" i="8"/>
  <c r="D473" i="8" s="1"/>
  <c r="E473" i="8"/>
  <c r="C474" i="8"/>
  <c r="D474" i="8" s="1"/>
  <c r="E474" i="8"/>
  <c r="C475" i="8"/>
  <c r="D475" i="8" s="1"/>
  <c r="E475" i="8"/>
  <c r="C476" i="8"/>
  <c r="D476" i="8" s="1"/>
  <c r="E476" i="8"/>
  <c r="C477" i="8"/>
  <c r="D477" i="8" s="1"/>
  <c r="E477" i="8"/>
  <c r="C478" i="8"/>
  <c r="D478" i="8" s="1"/>
  <c r="E478" i="8"/>
  <c r="C479" i="8"/>
  <c r="D479" i="8" s="1"/>
  <c r="E479" i="8"/>
  <c r="C480" i="8"/>
  <c r="D480" i="8" s="1"/>
  <c r="E480" i="8"/>
  <c r="C481" i="8"/>
  <c r="D481" i="8" s="1"/>
  <c r="E481" i="8"/>
  <c r="C482" i="8"/>
  <c r="D482" i="8" s="1"/>
  <c r="E482" i="8"/>
  <c r="C483" i="8"/>
  <c r="D483" i="8" s="1"/>
  <c r="E483" i="8"/>
  <c r="C484" i="8"/>
  <c r="D484" i="8" s="1"/>
  <c r="E484" i="8"/>
  <c r="C485" i="8"/>
  <c r="D485" i="8" s="1"/>
  <c r="E485" i="8"/>
  <c r="C486" i="8"/>
  <c r="D486" i="8" s="1"/>
  <c r="E486" i="8"/>
  <c r="C487" i="8"/>
  <c r="D487" i="8" s="1"/>
  <c r="E487" i="8"/>
  <c r="C488" i="8"/>
  <c r="D488" i="8" s="1"/>
  <c r="E488" i="8"/>
  <c r="C489" i="8"/>
  <c r="D489" i="8" s="1"/>
  <c r="E489" i="8"/>
  <c r="C490" i="8"/>
  <c r="D490" i="8" s="1"/>
  <c r="E490" i="8"/>
  <c r="C491" i="8"/>
  <c r="D491" i="8" s="1"/>
  <c r="E491" i="8"/>
  <c r="C492" i="8"/>
  <c r="D492" i="8" s="1"/>
  <c r="E492" i="8"/>
  <c r="C493" i="8"/>
  <c r="D493" i="8" s="1"/>
  <c r="E493" i="8"/>
  <c r="C494" i="8"/>
  <c r="D494" i="8" s="1"/>
  <c r="E494" i="8"/>
  <c r="C495" i="8"/>
  <c r="D495" i="8" s="1"/>
  <c r="E495" i="8"/>
  <c r="C496" i="8"/>
  <c r="D496" i="8" s="1"/>
  <c r="E496" i="8"/>
  <c r="C497" i="8"/>
  <c r="D497" i="8" s="1"/>
  <c r="E497" i="8"/>
  <c r="C498" i="8"/>
  <c r="D498" i="8" s="1"/>
  <c r="E498" i="8"/>
  <c r="C499" i="8"/>
  <c r="D499" i="8" s="1"/>
  <c r="E499" i="8"/>
  <c r="C500" i="8"/>
  <c r="D500" i="8" s="1"/>
  <c r="E500" i="8"/>
  <c r="C501" i="8"/>
  <c r="D501" i="8" s="1"/>
  <c r="E501" i="8"/>
  <c r="C502" i="8"/>
  <c r="D502" i="8" s="1"/>
  <c r="E502" i="8"/>
  <c r="C503" i="8"/>
  <c r="D503" i="8" s="1"/>
  <c r="E503" i="8"/>
  <c r="C504" i="8"/>
  <c r="D504" i="8" s="1"/>
  <c r="E504" i="8"/>
  <c r="C505" i="8"/>
  <c r="D505" i="8" s="1"/>
  <c r="E505" i="8"/>
  <c r="C506" i="8"/>
  <c r="D506" i="8" s="1"/>
  <c r="E506" i="8"/>
  <c r="C507" i="8"/>
  <c r="D507" i="8" s="1"/>
  <c r="E507" i="8"/>
  <c r="C508" i="8"/>
  <c r="D508" i="8" s="1"/>
  <c r="E508" i="8"/>
  <c r="C509" i="8"/>
  <c r="D509" i="8" s="1"/>
  <c r="E509" i="8"/>
  <c r="C510" i="8"/>
  <c r="D510" i="8" s="1"/>
  <c r="E510" i="8"/>
  <c r="C511" i="8"/>
  <c r="D511" i="8" s="1"/>
  <c r="E511" i="8"/>
  <c r="C512" i="8"/>
  <c r="D512" i="8" s="1"/>
  <c r="E512" i="8"/>
  <c r="C513" i="8"/>
  <c r="D513" i="8" s="1"/>
  <c r="E513" i="8"/>
  <c r="C514" i="8"/>
  <c r="D514" i="8" s="1"/>
  <c r="E514" i="8"/>
  <c r="C515" i="8"/>
  <c r="D515" i="8" s="1"/>
  <c r="E515" i="8"/>
  <c r="C516" i="8"/>
  <c r="D516" i="8" s="1"/>
  <c r="E516" i="8"/>
  <c r="C517" i="8"/>
  <c r="D517" i="8" s="1"/>
  <c r="E517" i="8"/>
  <c r="C518" i="8"/>
  <c r="D518" i="8" s="1"/>
  <c r="E518" i="8"/>
  <c r="C519" i="8"/>
  <c r="D519" i="8" s="1"/>
  <c r="E519" i="8"/>
  <c r="C520" i="8"/>
  <c r="D520" i="8" s="1"/>
  <c r="E520" i="8"/>
  <c r="C521" i="8"/>
  <c r="D521" i="8" s="1"/>
  <c r="E521" i="8"/>
  <c r="C522" i="8"/>
  <c r="D522" i="8" s="1"/>
  <c r="E522" i="8"/>
  <c r="C523" i="8"/>
  <c r="D523" i="8" s="1"/>
  <c r="E523" i="8"/>
  <c r="C524" i="8"/>
  <c r="D524" i="8" s="1"/>
  <c r="E524" i="8"/>
  <c r="C525" i="8"/>
  <c r="D525" i="8" s="1"/>
  <c r="E525" i="8"/>
  <c r="C526" i="8"/>
  <c r="D526" i="8" s="1"/>
  <c r="E526" i="8"/>
  <c r="C527" i="8"/>
  <c r="D527" i="8" s="1"/>
  <c r="E527" i="8"/>
  <c r="C528" i="8"/>
  <c r="D528" i="8" s="1"/>
  <c r="E528" i="8"/>
  <c r="C529" i="8"/>
  <c r="D529" i="8" s="1"/>
  <c r="E529" i="8"/>
  <c r="C530" i="8"/>
  <c r="D530" i="8" s="1"/>
  <c r="E530" i="8"/>
  <c r="C531" i="8"/>
  <c r="D531" i="8" s="1"/>
  <c r="E531" i="8"/>
  <c r="C532" i="8"/>
  <c r="D532" i="8" s="1"/>
  <c r="E532" i="8"/>
  <c r="C533" i="8"/>
  <c r="D533" i="8" s="1"/>
  <c r="E533" i="8"/>
  <c r="C534" i="8"/>
  <c r="D534" i="8" s="1"/>
  <c r="E534" i="8"/>
  <c r="C535" i="8"/>
  <c r="D535" i="8" s="1"/>
  <c r="E535" i="8"/>
  <c r="C536" i="8"/>
  <c r="D536" i="8" s="1"/>
  <c r="E536" i="8"/>
  <c r="C537" i="8"/>
  <c r="D537" i="8" s="1"/>
  <c r="E537" i="8"/>
  <c r="C538" i="8"/>
  <c r="D538" i="8" s="1"/>
  <c r="E538" i="8"/>
  <c r="C539" i="8"/>
  <c r="D539" i="8" s="1"/>
  <c r="E539" i="8"/>
  <c r="C540" i="8"/>
  <c r="D540" i="8" s="1"/>
  <c r="E540" i="8"/>
  <c r="C541" i="8"/>
  <c r="D541" i="8" s="1"/>
  <c r="E541" i="8"/>
  <c r="C542" i="8"/>
  <c r="D542" i="8" s="1"/>
  <c r="E542" i="8"/>
  <c r="C543" i="8"/>
  <c r="D543" i="8" s="1"/>
  <c r="E543" i="8"/>
  <c r="C544" i="8"/>
  <c r="D544" i="8" s="1"/>
  <c r="E544" i="8"/>
  <c r="C545" i="8"/>
  <c r="D545" i="8" s="1"/>
  <c r="E545" i="8"/>
  <c r="C546" i="8"/>
  <c r="D546" i="8" s="1"/>
  <c r="E546" i="8"/>
  <c r="C547" i="8"/>
  <c r="D547" i="8" s="1"/>
  <c r="E547" i="8"/>
  <c r="C548" i="8"/>
  <c r="D548" i="8" s="1"/>
  <c r="E548" i="8"/>
  <c r="C549" i="8"/>
  <c r="D549" i="8" s="1"/>
  <c r="E549" i="8"/>
  <c r="C550" i="8"/>
  <c r="D550" i="8" s="1"/>
  <c r="E550" i="8"/>
  <c r="C551" i="8"/>
  <c r="D551" i="8" s="1"/>
  <c r="E551" i="8"/>
  <c r="C552" i="8"/>
  <c r="D552" i="8" s="1"/>
  <c r="E552" i="8"/>
  <c r="C553" i="8"/>
  <c r="D553" i="8" s="1"/>
  <c r="E553" i="8"/>
  <c r="C554" i="8"/>
  <c r="D554" i="8" s="1"/>
  <c r="E554" i="8"/>
  <c r="C555" i="8"/>
  <c r="D555" i="8" s="1"/>
  <c r="E555" i="8"/>
  <c r="C556" i="8"/>
  <c r="D556" i="8" s="1"/>
  <c r="E556" i="8"/>
  <c r="C557" i="8"/>
  <c r="D557" i="8" s="1"/>
  <c r="E557" i="8"/>
  <c r="C558" i="8"/>
  <c r="D558" i="8" s="1"/>
  <c r="E558" i="8"/>
  <c r="C559" i="8"/>
  <c r="D559" i="8" s="1"/>
  <c r="E559" i="8"/>
  <c r="C560" i="8"/>
  <c r="D560" i="8" s="1"/>
  <c r="E560" i="8"/>
  <c r="C561" i="8"/>
  <c r="D561" i="8" s="1"/>
  <c r="E561" i="8"/>
  <c r="C562" i="8"/>
  <c r="D562" i="8" s="1"/>
  <c r="E562" i="8"/>
  <c r="C563" i="8"/>
  <c r="D563" i="8" s="1"/>
  <c r="E563" i="8"/>
  <c r="C564" i="8"/>
  <c r="D564" i="8" s="1"/>
  <c r="E564" i="8"/>
  <c r="C565" i="8"/>
  <c r="D565" i="8" s="1"/>
  <c r="E565" i="8"/>
  <c r="C566" i="8"/>
  <c r="D566" i="8" s="1"/>
  <c r="E566" i="8"/>
  <c r="C567" i="8"/>
  <c r="D567" i="8" s="1"/>
  <c r="E567" i="8"/>
  <c r="C568" i="8"/>
  <c r="D568" i="8" s="1"/>
  <c r="E568" i="8"/>
  <c r="C569" i="8"/>
  <c r="D569" i="8" s="1"/>
  <c r="E569" i="8"/>
  <c r="C570" i="8"/>
  <c r="D570" i="8" s="1"/>
  <c r="E570" i="8"/>
  <c r="C571" i="8"/>
  <c r="D571" i="8" s="1"/>
  <c r="E571" i="8"/>
  <c r="C572" i="8"/>
  <c r="D572" i="8" s="1"/>
  <c r="E572" i="8"/>
  <c r="C573" i="8"/>
  <c r="D573" i="8" s="1"/>
  <c r="E573" i="8"/>
  <c r="C574" i="8"/>
  <c r="D574" i="8" s="1"/>
  <c r="E574" i="8"/>
  <c r="C575" i="8"/>
  <c r="D575" i="8" s="1"/>
  <c r="E575" i="8"/>
  <c r="C576" i="8"/>
  <c r="D576" i="8" s="1"/>
  <c r="E576" i="8"/>
  <c r="C577" i="8"/>
  <c r="D577" i="8" s="1"/>
  <c r="E577" i="8"/>
  <c r="C578" i="8"/>
  <c r="D578" i="8" s="1"/>
  <c r="E578" i="8"/>
  <c r="C579" i="8"/>
  <c r="D579" i="8" s="1"/>
  <c r="E579" i="8"/>
  <c r="C580" i="8"/>
  <c r="D580" i="8" s="1"/>
  <c r="E580" i="8"/>
  <c r="C581" i="8"/>
  <c r="D581" i="8" s="1"/>
  <c r="E581" i="8"/>
  <c r="C582" i="8"/>
  <c r="D582" i="8" s="1"/>
  <c r="E582" i="8"/>
  <c r="C583" i="8"/>
  <c r="D583" i="8" s="1"/>
  <c r="E583" i="8"/>
  <c r="C584" i="8"/>
  <c r="D584" i="8" s="1"/>
  <c r="E584" i="8"/>
  <c r="C585" i="8"/>
  <c r="D585" i="8" s="1"/>
  <c r="E585" i="8"/>
  <c r="C586" i="8"/>
  <c r="D586" i="8" s="1"/>
  <c r="E586" i="8"/>
  <c r="C587" i="8"/>
  <c r="D587" i="8" s="1"/>
  <c r="E587" i="8"/>
  <c r="C588" i="8"/>
  <c r="D588" i="8" s="1"/>
  <c r="E588" i="8"/>
  <c r="C589" i="8"/>
  <c r="D589" i="8" s="1"/>
  <c r="E589" i="8"/>
  <c r="C590" i="8"/>
  <c r="D590" i="8" s="1"/>
  <c r="E590" i="8"/>
  <c r="C591" i="8"/>
  <c r="D591" i="8" s="1"/>
  <c r="E591" i="8"/>
  <c r="C592" i="8"/>
  <c r="D592" i="8" s="1"/>
  <c r="E592" i="8"/>
  <c r="C593" i="8"/>
  <c r="D593" i="8" s="1"/>
  <c r="E593" i="8"/>
  <c r="C594" i="8"/>
  <c r="D594" i="8" s="1"/>
  <c r="E594" i="8"/>
  <c r="C595" i="8"/>
  <c r="D595" i="8" s="1"/>
  <c r="E595" i="8"/>
  <c r="C596" i="8"/>
  <c r="D596" i="8" s="1"/>
  <c r="E596" i="8"/>
  <c r="C597" i="8"/>
  <c r="D597" i="8" s="1"/>
  <c r="E597" i="8"/>
  <c r="C598" i="8"/>
  <c r="D598" i="8" s="1"/>
  <c r="E598" i="8"/>
  <c r="C599" i="8"/>
  <c r="D599" i="8" s="1"/>
  <c r="E599" i="8"/>
  <c r="C600" i="8"/>
  <c r="D600" i="8" s="1"/>
  <c r="E600" i="8"/>
  <c r="C601" i="8"/>
  <c r="D601" i="8" s="1"/>
  <c r="E601" i="8"/>
  <c r="C602" i="8"/>
  <c r="D602" i="8" s="1"/>
  <c r="E602" i="8"/>
  <c r="C603" i="8"/>
  <c r="D603" i="8" s="1"/>
  <c r="E603" i="8"/>
  <c r="C604" i="8"/>
  <c r="D604" i="8" s="1"/>
  <c r="E604" i="8"/>
  <c r="C605" i="8"/>
  <c r="D605" i="8" s="1"/>
  <c r="E605" i="8"/>
  <c r="C606" i="8"/>
  <c r="D606" i="8" s="1"/>
  <c r="E606" i="8"/>
  <c r="C607" i="8"/>
  <c r="D607" i="8" s="1"/>
  <c r="E607" i="8"/>
  <c r="C608" i="8"/>
  <c r="D608" i="8" s="1"/>
  <c r="E608" i="8"/>
  <c r="C609" i="8"/>
  <c r="D609" i="8" s="1"/>
  <c r="E609" i="8"/>
  <c r="C610" i="8"/>
  <c r="D610" i="8" s="1"/>
  <c r="E610" i="8"/>
  <c r="C611" i="8"/>
  <c r="D611" i="8" s="1"/>
  <c r="E611" i="8"/>
  <c r="C612" i="8"/>
  <c r="D612" i="8" s="1"/>
  <c r="E612" i="8"/>
  <c r="C613" i="8"/>
  <c r="D613" i="8" s="1"/>
  <c r="E613" i="8"/>
  <c r="C614" i="8"/>
  <c r="D614" i="8" s="1"/>
  <c r="E614" i="8"/>
  <c r="C615" i="8"/>
  <c r="D615" i="8" s="1"/>
  <c r="E615" i="8"/>
  <c r="C616" i="8"/>
  <c r="D616" i="8" s="1"/>
  <c r="E616" i="8"/>
  <c r="C617" i="8"/>
  <c r="D617" i="8" s="1"/>
  <c r="E617" i="8"/>
  <c r="C618" i="8"/>
  <c r="D618" i="8" s="1"/>
  <c r="E618" i="8"/>
  <c r="C619" i="8"/>
  <c r="D619" i="8" s="1"/>
  <c r="E619" i="8"/>
  <c r="C620" i="8"/>
  <c r="D620" i="8" s="1"/>
  <c r="E620" i="8"/>
  <c r="C621" i="8"/>
  <c r="D621" i="8" s="1"/>
  <c r="E621" i="8"/>
  <c r="C622" i="8"/>
  <c r="D622" i="8" s="1"/>
  <c r="E622" i="8"/>
  <c r="C623" i="8"/>
  <c r="D623" i="8" s="1"/>
  <c r="E623" i="8"/>
  <c r="C624" i="8"/>
  <c r="D624" i="8" s="1"/>
  <c r="E624" i="8"/>
  <c r="C625" i="8"/>
  <c r="D625" i="8" s="1"/>
  <c r="E625" i="8"/>
  <c r="C626" i="8"/>
  <c r="D626" i="8" s="1"/>
  <c r="E626" i="8"/>
  <c r="C627" i="8"/>
  <c r="D627" i="8" s="1"/>
  <c r="E627" i="8"/>
  <c r="C628" i="8"/>
  <c r="D628" i="8" s="1"/>
  <c r="E628" i="8"/>
  <c r="C629" i="8"/>
  <c r="D629" i="8" s="1"/>
  <c r="E629" i="8"/>
  <c r="C630" i="8"/>
  <c r="D630" i="8" s="1"/>
  <c r="E630" i="8"/>
  <c r="C631" i="8"/>
  <c r="D631" i="8" s="1"/>
  <c r="E631" i="8"/>
  <c r="C632" i="8"/>
  <c r="D632" i="8" s="1"/>
  <c r="E632" i="8"/>
  <c r="C633" i="8"/>
  <c r="D633" i="8" s="1"/>
  <c r="E633" i="8"/>
  <c r="C634" i="8"/>
  <c r="D634" i="8" s="1"/>
  <c r="E634" i="8"/>
  <c r="C635" i="8"/>
  <c r="D635" i="8" s="1"/>
  <c r="E635" i="8"/>
  <c r="C636" i="8"/>
  <c r="D636" i="8" s="1"/>
  <c r="E636" i="8"/>
  <c r="C637" i="8"/>
  <c r="D637" i="8" s="1"/>
  <c r="E637" i="8"/>
  <c r="C638" i="8"/>
  <c r="D638" i="8" s="1"/>
  <c r="E638" i="8"/>
  <c r="C639" i="8"/>
  <c r="D639" i="8" s="1"/>
  <c r="E639" i="8"/>
  <c r="C640" i="8"/>
  <c r="D640" i="8" s="1"/>
  <c r="E640" i="8"/>
  <c r="C641" i="8"/>
  <c r="D641" i="8" s="1"/>
  <c r="E641" i="8"/>
  <c r="C642" i="8"/>
  <c r="D642" i="8" s="1"/>
  <c r="E642" i="8"/>
  <c r="C643" i="8"/>
  <c r="D643" i="8" s="1"/>
  <c r="E643" i="8"/>
  <c r="C644" i="8"/>
  <c r="D644" i="8" s="1"/>
  <c r="E644" i="8"/>
  <c r="C645" i="8"/>
  <c r="D645" i="8" s="1"/>
  <c r="E645" i="8"/>
  <c r="C646" i="8"/>
  <c r="D646" i="8" s="1"/>
  <c r="E646" i="8"/>
  <c r="C647" i="8"/>
  <c r="D647" i="8" s="1"/>
  <c r="E647" i="8"/>
  <c r="C648" i="8"/>
  <c r="D648" i="8" s="1"/>
  <c r="E648" i="8"/>
  <c r="C649" i="8"/>
  <c r="D649" i="8" s="1"/>
  <c r="E649" i="8"/>
  <c r="C650" i="8"/>
  <c r="D650" i="8" s="1"/>
  <c r="E650" i="8"/>
  <c r="C651" i="8"/>
  <c r="D651" i="8" s="1"/>
  <c r="E651" i="8"/>
  <c r="C652" i="8"/>
  <c r="D652" i="8" s="1"/>
  <c r="E652" i="8"/>
  <c r="C653" i="8"/>
  <c r="D653" i="8" s="1"/>
  <c r="E653" i="8"/>
  <c r="C654" i="8"/>
  <c r="D654" i="8" s="1"/>
  <c r="E654" i="8"/>
  <c r="C655" i="8"/>
  <c r="D655" i="8" s="1"/>
  <c r="E655" i="8"/>
  <c r="C656" i="8"/>
  <c r="D656" i="8" s="1"/>
  <c r="E656" i="8"/>
  <c r="C657" i="8"/>
  <c r="D657" i="8" s="1"/>
  <c r="E657" i="8"/>
  <c r="C658" i="8"/>
  <c r="D658" i="8" s="1"/>
  <c r="E658" i="8"/>
  <c r="C659" i="8"/>
  <c r="D659" i="8" s="1"/>
  <c r="E659" i="8"/>
  <c r="C660" i="8"/>
  <c r="D660" i="8" s="1"/>
  <c r="E660" i="8"/>
  <c r="C661" i="8"/>
  <c r="D661" i="8" s="1"/>
  <c r="E661" i="8"/>
  <c r="C662" i="8"/>
  <c r="D662" i="8" s="1"/>
  <c r="E662" i="8"/>
  <c r="C663" i="8"/>
  <c r="D663" i="8" s="1"/>
  <c r="E663" i="8"/>
  <c r="C664" i="8"/>
  <c r="D664" i="8" s="1"/>
  <c r="E664" i="8"/>
  <c r="C665" i="8"/>
  <c r="D665" i="8" s="1"/>
  <c r="E665" i="8"/>
  <c r="C666" i="8"/>
  <c r="D666" i="8" s="1"/>
  <c r="E666" i="8"/>
  <c r="C667" i="8"/>
  <c r="D667" i="8" s="1"/>
  <c r="E667" i="8"/>
  <c r="C668" i="8"/>
  <c r="D668" i="8" s="1"/>
  <c r="E668" i="8"/>
  <c r="C669" i="8"/>
  <c r="D669" i="8" s="1"/>
  <c r="E669" i="8"/>
  <c r="C670" i="8"/>
  <c r="D670" i="8" s="1"/>
  <c r="E670" i="8"/>
  <c r="C671" i="8"/>
  <c r="D671" i="8" s="1"/>
  <c r="E671" i="8"/>
  <c r="C672" i="8"/>
  <c r="D672" i="8" s="1"/>
  <c r="E672" i="8"/>
  <c r="C673" i="8"/>
  <c r="D673" i="8" s="1"/>
  <c r="E673" i="8"/>
  <c r="C674" i="8"/>
  <c r="D674" i="8" s="1"/>
  <c r="E674" i="8"/>
  <c r="C675" i="8"/>
  <c r="D675" i="8" s="1"/>
  <c r="E675" i="8"/>
  <c r="C676" i="8"/>
  <c r="D676" i="8" s="1"/>
  <c r="E676" i="8"/>
  <c r="C677" i="8"/>
  <c r="D677" i="8" s="1"/>
  <c r="E677" i="8"/>
  <c r="C678" i="8"/>
  <c r="D678" i="8" s="1"/>
  <c r="E678" i="8"/>
  <c r="C679" i="8"/>
  <c r="D679" i="8" s="1"/>
  <c r="E679" i="8"/>
  <c r="C680" i="8"/>
  <c r="D680" i="8" s="1"/>
  <c r="E680" i="8"/>
  <c r="C681" i="8"/>
  <c r="D681" i="8" s="1"/>
  <c r="E681" i="8"/>
  <c r="C682" i="8"/>
  <c r="D682" i="8" s="1"/>
  <c r="E682" i="8"/>
  <c r="C683" i="8"/>
  <c r="D683" i="8" s="1"/>
  <c r="E683" i="8"/>
  <c r="C684" i="8"/>
  <c r="D684" i="8" s="1"/>
  <c r="E684" i="8"/>
  <c r="C685" i="8"/>
  <c r="D685" i="8" s="1"/>
  <c r="E685" i="8"/>
  <c r="C686" i="8"/>
  <c r="D686" i="8" s="1"/>
  <c r="E686" i="8"/>
  <c r="C687" i="8"/>
  <c r="D687" i="8" s="1"/>
  <c r="E687" i="8"/>
  <c r="C688" i="8"/>
  <c r="D688" i="8" s="1"/>
  <c r="E688" i="8"/>
  <c r="C689" i="8"/>
  <c r="D689" i="8" s="1"/>
  <c r="E689" i="8"/>
  <c r="C690" i="8"/>
  <c r="D690" i="8" s="1"/>
  <c r="E690" i="8"/>
  <c r="C691" i="8"/>
  <c r="D691" i="8" s="1"/>
  <c r="E691" i="8"/>
  <c r="C692" i="8"/>
  <c r="D692" i="8" s="1"/>
  <c r="E692" i="8"/>
  <c r="C693" i="8"/>
  <c r="D693" i="8" s="1"/>
  <c r="E693" i="8"/>
  <c r="C694" i="8"/>
  <c r="D694" i="8" s="1"/>
  <c r="E694" i="8"/>
  <c r="C695" i="8"/>
  <c r="D695" i="8" s="1"/>
  <c r="E695" i="8"/>
  <c r="C696" i="8"/>
  <c r="D696" i="8" s="1"/>
  <c r="E696" i="8"/>
  <c r="C697" i="8"/>
  <c r="D697" i="8" s="1"/>
  <c r="E697" i="8"/>
  <c r="C698" i="8"/>
  <c r="D698" i="8" s="1"/>
  <c r="E698" i="8"/>
  <c r="C699" i="8"/>
  <c r="D699" i="8" s="1"/>
  <c r="E699" i="8"/>
  <c r="C700" i="8"/>
  <c r="D700" i="8" s="1"/>
  <c r="E700" i="8"/>
  <c r="C701" i="8"/>
  <c r="D701" i="8" s="1"/>
  <c r="E701" i="8"/>
  <c r="C702" i="8"/>
  <c r="D702" i="8" s="1"/>
  <c r="E702" i="8"/>
  <c r="C703" i="8"/>
  <c r="D703" i="8" s="1"/>
  <c r="E703" i="8"/>
  <c r="C704" i="8"/>
  <c r="D704" i="8" s="1"/>
  <c r="E704" i="8"/>
  <c r="C705" i="8"/>
  <c r="D705" i="8" s="1"/>
  <c r="E705" i="8"/>
  <c r="C706" i="8"/>
  <c r="D706" i="8" s="1"/>
  <c r="E706" i="8"/>
  <c r="C707" i="8"/>
  <c r="D707" i="8" s="1"/>
  <c r="E707" i="8"/>
  <c r="C708" i="8"/>
  <c r="D708" i="8" s="1"/>
  <c r="E708" i="8"/>
  <c r="C709" i="8"/>
  <c r="D709" i="8" s="1"/>
  <c r="E709" i="8"/>
  <c r="C710" i="8"/>
  <c r="D710" i="8" s="1"/>
  <c r="E710" i="8"/>
  <c r="C711" i="8"/>
  <c r="D711" i="8" s="1"/>
  <c r="E711" i="8"/>
  <c r="C712" i="8"/>
  <c r="D712" i="8" s="1"/>
  <c r="E712" i="8"/>
  <c r="C713" i="8"/>
  <c r="D713" i="8" s="1"/>
  <c r="E713" i="8"/>
  <c r="C714" i="8"/>
  <c r="D714" i="8" s="1"/>
  <c r="E714" i="8"/>
  <c r="C715" i="8"/>
  <c r="D715" i="8" s="1"/>
  <c r="E715" i="8"/>
  <c r="C716" i="8"/>
  <c r="D716" i="8" s="1"/>
  <c r="E716" i="8"/>
  <c r="C717" i="8"/>
  <c r="D717" i="8" s="1"/>
  <c r="E717" i="8"/>
  <c r="C718" i="8"/>
  <c r="D718" i="8" s="1"/>
  <c r="E718" i="8"/>
  <c r="C719" i="8"/>
  <c r="D719" i="8" s="1"/>
  <c r="E719" i="8"/>
  <c r="C720" i="8"/>
  <c r="D720" i="8" s="1"/>
  <c r="E720" i="8"/>
  <c r="C721" i="8"/>
  <c r="D721" i="8" s="1"/>
  <c r="E721" i="8"/>
  <c r="C722" i="8"/>
  <c r="D722" i="8" s="1"/>
  <c r="E722" i="8"/>
  <c r="C723" i="8"/>
  <c r="D723" i="8" s="1"/>
  <c r="E723" i="8"/>
  <c r="C724" i="8"/>
  <c r="D724" i="8" s="1"/>
  <c r="E724" i="8"/>
  <c r="C725" i="8"/>
  <c r="D725" i="8" s="1"/>
  <c r="E725" i="8"/>
  <c r="C726" i="8"/>
  <c r="D726" i="8" s="1"/>
  <c r="E726" i="8"/>
  <c r="C727" i="8"/>
  <c r="D727" i="8" s="1"/>
  <c r="E727" i="8"/>
  <c r="C728" i="8"/>
  <c r="D728" i="8" s="1"/>
  <c r="E728" i="8"/>
  <c r="C729" i="8"/>
  <c r="D729" i="8" s="1"/>
  <c r="E729" i="8"/>
  <c r="C730" i="8"/>
  <c r="D730" i="8" s="1"/>
  <c r="E730" i="8"/>
  <c r="C731" i="8"/>
  <c r="D731" i="8" s="1"/>
  <c r="E731" i="8"/>
  <c r="C732" i="8"/>
  <c r="D732" i="8" s="1"/>
  <c r="E732" i="8"/>
  <c r="C733" i="8"/>
  <c r="D733" i="8" s="1"/>
  <c r="E733" i="8"/>
  <c r="C734" i="8"/>
  <c r="D734" i="8" s="1"/>
  <c r="E734" i="8"/>
  <c r="C735" i="8"/>
  <c r="D735" i="8" s="1"/>
  <c r="E735" i="8"/>
  <c r="C736" i="8"/>
  <c r="D736" i="8" s="1"/>
  <c r="E736" i="8"/>
  <c r="C737" i="8"/>
  <c r="D737" i="8" s="1"/>
  <c r="E737" i="8"/>
  <c r="C738" i="8"/>
  <c r="D738" i="8" s="1"/>
  <c r="E738" i="8"/>
  <c r="C739" i="8"/>
  <c r="D739" i="8" s="1"/>
  <c r="E739" i="8"/>
  <c r="C740" i="8"/>
  <c r="D740" i="8" s="1"/>
  <c r="E740" i="8"/>
  <c r="C741" i="8"/>
  <c r="D741" i="8" s="1"/>
  <c r="E741" i="8"/>
  <c r="C742" i="8"/>
  <c r="D742" i="8" s="1"/>
  <c r="E742" i="8"/>
  <c r="C743" i="8"/>
  <c r="D743" i="8" s="1"/>
  <c r="E743" i="8"/>
  <c r="C744" i="8"/>
  <c r="D744" i="8" s="1"/>
  <c r="E744" i="8"/>
  <c r="C745" i="8"/>
  <c r="D745" i="8" s="1"/>
  <c r="E745" i="8"/>
  <c r="C746" i="8"/>
  <c r="D746" i="8" s="1"/>
  <c r="E746" i="8"/>
  <c r="C747" i="8"/>
  <c r="D747" i="8" s="1"/>
  <c r="E747" i="8"/>
  <c r="C748" i="8"/>
  <c r="D748" i="8" s="1"/>
  <c r="E748" i="8"/>
  <c r="C749" i="8"/>
  <c r="D749" i="8" s="1"/>
  <c r="E749" i="8"/>
  <c r="C750" i="8"/>
  <c r="D750" i="8" s="1"/>
  <c r="E750" i="8"/>
  <c r="C751" i="8"/>
  <c r="D751" i="8" s="1"/>
  <c r="E751" i="8"/>
  <c r="C752" i="8"/>
  <c r="D752" i="8" s="1"/>
  <c r="E752" i="8"/>
  <c r="C753" i="8"/>
  <c r="D753" i="8" s="1"/>
  <c r="E753" i="8"/>
  <c r="C754" i="8"/>
  <c r="D754" i="8" s="1"/>
  <c r="E754" i="8"/>
  <c r="C755" i="8"/>
  <c r="D755" i="8" s="1"/>
  <c r="E755" i="8"/>
  <c r="C756" i="8"/>
  <c r="D756" i="8" s="1"/>
  <c r="E756" i="8"/>
  <c r="C757" i="8"/>
  <c r="D757" i="8" s="1"/>
  <c r="E757" i="8"/>
  <c r="C758" i="8"/>
  <c r="D758" i="8" s="1"/>
  <c r="E758" i="8"/>
  <c r="C759" i="8"/>
  <c r="D759" i="8" s="1"/>
  <c r="E759" i="8"/>
  <c r="C760" i="8"/>
  <c r="D760" i="8" s="1"/>
  <c r="E760" i="8"/>
  <c r="C761" i="8"/>
  <c r="D761" i="8" s="1"/>
  <c r="E761" i="8"/>
  <c r="C762" i="8"/>
  <c r="D762" i="8" s="1"/>
  <c r="E762" i="8"/>
  <c r="C763" i="8"/>
  <c r="D763" i="8" s="1"/>
  <c r="E763" i="8"/>
  <c r="C764" i="8"/>
  <c r="D764" i="8" s="1"/>
  <c r="E764" i="8"/>
  <c r="C765" i="8"/>
  <c r="D765" i="8" s="1"/>
  <c r="E765" i="8"/>
  <c r="C766" i="8"/>
  <c r="D766" i="8" s="1"/>
  <c r="E766" i="8"/>
  <c r="C767" i="8"/>
  <c r="D767" i="8" s="1"/>
  <c r="E767" i="8"/>
  <c r="C768" i="8"/>
  <c r="D768" i="8" s="1"/>
  <c r="E768" i="8"/>
  <c r="C769" i="8"/>
  <c r="D769" i="8" s="1"/>
  <c r="E769" i="8"/>
  <c r="C770" i="8"/>
  <c r="D770" i="8" s="1"/>
  <c r="E770" i="8"/>
  <c r="C771" i="8"/>
  <c r="D771" i="8" s="1"/>
  <c r="E771" i="8"/>
  <c r="C772" i="8"/>
  <c r="D772" i="8" s="1"/>
  <c r="E772" i="8"/>
  <c r="C773" i="8"/>
  <c r="D773" i="8" s="1"/>
  <c r="E773" i="8"/>
  <c r="C774" i="8"/>
  <c r="D774" i="8" s="1"/>
  <c r="E774" i="8"/>
  <c r="C775" i="8"/>
  <c r="D775" i="8" s="1"/>
  <c r="E775" i="8"/>
  <c r="C776" i="8"/>
  <c r="D776" i="8" s="1"/>
  <c r="E776" i="8"/>
  <c r="C777" i="8"/>
  <c r="D777" i="8" s="1"/>
  <c r="E777" i="8"/>
  <c r="C778" i="8"/>
  <c r="D778" i="8" s="1"/>
  <c r="E778" i="8"/>
  <c r="C779" i="8"/>
  <c r="D779" i="8" s="1"/>
  <c r="E779" i="8"/>
  <c r="C780" i="8"/>
  <c r="D780" i="8" s="1"/>
  <c r="E780" i="8"/>
  <c r="C781" i="8"/>
  <c r="D781" i="8" s="1"/>
  <c r="E781" i="8"/>
  <c r="C782" i="8"/>
  <c r="D782" i="8" s="1"/>
  <c r="E782" i="8"/>
  <c r="C783" i="8"/>
  <c r="D783" i="8" s="1"/>
  <c r="E783" i="8"/>
  <c r="C784" i="8"/>
  <c r="D784" i="8" s="1"/>
  <c r="E784" i="8"/>
  <c r="C785" i="8"/>
  <c r="D785" i="8" s="1"/>
  <c r="E785" i="8"/>
  <c r="C786" i="8"/>
  <c r="D786" i="8" s="1"/>
  <c r="E786" i="8"/>
  <c r="C787" i="8"/>
  <c r="D787" i="8" s="1"/>
  <c r="E787" i="8"/>
  <c r="C788" i="8"/>
  <c r="D788" i="8" s="1"/>
  <c r="E788" i="8"/>
  <c r="C789" i="8"/>
  <c r="D789" i="8" s="1"/>
  <c r="E789" i="8"/>
  <c r="C790" i="8"/>
  <c r="D790" i="8" s="1"/>
  <c r="E790" i="8"/>
  <c r="C791" i="8"/>
  <c r="D791" i="8" s="1"/>
  <c r="E791" i="8"/>
  <c r="C792" i="8"/>
  <c r="D792" i="8" s="1"/>
  <c r="E792" i="8"/>
  <c r="C793" i="8"/>
  <c r="D793" i="8" s="1"/>
  <c r="E793" i="8"/>
  <c r="C794" i="8"/>
  <c r="D794" i="8" s="1"/>
  <c r="E794" i="8"/>
  <c r="C795" i="8"/>
  <c r="D795" i="8" s="1"/>
  <c r="E795" i="8"/>
  <c r="C796" i="8"/>
  <c r="D796" i="8" s="1"/>
  <c r="E796" i="8"/>
  <c r="C797" i="8"/>
  <c r="D797" i="8" s="1"/>
  <c r="E797" i="8"/>
  <c r="C798" i="8"/>
  <c r="D798" i="8" s="1"/>
  <c r="E798" i="8"/>
  <c r="C799" i="8"/>
  <c r="D799" i="8" s="1"/>
  <c r="E799" i="8"/>
  <c r="C800" i="8"/>
  <c r="D800" i="8" s="1"/>
  <c r="E800" i="8"/>
  <c r="C801" i="8"/>
  <c r="D801" i="8" s="1"/>
  <c r="E801" i="8"/>
  <c r="C802" i="8"/>
  <c r="D802" i="8" s="1"/>
  <c r="E802" i="8"/>
  <c r="C803" i="8"/>
  <c r="D803" i="8" s="1"/>
  <c r="E803" i="8"/>
  <c r="C804" i="8"/>
  <c r="D804" i="8" s="1"/>
  <c r="E804" i="8"/>
  <c r="C805" i="8"/>
  <c r="D805" i="8" s="1"/>
  <c r="E805" i="8"/>
  <c r="C806" i="8"/>
  <c r="D806" i="8" s="1"/>
  <c r="E806" i="8"/>
  <c r="C807" i="8"/>
  <c r="D807" i="8" s="1"/>
  <c r="E807" i="8"/>
  <c r="C808" i="8"/>
  <c r="D808" i="8" s="1"/>
  <c r="E808" i="8"/>
  <c r="C809" i="8"/>
  <c r="D809" i="8" s="1"/>
  <c r="E809" i="8"/>
  <c r="C810" i="8"/>
  <c r="D810" i="8" s="1"/>
  <c r="E810" i="8"/>
  <c r="C811" i="8"/>
  <c r="D811" i="8" s="1"/>
  <c r="E811" i="8"/>
  <c r="C812" i="8"/>
  <c r="D812" i="8" s="1"/>
  <c r="E812" i="8"/>
  <c r="C813" i="8"/>
  <c r="D813" i="8" s="1"/>
  <c r="E813" i="8"/>
  <c r="C814" i="8"/>
  <c r="D814" i="8" s="1"/>
  <c r="E814" i="8"/>
  <c r="C815" i="8"/>
  <c r="D815" i="8" s="1"/>
  <c r="E815" i="8"/>
  <c r="C816" i="8"/>
  <c r="D816" i="8" s="1"/>
  <c r="E816" i="8"/>
  <c r="C817" i="8"/>
  <c r="D817" i="8" s="1"/>
  <c r="E817" i="8"/>
  <c r="C818" i="8"/>
  <c r="D818" i="8" s="1"/>
  <c r="E818" i="8"/>
  <c r="C819" i="8"/>
  <c r="D819" i="8" s="1"/>
  <c r="E819" i="8"/>
  <c r="C820" i="8"/>
  <c r="D820" i="8" s="1"/>
  <c r="E820" i="8"/>
  <c r="C821" i="8"/>
  <c r="D821" i="8" s="1"/>
  <c r="E821" i="8"/>
  <c r="C822" i="8"/>
  <c r="D822" i="8" s="1"/>
  <c r="E822" i="8"/>
  <c r="C823" i="8"/>
  <c r="D823" i="8" s="1"/>
  <c r="E823" i="8"/>
  <c r="C824" i="8"/>
  <c r="D824" i="8" s="1"/>
  <c r="E824" i="8"/>
  <c r="C825" i="8"/>
  <c r="D825" i="8" s="1"/>
  <c r="E825" i="8"/>
  <c r="C826" i="8"/>
  <c r="D826" i="8" s="1"/>
  <c r="E826" i="8"/>
  <c r="C827" i="8"/>
  <c r="D827" i="8" s="1"/>
  <c r="E827" i="8"/>
  <c r="C828" i="8"/>
  <c r="D828" i="8" s="1"/>
  <c r="E828" i="8"/>
  <c r="C829" i="8"/>
  <c r="D829" i="8" s="1"/>
  <c r="E829" i="8"/>
  <c r="C830" i="8"/>
  <c r="D830" i="8" s="1"/>
  <c r="E830" i="8"/>
  <c r="C831" i="8"/>
  <c r="D831" i="8" s="1"/>
  <c r="E831" i="8"/>
  <c r="C832" i="8"/>
  <c r="D832" i="8" s="1"/>
  <c r="E832" i="8"/>
  <c r="C833" i="8"/>
  <c r="D833" i="8" s="1"/>
  <c r="E833" i="8"/>
  <c r="C834" i="8"/>
  <c r="D834" i="8" s="1"/>
  <c r="E834" i="8"/>
  <c r="C835" i="8"/>
  <c r="D835" i="8" s="1"/>
  <c r="E835" i="8"/>
  <c r="C836" i="8"/>
  <c r="D836" i="8" s="1"/>
  <c r="E836" i="8"/>
  <c r="C837" i="8"/>
  <c r="D837" i="8" s="1"/>
  <c r="E837" i="8"/>
  <c r="C838" i="8"/>
  <c r="D838" i="8" s="1"/>
  <c r="E838" i="8"/>
  <c r="C839" i="8"/>
  <c r="D839" i="8" s="1"/>
  <c r="E839" i="8"/>
  <c r="C840" i="8"/>
  <c r="D840" i="8" s="1"/>
  <c r="E840" i="8"/>
  <c r="C841" i="8"/>
  <c r="D841" i="8" s="1"/>
  <c r="E841" i="8"/>
  <c r="C842" i="8"/>
  <c r="D842" i="8" s="1"/>
  <c r="E842" i="8"/>
  <c r="C843" i="8"/>
  <c r="D843" i="8" s="1"/>
  <c r="E843" i="8"/>
  <c r="C844" i="8"/>
  <c r="D844" i="8" s="1"/>
  <c r="E844" i="8"/>
  <c r="C845" i="8"/>
  <c r="D845" i="8" s="1"/>
  <c r="E845" i="8"/>
  <c r="C846" i="8"/>
  <c r="D846" i="8" s="1"/>
  <c r="E846" i="8"/>
  <c r="C847" i="8"/>
  <c r="D847" i="8" s="1"/>
  <c r="E847" i="8"/>
  <c r="C848" i="8"/>
  <c r="D848" i="8" s="1"/>
  <c r="E848" i="8"/>
  <c r="C849" i="8"/>
  <c r="D849" i="8" s="1"/>
  <c r="E849" i="8"/>
  <c r="C850" i="8"/>
  <c r="D850" i="8" s="1"/>
  <c r="E850" i="8"/>
  <c r="C851" i="8"/>
  <c r="D851" i="8" s="1"/>
  <c r="E851" i="8"/>
  <c r="C852" i="8"/>
  <c r="D852" i="8" s="1"/>
  <c r="E852" i="8"/>
  <c r="C853" i="8"/>
  <c r="D853" i="8" s="1"/>
  <c r="E853" i="8"/>
  <c r="C854" i="8"/>
  <c r="D854" i="8" s="1"/>
  <c r="E854" i="8"/>
  <c r="C855" i="8"/>
  <c r="D855" i="8" s="1"/>
  <c r="E855" i="8"/>
  <c r="C856" i="8"/>
  <c r="D856" i="8" s="1"/>
  <c r="E856" i="8"/>
  <c r="C857" i="8"/>
  <c r="D857" i="8" s="1"/>
  <c r="E857" i="8"/>
  <c r="C858" i="8"/>
  <c r="D858" i="8" s="1"/>
  <c r="E858" i="8"/>
  <c r="C859" i="8"/>
  <c r="D859" i="8" s="1"/>
  <c r="E859" i="8"/>
  <c r="C860" i="8"/>
  <c r="D860" i="8" s="1"/>
  <c r="E860" i="8"/>
  <c r="C861" i="8"/>
  <c r="D861" i="8" s="1"/>
  <c r="E861" i="8"/>
  <c r="C862" i="8"/>
  <c r="D862" i="8" s="1"/>
  <c r="E862" i="8"/>
  <c r="C863" i="8"/>
  <c r="D863" i="8" s="1"/>
  <c r="E863" i="8"/>
  <c r="C864" i="8"/>
  <c r="D864" i="8" s="1"/>
  <c r="E864" i="8"/>
  <c r="C865" i="8"/>
  <c r="D865" i="8" s="1"/>
  <c r="E865" i="8"/>
  <c r="C866" i="8"/>
  <c r="D866" i="8" s="1"/>
  <c r="E866" i="8"/>
  <c r="C867" i="8"/>
  <c r="D867" i="8" s="1"/>
  <c r="E867" i="8"/>
  <c r="C868" i="8"/>
  <c r="D868" i="8" s="1"/>
  <c r="E868" i="8"/>
  <c r="C869" i="8"/>
  <c r="D869" i="8" s="1"/>
  <c r="E869" i="8"/>
  <c r="C870" i="8"/>
  <c r="D870" i="8" s="1"/>
  <c r="E870" i="8"/>
  <c r="C871" i="8"/>
  <c r="D871" i="8" s="1"/>
  <c r="E871" i="8"/>
  <c r="C872" i="8"/>
  <c r="D872" i="8" s="1"/>
  <c r="E872" i="8"/>
  <c r="C873" i="8"/>
  <c r="D873" i="8" s="1"/>
  <c r="E873" i="8"/>
  <c r="C874" i="8"/>
  <c r="D874" i="8" s="1"/>
  <c r="E874" i="8"/>
  <c r="C875" i="8"/>
  <c r="D875" i="8" s="1"/>
  <c r="E875" i="8"/>
  <c r="C876" i="8"/>
  <c r="D876" i="8" s="1"/>
  <c r="E876" i="8"/>
  <c r="C877" i="8"/>
  <c r="D877" i="8" s="1"/>
  <c r="E877" i="8"/>
  <c r="C878" i="8"/>
  <c r="D878" i="8" s="1"/>
  <c r="E878" i="8"/>
  <c r="C879" i="8"/>
  <c r="D879" i="8" s="1"/>
  <c r="E879" i="8"/>
  <c r="C880" i="8"/>
  <c r="D880" i="8" s="1"/>
  <c r="E880" i="8"/>
  <c r="C881" i="8"/>
  <c r="D881" i="8" s="1"/>
  <c r="E881" i="8"/>
  <c r="C882" i="8"/>
  <c r="D882" i="8" s="1"/>
  <c r="E882" i="8"/>
  <c r="C883" i="8"/>
  <c r="D883" i="8" s="1"/>
  <c r="E883" i="8"/>
  <c r="C884" i="8"/>
  <c r="D884" i="8" s="1"/>
  <c r="E884" i="8"/>
  <c r="C885" i="8"/>
  <c r="D885" i="8" s="1"/>
  <c r="E885" i="8"/>
  <c r="C886" i="8"/>
  <c r="D886" i="8" s="1"/>
  <c r="E886" i="8"/>
  <c r="C887" i="8"/>
  <c r="D887" i="8" s="1"/>
  <c r="E887" i="8"/>
  <c r="C888" i="8"/>
  <c r="D888" i="8" s="1"/>
  <c r="E888" i="8"/>
  <c r="C889" i="8"/>
  <c r="D889" i="8" s="1"/>
  <c r="E889" i="8"/>
  <c r="C890" i="8"/>
  <c r="D890" i="8" s="1"/>
  <c r="E890" i="8"/>
  <c r="C891" i="8"/>
  <c r="D891" i="8" s="1"/>
  <c r="E891" i="8"/>
  <c r="C892" i="8"/>
  <c r="D892" i="8" s="1"/>
  <c r="E892" i="8"/>
  <c r="C893" i="8"/>
  <c r="D893" i="8" s="1"/>
  <c r="E893" i="8"/>
  <c r="C894" i="8"/>
  <c r="D894" i="8" s="1"/>
  <c r="E894" i="8"/>
  <c r="C895" i="8"/>
  <c r="D895" i="8" s="1"/>
  <c r="E895" i="8"/>
  <c r="C896" i="8"/>
  <c r="D896" i="8" s="1"/>
  <c r="E896" i="8"/>
  <c r="C897" i="8"/>
  <c r="D897" i="8" s="1"/>
  <c r="E897" i="8"/>
  <c r="C898" i="8"/>
  <c r="D898" i="8" s="1"/>
  <c r="E898" i="8"/>
  <c r="C899" i="8"/>
  <c r="D899" i="8" s="1"/>
  <c r="E899" i="8"/>
  <c r="C900" i="8"/>
  <c r="D900" i="8" s="1"/>
  <c r="E900" i="8"/>
  <c r="C901" i="8"/>
  <c r="D901" i="8" s="1"/>
  <c r="E901" i="8"/>
  <c r="C902" i="8"/>
  <c r="D902" i="8" s="1"/>
  <c r="E902" i="8"/>
  <c r="C903" i="8"/>
  <c r="D903" i="8" s="1"/>
  <c r="E903" i="8"/>
  <c r="C904" i="8"/>
  <c r="D904" i="8" s="1"/>
  <c r="E904" i="8"/>
  <c r="C905" i="8"/>
  <c r="D905" i="8" s="1"/>
  <c r="E905" i="8"/>
  <c r="C906" i="8"/>
  <c r="D906" i="8" s="1"/>
  <c r="E906" i="8"/>
  <c r="C907" i="8"/>
  <c r="D907" i="8" s="1"/>
  <c r="E907" i="8"/>
  <c r="C908" i="8"/>
  <c r="D908" i="8" s="1"/>
  <c r="E908" i="8"/>
  <c r="C909" i="8"/>
  <c r="D909" i="8" s="1"/>
  <c r="E909" i="8"/>
  <c r="C910" i="8"/>
  <c r="D910" i="8" s="1"/>
  <c r="E910" i="8"/>
  <c r="C911" i="8"/>
  <c r="D911" i="8" s="1"/>
  <c r="E911" i="8"/>
  <c r="C912" i="8"/>
  <c r="D912" i="8" s="1"/>
  <c r="E912" i="8"/>
  <c r="C913" i="8"/>
  <c r="D913" i="8" s="1"/>
  <c r="E913" i="8"/>
  <c r="C914" i="8"/>
  <c r="D914" i="8" s="1"/>
  <c r="E914" i="8"/>
  <c r="C915" i="8"/>
  <c r="D915" i="8" s="1"/>
  <c r="E915" i="8"/>
  <c r="C916" i="8"/>
  <c r="D916" i="8" s="1"/>
  <c r="E916" i="8"/>
  <c r="C917" i="8"/>
  <c r="D917" i="8" s="1"/>
  <c r="E917" i="8"/>
  <c r="C918" i="8"/>
  <c r="D918" i="8" s="1"/>
  <c r="E918" i="8"/>
  <c r="C919" i="8"/>
  <c r="D919" i="8" s="1"/>
  <c r="E919" i="8"/>
  <c r="C920" i="8"/>
  <c r="D920" i="8" s="1"/>
  <c r="E920" i="8"/>
  <c r="C921" i="8"/>
  <c r="D921" i="8" s="1"/>
  <c r="E921" i="8"/>
  <c r="C922" i="8"/>
  <c r="D922" i="8" s="1"/>
  <c r="E922" i="8"/>
  <c r="C923" i="8"/>
  <c r="D923" i="8" s="1"/>
  <c r="E923" i="8"/>
  <c r="C924" i="8"/>
  <c r="D924" i="8" s="1"/>
  <c r="E924" i="8"/>
  <c r="C925" i="8"/>
  <c r="D925" i="8" s="1"/>
  <c r="E925" i="8"/>
  <c r="C926" i="8"/>
  <c r="D926" i="8" s="1"/>
  <c r="E926" i="8"/>
  <c r="C927" i="8"/>
  <c r="D927" i="8" s="1"/>
  <c r="E927" i="8"/>
  <c r="C928" i="8"/>
  <c r="D928" i="8" s="1"/>
  <c r="E928" i="8"/>
  <c r="C929" i="8"/>
  <c r="D929" i="8" s="1"/>
  <c r="E929" i="8"/>
  <c r="C930" i="8"/>
  <c r="D930" i="8" s="1"/>
  <c r="E930" i="8"/>
  <c r="C931" i="8"/>
  <c r="D931" i="8" s="1"/>
  <c r="E931" i="8"/>
  <c r="C932" i="8"/>
  <c r="D932" i="8" s="1"/>
  <c r="E932" i="8"/>
  <c r="C933" i="8"/>
  <c r="D933" i="8" s="1"/>
  <c r="E933" i="8"/>
  <c r="C934" i="8"/>
  <c r="D934" i="8" s="1"/>
  <c r="E934" i="8"/>
  <c r="C935" i="8"/>
  <c r="D935" i="8" s="1"/>
  <c r="E935" i="8"/>
  <c r="C936" i="8"/>
  <c r="D936" i="8" s="1"/>
  <c r="E936" i="8"/>
  <c r="C937" i="8"/>
  <c r="D937" i="8" s="1"/>
  <c r="E937" i="8"/>
  <c r="C938" i="8"/>
  <c r="D938" i="8" s="1"/>
  <c r="E938" i="8"/>
  <c r="C939" i="8"/>
  <c r="D939" i="8" s="1"/>
  <c r="E939" i="8"/>
  <c r="C940" i="8"/>
  <c r="D940" i="8" s="1"/>
  <c r="E940" i="8"/>
  <c r="C941" i="8"/>
  <c r="D941" i="8" s="1"/>
  <c r="E941" i="8"/>
  <c r="C942" i="8"/>
  <c r="D942" i="8" s="1"/>
  <c r="E942" i="8"/>
  <c r="C943" i="8"/>
  <c r="D943" i="8" s="1"/>
  <c r="E943" i="8"/>
  <c r="C944" i="8"/>
  <c r="D944" i="8" s="1"/>
  <c r="E944" i="8"/>
  <c r="C945" i="8"/>
  <c r="D945" i="8" s="1"/>
  <c r="E945" i="8"/>
  <c r="C946" i="8"/>
  <c r="D946" i="8" s="1"/>
  <c r="E946" i="8"/>
  <c r="C947" i="8"/>
  <c r="D947" i="8" s="1"/>
  <c r="E947" i="8"/>
  <c r="C948" i="8"/>
  <c r="D948" i="8" s="1"/>
  <c r="E948" i="8"/>
  <c r="C949" i="8"/>
  <c r="D949" i="8" s="1"/>
  <c r="E949" i="8"/>
  <c r="C950" i="8"/>
  <c r="D950" i="8" s="1"/>
  <c r="E950" i="8"/>
  <c r="C951" i="8"/>
  <c r="D951" i="8" s="1"/>
  <c r="E951" i="8"/>
  <c r="C952" i="8"/>
  <c r="D952" i="8" s="1"/>
  <c r="E952" i="8"/>
  <c r="C953" i="8"/>
  <c r="D953" i="8" s="1"/>
  <c r="E953" i="8"/>
  <c r="C954" i="8"/>
  <c r="D954" i="8" s="1"/>
  <c r="E954" i="8"/>
  <c r="C955" i="8"/>
  <c r="D955" i="8" s="1"/>
  <c r="E955" i="8"/>
  <c r="C956" i="8"/>
  <c r="D956" i="8" s="1"/>
  <c r="E956" i="8"/>
  <c r="C957" i="8"/>
  <c r="D957" i="8" s="1"/>
  <c r="E957" i="8"/>
  <c r="C958" i="8"/>
  <c r="D958" i="8" s="1"/>
  <c r="E958" i="8"/>
  <c r="C959" i="8"/>
  <c r="D959" i="8" s="1"/>
  <c r="E959" i="8"/>
  <c r="C960" i="8"/>
  <c r="D960" i="8" s="1"/>
  <c r="E960" i="8"/>
  <c r="C961" i="8"/>
  <c r="D961" i="8" s="1"/>
  <c r="E961" i="8"/>
  <c r="C962" i="8"/>
  <c r="D962" i="8" s="1"/>
  <c r="E962" i="8"/>
  <c r="C963" i="8"/>
  <c r="D963" i="8" s="1"/>
  <c r="E963" i="8"/>
  <c r="C964" i="8"/>
  <c r="D964" i="8" s="1"/>
  <c r="E964" i="8"/>
  <c r="C965" i="8"/>
  <c r="D965" i="8" s="1"/>
  <c r="E965" i="8"/>
  <c r="C966" i="8"/>
  <c r="D966" i="8" s="1"/>
  <c r="E966" i="8"/>
  <c r="C967" i="8"/>
  <c r="D967" i="8" s="1"/>
  <c r="E967" i="8"/>
  <c r="C968" i="8"/>
  <c r="D968" i="8" s="1"/>
  <c r="E968" i="8"/>
  <c r="C969" i="8"/>
  <c r="D969" i="8" s="1"/>
  <c r="E969" i="8"/>
  <c r="C970" i="8"/>
  <c r="D970" i="8" s="1"/>
  <c r="E970" i="8"/>
  <c r="C971" i="8"/>
  <c r="D971" i="8" s="1"/>
  <c r="E971" i="8"/>
  <c r="C972" i="8"/>
  <c r="D972" i="8" s="1"/>
  <c r="E972" i="8"/>
  <c r="C973" i="8"/>
  <c r="D973" i="8" s="1"/>
  <c r="E973" i="8"/>
  <c r="C974" i="8"/>
  <c r="D974" i="8" s="1"/>
  <c r="E974" i="8"/>
  <c r="C975" i="8"/>
  <c r="D975" i="8" s="1"/>
  <c r="E975" i="8"/>
  <c r="C976" i="8"/>
  <c r="D976" i="8" s="1"/>
  <c r="E976" i="8"/>
  <c r="C977" i="8"/>
  <c r="D977" i="8" s="1"/>
  <c r="E977" i="8"/>
  <c r="C978" i="8"/>
  <c r="D978" i="8" s="1"/>
  <c r="E978" i="8"/>
  <c r="C979" i="8"/>
  <c r="D979" i="8" s="1"/>
  <c r="E979" i="8"/>
  <c r="C980" i="8"/>
  <c r="D980" i="8" s="1"/>
  <c r="E980" i="8"/>
  <c r="C981" i="8"/>
  <c r="D981" i="8" s="1"/>
  <c r="E981" i="8"/>
  <c r="C982" i="8"/>
  <c r="D982" i="8" s="1"/>
  <c r="E982" i="8"/>
  <c r="C983" i="8"/>
  <c r="D983" i="8" s="1"/>
  <c r="E983" i="8"/>
  <c r="C984" i="8"/>
  <c r="D984" i="8" s="1"/>
  <c r="E984" i="8"/>
  <c r="C985" i="8"/>
  <c r="D985" i="8" s="1"/>
  <c r="E985" i="8"/>
  <c r="C986" i="8"/>
  <c r="D986" i="8" s="1"/>
  <c r="E986" i="8"/>
  <c r="C987" i="8"/>
  <c r="D987" i="8" s="1"/>
  <c r="E987" i="8"/>
  <c r="C988" i="8"/>
  <c r="D988" i="8" s="1"/>
  <c r="E988" i="8"/>
  <c r="C989" i="8"/>
  <c r="D989" i="8" s="1"/>
  <c r="E989" i="8"/>
  <c r="C990" i="8"/>
  <c r="D990" i="8" s="1"/>
  <c r="E990" i="8"/>
  <c r="C991" i="8"/>
  <c r="D991" i="8" s="1"/>
  <c r="E991" i="8"/>
  <c r="C992" i="8"/>
  <c r="D992" i="8" s="1"/>
  <c r="E992" i="8"/>
  <c r="C993" i="8"/>
  <c r="D993" i="8" s="1"/>
  <c r="E993" i="8"/>
  <c r="C994" i="8"/>
  <c r="D994" i="8" s="1"/>
  <c r="E994" i="8"/>
  <c r="C995" i="8"/>
  <c r="D995" i="8" s="1"/>
  <c r="E995" i="8"/>
  <c r="C996" i="8"/>
  <c r="D996" i="8" s="1"/>
  <c r="E996" i="8"/>
  <c r="C997" i="8"/>
  <c r="D997" i="8" s="1"/>
  <c r="E997" i="8"/>
  <c r="C998" i="8"/>
  <c r="D998" i="8" s="1"/>
  <c r="E998" i="8"/>
  <c r="C999" i="8"/>
  <c r="D999" i="8" s="1"/>
  <c r="E999" i="8"/>
  <c r="C1000" i="8"/>
  <c r="D1000" i="8" s="1"/>
  <c r="E1000" i="8"/>
  <c r="C1001" i="8"/>
  <c r="D1001" i="8" s="1"/>
  <c r="E1001" i="8"/>
  <c r="C1002" i="8"/>
  <c r="D1002" i="8" s="1"/>
  <c r="E1002" i="8"/>
  <c r="C1003" i="8"/>
  <c r="D1003" i="8" s="1"/>
  <c r="E1003" i="8"/>
  <c r="C1004" i="8"/>
  <c r="D1004" i="8" s="1"/>
  <c r="E1004" i="8"/>
  <c r="C1005" i="8"/>
  <c r="D1005" i="8" s="1"/>
  <c r="E1005" i="8"/>
  <c r="C1006" i="8"/>
  <c r="D1006" i="8" s="1"/>
  <c r="E1006" i="8"/>
  <c r="C1007" i="8"/>
  <c r="D1007" i="8" s="1"/>
  <c r="E1007" i="8"/>
  <c r="C1008" i="8"/>
  <c r="D1008" i="8" s="1"/>
  <c r="E1008" i="8"/>
  <c r="C1009" i="8"/>
  <c r="D1009" i="8" s="1"/>
  <c r="E1009" i="8"/>
  <c r="C1010" i="8"/>
  <c r="D1010" i="8" s="1"/>
  <c r="E1010" i="8"/>
  <c r="C1011" i="8"/>
  <c r="D1011" i="8" s="1"/>
  <c r="E1011" i="8"/>
  <c r="C1012" i="8"/>
  <c r="D1012" i="8" s="1"/>
  <c r="E1012" i="8"/>
  <c r="C1013" i="8"/>
  <c r="D1013" i="8" s="1"/>
  <c r="E1013" i="8"/>
  <c r="C1014" i="8"/>
  <c r="D1014" i="8" s="1"/>
  <c r="E1014" i="8"/>
  <c r="C1015" i="8"/>
  <c r="D1015" i="8" s="1"/>
  <c r="E1015" i="8"/>
  <c r="C1016" i="8"/>
  <c r="D1016" i="8" s="1"/>
  <c r="E1016" i="8"/>
  <c r="C1017" i="8"/>
  <c r="D1017" i="8" s="1"/>
  <c r="E1017" i="8"/>
  <c r="C1018" i="8"/>
  <c r="D1018" i="8" s="1"/>
  <c r="E1018" i="8"/>
  <c r="C1019" i="8"/>
  <c r="D1019" i="8" s="1"/>
  <c r="E1019" i="8"/>
  <c r="C1020" i="8"/>
  <c r="D1020" i="8" s="1"/>
  <c r="E1020" i="8"/>
  <c r="C1021" i="8"/>
  <c r="D1021" i="8" s="1"/>
  <c r="E1021" i="8"/>
  <c r="C1022" i="8"/>
  <c r="D1022" i="8" s="1"/>
  <c r="E1022" i="8"/>
  <c r="C1023" i="8"/>
  <c r="D1023" i="8" s="1"/>
  <c r="E1023" i="8"/>
  <c r="C1024" i="8"/>
  <c r="D1024" i="8" s="1"/>
  <c r="E1024" i="8"/>
  <c r="C1025" i="8"/>
  <c r="D1025" i="8" s="1"/>
  <c r="E1025" i="8"/>
  <c r="C1026" i="8"/>
  <c r="D1026" i="8" s="1"/>
  <c r="E1026" i="8"/>
  <c r="C1027" i="8"/>
  <c r="D1027" i="8" s="1"/>
  <c r="E1027" i="8"/>
  <c r="C1028" i="8"/>
  <c r="D1028" i="8" s="1"/>
  <c r="E1028" i="8"/>
  <c r="C1029" i="8"/>
  <c r="D1029" i="8" s="1"/>
  <c r="E1029" i="8"/>
  <c r="C1030" i="8"/>
  <c r="D1030" i="8" s="1"/>
  <c r="E1030" i="8"/>
  <c r="C1031" i="8"/>
  <c r="D1031" i="8" s="1"/>
  <c r="E1031" i="8"/>
  <c r="C1032" i="8"/>
  <c r="D1032" i="8" s="1"/>
  <c r="E1032" i="8"/>
  <c r="C1033" i="8"/>
  <c r="D1033" i="8" s="1"/>
  <c r="E1033" i="8"/>
  <c r="C1034" i="8"/>
  <c r="D1034" i="8" s="1"/>
  <c r="E1034" i="8"/>
  <c r="C1035" i="8"/>
  <c r="D1035" i="8" s="1"/>
  <c r="E1035" i="8"/>
  <c r="C1036" i="8"/>
  <c r="D1036" i="8" s="1"/>
  <c r="E1036" i="8"/>
  <c r="C1037" i="8"/>
  <c r="D1037" i="8" s="1"/>
  <c r="E1037" i="8"/>
  <c r="C1038" i="8"/>
  <c r="D1038" i="8" s="1"/>
  <c r="E1038" i="8"/>
  <c r="C1039" i="8"/>
  <c r="D1039" i="8" s="1"/>
  <c r="E1039" i="8"/>
  <c r="C1040" i="8"/>
  <c r="D1040" i="8" s="1"/>
  <c r="E1040" i="8"/>
  <c r="C1041" i="8"/>
  <c r="D1041" i="8" s="1"/>
  <c r="E1041" i="8"/>
  <c r="C1042" i="8"/>
  <c r="D1042" i="8" s="1"/>
  <c r="E1042" i="8"/>
  <c r="C1043" i="8"/>
  <c r="D1043" i="8" s="1"/>
  <c r="E1043" i="8"/>
  <c r="C1044" i="8"/>
  <c r="D1044" i="8" s="1"/>
  <c r="E1044" i="8"/>
  <c r="C1045" i="8"/>
  <c r="D1045" i="8" s="1"/>
  <c r="E1045" i="8"/>
  <c r="C1046" i="8"/>
  <c r="D1046" i="8" s="1"/>
  <c r="E1046" i="8"/>
  <c r="C1047" i="8"/>
  <c r="D1047" i="8" s="1"/>
  <c r="E1047" i="8"/>
  <c r="C1048" i="8"/>
  <c r="D1048" i="8" s="1"/>
  <c r="E1048" i="8"/>
  <c r="C1049" i="8"/>
  <c r="D1049" i="8" s="1"/>
  <c r="E1049" i="8"/>
  <c r="C1050" i="8"/>
  <c r="D1050" i="8" s="1"/>
  <c r="E1050" i="8"/>
  <c r="C1051" i="8"/>
  <c r="D1051" i="8" s="1"/>
  <c r="E1051" i="8"/>
  <c r="C1052" i="8"/>
  <c r="D1052" i="8" s="1"/>
  <c r="E1052" i="8"/>
  <c r="C1053" i="8"/>
  <c r="D1053" i="8" s="1"/>
  <c r="E1053" i="8"/>
  <c r="C1054" i="8"/>
  <c r="D1054" i="8" s="1"/>
  <c r="E1054" i="8"/>
  <c r="C1055" i="8"/>
  <c r="D1055" i="8" s="1"/>
  <c r="E1055" i="8"/>
  <c r="C1056" i="8"/>
  <c r="D1056" i="8" s="1"/>
  <c r="E1056" i="8"/>
  <c r="C1057" i="8"/>
  <c r="D1057" i="8" s="1"/>
  <c r="E1057" i="8"/>
  <c r="C1058" i="8"/>
  <c r="D1058" i="8" s="1"/>
  <c r="E1058" i="8"/>
  <c r="C1059" i="8"/>
  <c r="D1059" i="8" s="1"/>
  <c r="E1059" i="8"/>
  <c r="C1060" i="8"/>
  <c r="D1060" i="8" s="1"/>
  <c r="E1060" i="8"/>
  <c r="C1061" i="8"/>
  <c r="D1061" i="8" s="1"/>
  <c r="E1061" i="8"/>
  <c r="C1062" i="8"/>
  <c r="D1062" i="8" s="1"/>
  <c r="E1062" i="8"/>
  <c r="C1063" i="8"/>
  <c r="D1063" i="8" s="1"/>
  <c r="E1063" i="8"/>
  <c r="C1064" i="8"/>
  <c r="D1064" i="8" s="1"/>
  <c r="E1064" i="8"/>
  <c r="C1065" i="8"/>
  <c r="D1065" i="8" s="1"/>
  <c r="E1065" i="8"/>
  <c r="C1066" i="8"/>
  <c r="D1066" i="8" s="1"/>
  <c r="E1066" i="8"/>
  <c r="C1067" i="8"/>
  <c r="D1067" i="8" s="1"/>
  <c r="E1067" i="8"/>
  <c r="C1068" i="8"/>
  <c r="D1068" i="8" s="1"/>
  <c r="E1068" i="8"/>
  <c r="C1069" i="8"/>
  <c r="D1069" i="8" s="1"/>
  <c r="E1069" i="8"/>
  <c r="C1070" i="8"/>
  <c r="D1070" i="8" s="1"/>
  <c r="E1070" i="8"/>
  <c r="C1071" i="8"/>
  <c r="D1071" i="8" s="1"/>
  <c r="E1071" i="8"/>
  <c r="C1072" i="8"/>
  <c r="D1072" i="8" s="1"/>
  <c r="E1072" i="8"/>
  <c r="C1073" i="8"/>
  <c r="D1073" i="8" s="1"/>
  <c r="E1073" i="8"/>
  <c r="C1074" i="8"/>
  <c r="D1074" i="8" s="1"/>
  <c r="E1074" i="8"/>
  <c r="C1075" i="8"/>
  <c r="D1075" i="8" s="1"/>
  <c r="E1075" i="8"/>
  <c r="C1076" i="8"/>
  <c r="D1076" i="8" s="1"/>
  <c r="E1076" i="8"/>
  <c r="C1077" i="8"/>
  <c r="D1077" i="8" s="1"/>
  <c r="E1077" i="8"/>
  <c r="C1078" i="8"/>
  <c r="D1078" i="8" s="1"/>
  <c r="E1078" i="8"/>
  <c r="C1079" i="8"/>
  <c r="D1079" i="8" s="1"/>
  <c r="E1079" i="8"/>
  <c r="C1080" i="8"/>
  <c r="D1080" i="8" s="1"/>
  <c r="E1080" i="8"/>
  <c r="C1081" i="8"/>
  <c r="D1081" i="8" s="1"/>
  <c r="E1081" i="8"/>
  <c r="C1082" i="8"/>
  <c r="D1082" i="8" s="1"/>
  <c r="E1082" i="8"/>
  <c r="C1083" i="8"/>
  <c r="D1083" i="8" s="1"/>
  <c r="E1083" i="8"/>
  <c r="C1084" i="8"/>
  <c r="D1084" i="8" s="1"/>
  <c r="E1084" i="8"/>
  <c r="C1085" i="8"/>
  <c r="D1085" i="8" s="1"/>
  <c r="E1085" i="8"/>
  <c r="C1086" i="8"/>
  <c r="D1086" i="8" s="1"/>
  <c r="E1086" i="8"/>
  <c r="C1087" i="8"/>
  <c r="D1087" i="8" s="1"/>
  <c r="E1087" i="8"/>
  <c r="C1088" i="8"/>
  <c r="D1088" i="8" s="1"/>
  <c r="E1088" i="8"/>
  <c r="C1089" i="8"/>
  <c r="D1089" i="8" s="1"/>
  <c r="E1089" i="8"/>
  <c r="C1090" i="8"/>
  <c r="D1090" i="8" s="1"/>
  <c r="E1090" i="8"/>
  <c r="C1091" i="8"/>
  <c r="D1091" i="8" s="1"/>
  <c r="E1091" i="8"/>
  <c r="C1092" i="8"/>
  <c r="D1092" i="8" s="1"/>
  <c r="E1092" i="8"/>
  <c r="C1093" i="8"/>
  <c r="D1093" i="8" s="1"/>
  <c r="E1093" i="8"/>
  <c r="C1094" i="8"/>
  <c r="D1094" i="8" s="1"/>
  <c r="E1094" i="8"/>
  <c r="C1095" i="8"/>
  <c r="D1095" i="8" s="1"/>
  <c r="E1095" i="8"/>
  <c r="C1096" i="8"/>
  <c r="D1096" i="8" s="1"/>
  <c r="E1096" i="8"/>
  <c r="C1097" i="8"/>
  <c r="D1097" i="8" s="1"/>
  <c r="E1097" i="8"/>
  <c r="C1098" i="8"/>
  <c r="D1098" i="8" s="1"/>
  <c r="E1098" i="8"/>
  <c r="C1099" i="8"/>
  <c r="D1099" i="8" s="1"/>
  <c r="E1099" i="8"/>
  <c r="C1100" i="8"/>
  <c r="D1100" i="8" s="1"/>
  <c r="E1100" i="8"/>
  <c r="C1101" i="8"/>
  <c r="D1101" i="8" s="1"/>
  <c r="E1101" i="8"/>
  <c r="C1102" i="8"/>
  <c r="D1102" i="8" s="1"/>
  <c r="E1102" i="8"/>
  <c r="C1103" i="8"/>
  <c r="D1103" i="8" s="1"/>
  <c r="E1103" i="8"/>
  <c r="C1104" i="8"/>
  <c r="D1104" i="8" s="1"/>
  <c r="E1104" i="8"/>
  <c r="C1105" i="8"/>
  <c r="D1105" i="8" s="1"/>
  <c r="E1105" i="8"/>
  <c r="C1106" i="8"/>
  <c r="D1106" i="8" s="1"/>
  <c r="E1106" i="8"/>
  <c r="C1107" i="8"/>
  <c r="D1107" i="8" s="1"/>
  <c r="E1107" i="8"/>
  <c r="C1108" i="8"/>
  <c r="D1108" i="8" s="1"/>
  <c r="E1108" i="8"/>
  <c r="C1109" i="8"/>
  <c r="D1109" i="8" s="1"/>
  <c r="E1109" i="8"/>
  <c r="C1110" i="8"/>
  <c r="D1110" i="8" s="1"/>
  <c r="E1110" i="8"/>
  <c r="C1111" i="8"/>
  <c r="D1111" i="8" s="1"/>
  <c r="E1111" i="8"/>
  <c r="C1112" i="8"/>
  <c r="D1112" i="8" s="1"/>
  <c r="E1112" i="8"/>
  <c r="C1113" i="8"/>
  <c r="D1113" i="8" s="1"/>
  <c r="E1113" i="8"/>
  <c r="C1114" i="8"/>
  <c r="D1114" i="8" s="1"/>
  <c r="E1114" i="8"/>
  <c r="C1115" i="8"/>
  <c r="D1115" i="8" s="1"/>
  <c r="E1115" i="8"/>
  <c r="C1116" i="8"/>
  <c r="D1116" i="8" s="1"/>
  <c r="E1116" i="8"/>
  <c r="C1117" i="8"/>
  <c r="D1117" i="8" s="1"/>
  <c r="E1117" i="8"/>
  <c r="C1118" i="8"/>
  <c r="D1118" i="8" s="1"/>
  <c r="E1118" i="8"/>
  <c r="C1119" i="8"/>
  <c r="D1119" i="8" s="1"/>
  <c r="E1119" i="8"/>
  <c r="C1120" i="8"/>
  <c r="D1120" i="8" s="1"/>
  <c r="E1120" i="8"/>
  <c r="C1121" i="8"/>
  <c r="D1121" i="8" s="1"/>
  <c r="E1121" i="8"/>
  <c r="C1122" i="8"/>
  <c r="D1122" i="8" s="1"/>
  <c r="E1122" i="8"/>
  <c r="C1123" i="8"/>
  <c r="D1123" i="8" s="1"/>
  <c r="E1123" i="8"/>
  <c r="C1124" i="8"/>
  <c r="D1124" i="8" s="1"/>
  <c r="E1124" i="8"/>
  <c r="C1125" i="8"/>
  <c r="D1125" i="8" s="1"/>
  <c r="E1125" i="8"/>
  <c r="C1126" i="8"/>
  <c r="D1126" i="8" s="1"/>
  <c r="E1126" i="8"/>
  <c r="C1127" i="8"/>
  <c r="D1127" i="8" s="1"/>
  <c r="E1127" i="8"/>
  <c r="C1128" i="8"/>
  <c r="D1128" i="8" s="1"/>
  <c r="E1128" i="8"/>
  <c r="C1129" i="8"/>
  <c r="D1129" i="8" s="1"/>
  <c r="E1129" i="8"/>
  <c r="C1130" i="8"/>
  <c r="D1130" i="8" s="1"/>
  <c r="E1130" i="8"/>
  <c r="C1131" i="8"/>
  <c r="D1131" i="8" s="1"/>
  <c r="E1131" i="8"/>
  <c r="C1132" i="8"/>
  <c r="D1132" i="8" s="1"/>
  <c r="E1132" i="8"/>
  <c r="C1133" i="8"/>
  <c r="D1133" i="8" s="1"/>
  <c r="E1133" i="8"/>
  <c r="C1134" i="8"/>
  <c r="D1134" i="8" s="1"/>
  <c r="E1134" i="8"/>
  <c r="C1135" i="8"/>
  <c r="D1135" i="8" s="1"/>
  <c r="E1135" i="8"/>
  <c r="C1136" i="8"/>
  <c r="D1136" i="8" s="1"/>
  <c r="E1136" i="8"/>
  <c r="C1137" i="8"/>
  <c r="D1137" i="8" s="1"/>
  <c r="E1137" i="8"/>
  <c r="C1138" i="8"/>
  <c r="D1138" i="8" s="1"/>
  <c r="E1138" i="8"/>
  <c r="C1139" i="8"/>
  <c r="D1139" i="8" s="1"/>
  <c r="E1139" i="8"/>
  <c r="C1140" i="8"/>
  <c r="D1140" i="8" s="1"/>
  <c r="E1140" i="8"/>
  <c r="C1141" i="8"/>
  <c r="D1141" i="8" s="1"/>
  <c r="E1141" i="8"/>
  <c r="C1142" i="8"/>
  <c r="D1142" i="8" s="1"/>
  <c r="E1142" i="8"/>
  <c r="C1143" i="8"/>
  <c r="D1143" i="8" s="1"/>
  <c r="E1143" i="8"/>
  <c r="C1144" i="8"/>
  <c r="D1144" i="8" s="1"/>
  <c r="E1144" i="8"/>
  <c r="C1145" i="8"/>
  <c r="D1145" i="8" s="1"/>
  <c r="E1145" i="8"/>
  <c r="C1146" i="8"/>
  <c r="D1146" i="8" s="1"/>
  <c r="E1146" i="8"/>
  <c r="C1147" i="8"/>
  <c r="D1147" i="8" s="1"/>
  <c r="E1147" i="8"/>
  <c r="C1148" i="8"/>
  <c r="D1148" i="8" s="1"/>
  <c r="E1148" i="8"/>
  <c r="C1149" i="8"/>
  <c r="D1149" i="8" s="1"/>
  <c r="E1149" i="8"/>
  <c r="C1150" i="8"/>
  <c r="D1150" i="8" s="1"/>
  <c r="E1150" i="8"/>
  <c r="C1151" i="8"/>
  <c r="D1151" i="8" s="1"/>
  <c r="E1151" i="8"/>
  <c r="C1152" i="8"/>
  <c r="D1152" i="8" s="1"/>
  <c r="E1152" i="8"/>
  <c r="C1153" i="8"/>
  <c r="D1153" i="8" s="1"/>
  <c r="E1153" i="8"/>
  <c r="C1154" i="8"/>
  <c r="D1154" i="8" s="1"/>
  <c r="E1154" i="8"/>
  <c r="C1155" i="8"/>
  <c r="D1155" i="8" s="1"/>
  <c r="E1155" i="8"/>
  <c r="C1156" i="8"/>
  <c r="D1156" i="8" s="1"/>
  <c r="E1156" i="8"/>
  <c r="C1157" i="8"/>
  <c r="D1157" i="8" s="1"/>
  <c r="E1157" i="8"/>
  <c r="C1158" i="8"/>
  <c r="D1158" i="8" s="1"/>
  <c r="E1158" i="8"/>
  <c r="C1159" i="8"/>
  <c r="D1159" i="8" s="1"/>
  <c r="E1159" i="8"/>
  <c r="C1160" i="8"/>
  <c r="D1160" i="8" s="1"/>
  <c r="E1160" i="8"/>
  <c r="C1161" i="8"/>
  <c r="D1161" i="8" s="1"/>
  <c r="E1161" i="8"/>
  <c r="C1162" i="8"/>
  <c r="D1162" i="8" s="1"/>
  <c r="E1162" i="8"/>
  <c r="C1163" i="8"/>
  <c r="D1163" i="8" s="1"/>
  <c r="E1163" i="8"/>
  <c r="C1164" i="8"/>
  <c r="D1164" i="8" s="1"/>
  <c r="E1164" i="8"/>
  <c r="C1165" i="8"/>
  <c r="D1165" i="8" s="1"/>
  <c r="E1165" i="8"/>
  <c r="C1166" i="8"/>
  <c r="D1166" i="8" s="1"/>
  <c r="E1166" i="8"/>
  <c r="C1167" i="8"/>
  <c r="D1167" i="8" s="1"/>
  <c r="E1167" i="8"/>
  <c r="C1168" i="8"/>
  <c r="D1168" i="8" s="1"/>
  <c r="E1168" i="8"/>
  <c r="C1169" i="8"/>
  <c r="D1169" i="8" s="1"/>
  <c r="E1169" i="8"/>
  <c r="C1170" i="8"/>
  <c r="D1170" i="8" s="1"/>
  <c r="E1170" i="8"/>
  <c r="C1171" i="8"/>
  <c r="D1171" i="8" s="1"/>
  <c r="E1171" i="8"/>
  <c r="C1172" i="8"/>
  <c r="D1172" i="8" s="1"/>
  <c r="E1172" i="8"/>
  <c r="C1173" i="8"/>
  <c r="D1173" i="8" s="1"/>
  <c r="E1173" i="8"/>
  <c r="C1174" i="8"/>
  <c r="D1174" i="8" s="1"/>
  <c r="E1174" i="8"/>
  <c r="C1175" i="8"/>
  <c r="D1175" i="8" s="1"/>
  <c r="E1175" i="8"/>
  <c r="C1176" i="8"/>
  <c r="D1176" i="8" s="1"/>
  <c r="E1176" i="8"/>
  <c r="C1177" i="8"/>
  <c r="D1177" i="8" s="1"/>
  <c r="E1177" i="8"/>
  <c r="C1178" i="8"/>
  <c r="D1178" i="8" s="1"/>
  <c r="E1178" i="8"/>
  <c r="C1179" i="8"/>
  <c r="D1179" i="8" s="1"/>
  <c r="E1179" i="8"/>
  <c r="C1180" i="8"/>
  <c r="D1180" i="8" s="1"/>
  <c r="E1180" i="8"/>
  <c r="C1181" i="8"/>
  <c r="D1181" i="8" s="1"/>
  <c r="E1181" i="8"/>
  <c r="C1182" i="8"/>
  <c r="D1182" i="8" s="1"/>
  <c r="E1182" i="8"/>
  <c r="C1183" i="8"/>
  <c r="D1183" i="8" s="1"/>
  <c r="E1183" i="8"/>
  <c r="C1184" i="8"/>
  <c r="D1184" i="8" s="1"/>
  <c r="E1184" i="8"/>
  <c r="C1185" i="8"/>
  <c r="D1185" i="8" s="1"/>
  <c r="E1185" i="8"/>
  <c r="C1186" i="8"/>
  <c r="D1186" i="8" s="1"/>
  <c r="E1186" i="8"/>
  <c r="C1187" i="8"/>
  <c r="D1187" i="8" s="1"/>
  <c r="E1187" i="8"/>
  <c r="C1188" i="8"/>
  <c r="D1188" i="8" s="1"/>
  <c r="E1188" i="8"/>
  <c r="C1189" i="8"/>
  <c r="D1189" i="8" s="1"/>
  <c r="E1189" i="8"/>
  <c r="C1190" i="8"/>
  <c r="D1190" i="8" s="1"/>
  <c r="E1190" i="8"/>
  <c r="C1191" i="8"/>
  <c r="D1191" i="8" s="1"/>
  <c r="E1191" i="8"/>
  <c r="C1192" i="8"/>
  <c r="D1192" i="8" s="1"/>
  <c r="E1192" i="8"/>
  <c r="C1193" i="8"/>
  <c r="D1193" i="8" s="1"/>
  <c r="E1193" i="8"/>
  <c r="C1194" i="8"/>
  <c r="D1194" i="8" s="1"/>
  <c r="E1194" i="8"/>
  <c r="C1195" i="8"/>
  <c r="D1195" i="8" s="1"/>
  <c r="E1195" i="8"/>
  <c r="C1196" i="8"/>
  <c r="D1196" i="8" s="1"/>
  <c r="E1196" i="8"/>
  <c r="C1197" i="8"/>
  <c r="D1197" i="8" s="1"/>
  <c r="E1197" i="8"/>
  <c r="C1198" i="8"/>
  <c r="D1198" i="8" s="1"/>
  <c r="E1198" i="8"/>
  <c r="C1199" i="8"/>
  <c r="D1199" i="8" s="1"/>
  <c r="E1199" i="8"/>
  <c r="C1200" i="8"/>
  <c r="D1200" i="8" s="1"/>
  <c r="E1200" i="8"/>
  <c r="C1201" i="8"/>
  <c r="D1201" i="8" s="1"/>
  <c r="E1201" i="8"/>
  <c r="C1202" i="8"/>
  <c r="D1202" i="8" s="1"/>
  <c r="E1202" i="8"/>
  <c r="C1203" i="8"/>
  <c r="D1203" i="8" s="1"/>
  <c r="E1203" i="8"/>
  <c r="C1204" i="8"/>
  <c r="D1204" i="8" s="1"/>
  <c r="E1204" i="8"/>
  <c r="C1205" i="8"/>
  <c r="D1205" i="8" s="1"/>
  <c r="E1205" i="8"/>
  <c r="C1206" i="8"/>
  <c r="D1206" i="8" s="1"/>
  <c r="E1206" i="8"/>
  <c r="C1207" i="8"/>
  <c r="D1207" i="8" s="1"/>
  <c r="E1207" i="8"/>
  <c r="C1208" i="8"/>
  <c r="D1208" i="8" s="1"/>
  <c r="E1208" i="8"/>
  <c r="C1209" i="8"/>
  <c r="D1209" i="8" s="1"/>
  <c r="E1209" i="8"/>
  <c r="C1210" i="8"/>
  <c r="D1210" i="8" s="1"/>
  <c r="E1210" i="8"/>
  <c r="C1211" i="8"/>
  <c r="D1211" i="8" s="1"/>
  <c r="E1211" i="8"/>
  <c r="C1212" i="8"/>
  <c r="D1212" i="8" s="1"/>
  <c r="E1212" i="8"/>
  <c r="C1213" i="8"/>
  <c r="D1213" i="8" s="1"/>
  <c r="E1213" i="8"/>
  <c r="C1214" i="8"/>
  <c r="D1214" i="8" s="1"/>
  <c r="E1214" i="8"/>
  <c r="C1215" i="8"/>
  <c r="D1215" i="8" s="1"/>
  <c r="E1215" i="8"/>
  <c r="C1216" i="8"/>
  <c r="D1216" i="8" s="1"/>
  <c r="E1216" i="8"/>
  <c r="C1217" i="8"/>
  <c r="D1217" i="8" s="1"/>
  <c r="E1217" i="8"/>
  <c r="C1218" i="8"/>
  <c r="D1218" i="8" s="1"/>
  <c r="E1218" i="8"/>
  <c r="C1219" i="8"/>
  <c r="D1219" i="8" s="1"/>
  <c r="E1219" i="8"/>
  <c r="C1220" i="8"/>
  <c r="D1220" i="8" s="1"/>
  <c r="E1220" i="8"/>
  <c r="C1221" i="8"/>
  <c r="D1221" i="8" s="1"/>
  <c r="E1221" i="8"/>
  <c r="C1222" i="8"/>
  <c r="D1222" i="8" s="1"/>
  <c r="E1222" i="8"/>
  <c r="C1223" i="8"/>
  <c r="D1223" i="8" s="1"/>
  <c r="E1223" i="8"/>
  <c r="C1224" i="8"/>
  <c r="D1224" i="8" s="1"/>
  <c r="E1224" i="8"/>
  <c r="C1225" i="8"/>
  <c r="D1225" i="8" s="1"/>
  <c r="E1225" i="8"/>
  <c r="C1226" i="8"/>
  <c r="D1226" i="8" s="1"/>
  <c r="E1226" i="8"/>
  <c r="C1227" i="8"/>
  <c r="D1227" i="8" s="1"/>
  <c r="E1227" i="8"/>
  <c r="C1228" i="8"/>
  <c r="D1228" i="8" s="1"/>
  <c r="E1228" i="8"/>
  <c r="C1229" i="8"/>
  <c r="D1229" i="8" s="1"/>
  <c r="E1229" i="8"/>
  <c r="C1230" i="8"/>
  <c r="D1230" i="8" s="1"/>
  <c r="E1230" i="8"/>
  <c r="C1231" i="8"/>
  <c r="D1231" i="8" s="1"/>
  <c r="E1231" i="8"/>
  <c r="C1232" i="8"/>
  <c r="D1232" i="8" s="1"/>
  <c r="E1232" i="8"/>
  <c r="C1233" i="8"/>
  <c r="D1233" i="8" s="1"/>
  <c r="E1233" i="8"/>
  <c r="C1234" i="8"/>
  <c r="D1234" i="8" s="1"/>
  <c r="E1234" i="8"/>
  <c r="C1235" i="8"/>
  <c r="D1235" i="8" s="1"/>
  <c r="E1235" i="8"/>
  <c r="C1236" i="8"/>
  <c r="D1236" i="8" s="1"/>
  <c r="E1236" i="8"/>
  <c r="C1237" i="8"/>
  <c r="D1237" i="8" s="1"/>
  <c r="E1237" i="8"/>
  <c r="C1238" i="8"/>
  <c r="D1238" i="8" s="1"/>
  <c r="E1238" i="8"/>
  <c r="C1239" i="8"/>
  <c r="D1239" i="8" s="1"/>
  <c r="E1239" i="8"/>
  <c r="C1240" i="8"/>
  <c r="D1240" i="8" s="1"/>
  <c r="E1240" i="8"/>
  <c r="C1241" i="8"/>
  <c r="D1241" i="8" s="1"/>
  <c r="E1241" i="8"/>
  <c r="C1242" i="8"/>
  <c r="D1242" i="8" s="1"/>
  <c r="E1242" i="8"/>
  <c r="C1243" i="8"/>
  <c r="D1243" i="8" s="1"/>
  <c r="E1243" i="8"/>
  <c r="C1244" i="8"/>
  <c r="D1244" i="8" s="1"/>
  <c r="E1244" i="8"/>
  <c r="C1245" i="8"/>
  <c r="D1245" i="8" s="1"/>
  <c r="E1245" i="8"/>
  <c r="C1246" i="8"/>
  <c r="D1246" i="8" s="1"/>
  <c r="E1246" i="8"/>
  <c r="C1247" i="8"/>
  <c r="D1247" i="8" s="1"/>
  <c r="E1247" i="8"/>
  <c r="C1248" i="8"/>
  <c r="D1248" i="8" s="1"/>
  <c r="E1248" i="8"/>
  <c r="C1249" i="8"/>
  <c r="D1249" i="8" s="1"/>
  <c r="E1249" i="8"/>
  <c r="C1250" i="8"/>
  <c r="D1250" i="8" s="1"/>
  <c r="E1250" i="8"/>
  <c r="C1251" i="8"/>
  <c r="D1251" i="8" s="1"/>
  <c r="E1251" i="8"/>
  <c r="C1252" i="8"/>
  <c r="D1252" i="8" s="1"/>
  <c r="E1252" i="8"/>
  <c r="C1253" i="8"/>
  <c r="D1253" i="8" s="1"/>
  <c r="E1253" i="8"/>
  <c r="C1254" i="8"/>
  <c r="D1254" i="8" s="1"/>
  <c r="E1254" i="8"/>
  <c r="C1255" i="8"/>
  <c r="D1255" i="8" s="1"/>
  <c r="E1255" i="8"/>
  <c r="C1256" i="8"/>
  <c r="D1256" i="8" s="1"/>
  <c r="E1256" i="8"/>
  <c r="C1257" i="8"/>
  <c r="D1257" i="8" s="1"/>
  <c r="E1257" i="8"/>
  <c r="C1258" i="8"/>
  <c r="D1258" i="8" s="1"/>
  <c r="E1258" i="8"/>
  <c r="C1259" i="8"/>
  <c r="D1259" i="8" s="1"/>
  <c r="E1259" i="8"/>
  <c r="C1260" i="8"/>
  <c r="D1260" i="8" s="1"/>
  <c r="E1260" i="8"/>
  <c r="C1261" i="8"/>
  <c r="D1261" i="8" s="1"/>
  <c r="E1261" i="8"/>
  <c r="C1262" i="8"/>
  <c r="D1262" i="8" s="1"/>
  <c r="E1262" i="8"/>
  <c r="C1263" i="8"/>
  <c r="D1263" i="8" s="1"/>
  <c r="E1263" i="8"/>
  <c r="C1264" i="8"/>
  <c r="D1264" i="8" s="1"/>
  <c r="E1264" i="8"/>
  <c r="C1265" i="8"/>
  <c r="D1265" i="8" s="1"/>
  <c r="E1265" i="8"/>
  <c r="C1266" i="8"/>
  <c r="D1266" i="8" s="1"/>
  <c r="E1266" i="8"/>
  <c r="C1267" i="8"/>
  <c r="D1267" i="8" s="1"/>
  <c r="E1267" i="8"/>
  <c r="C1268" i="8"/>
  <c r="D1268" i="8" s="1"/>
  <c r="E1268" i="8"/>
  <c r="C1269" i="8"/>
  <c r="D1269" i="8" s="1"/>
  <c r="E1269" i="8"/>
  <c r="C1270" i="8"/>
  <c r="D1270" i="8" s="1"/>
  <c r="E1270" i="8"/>
  <c r="C1271" i="8"/>
  <c r="D1271" i="8" s="1"/>
  <c r="E1271" i="8"/>
  <c r="C1272" i="8"/>
  <c r="D1272" i="8" s="1"/>
  <c r="E1272" i="8"/>
  <c r="C1273" i="8"/>
  <c r="D1273" i="8" s="1"/>
  <c r="E1273" i="8"/>
  <c r="C1274" i="8"/>
  <c r="D1274" i="8" s="1"/>
  <c r="E1274" i="8"/>
  <c r="C1275" i="8"/>
  <c r="D1275" i="8" s="1"/>
  <c r="E1275" i="8"/>
  <c r="C1276" i="8"/>
  <c r="D1276" i="8" s="1"/>
  <c r="E1276" i="8"/>
  <c r="C1277" i="8"/>
  <c r="D1277" i="8" s="1"/>
  <c r="E1277" i="8"/>
  <c r="C1278" i="8"/>
  <c r="D1278" i="8" s="1"/>
  <c r="E1278" i="8"/>
  <c r="C1279" i="8"/>
  <c r="D1279" i="8" s="1"/>
  <c r="E1279" i="8"/>
  <c r="C1280" i="8"/>
  <c r="D1280" i="8" s="1"/>
  <c r="E1280" i="8"/>
  <c r="C1281" i="8"/>
  <c r="D1281" i="8" s="1"/>
  <c r="E1281" i="8"/>
  <c r="C1282" i="8"/>
  <c r="D1282" i="8" s="1"/>
  <c r="E1282" i="8"/>
  <c r="C1283" i="8"/>
  <c r="D1283" i="8" s="1"/>
  <c r="E1283" i="8"/>
  <c r="C1284" i="8"/>
  <c r="D1284" i="8" s="1"/>
  <c r="E1284" i="8"/>
  <c r="C1285" i="8"/>
  <c r="D1285" i="8" s="1"/>
  <c r="E1285" i="8"/>
  <c r="C1286" i="8"/>
  <c r="D1286" i="8" s="1"/>
  <c r="E1286" i="8"/>
  <c r="C1287" i="8"/>
  <c r="D1287" i="8" s="1"/>
  <c r="E1287" i="8"/>
  <c r="C1288" i="8"/>
  <c r="D1288" i="8" s="1"/>
  <c r="E1288" i="8"/>
  <c r="C1289" i="8"/>
  <c r="D1289" i="8" s="1"/>
  <c r="E1289" i="8"/>
  <c r="C1290" i="8"/>
  <c r="D1290" i="8" s="1"/>
  <c r="E1290" i="8"/>
  <c r="C1291" i="8"/>
  <c r="D1291" i="8" s="1"/>
  <c r="E1291" i="8"/>
  <c r="C1292" i="8"/>
  <c r="D1292" i="8" s="1"/>
  <c r="E1292" i="8"/>
  <c r="C1293" i="8"/>
  <c r="D1293" i="8" s="1"/>
  <c r="E1293" i="8"/>
  <c r="C1294" i="8"/>
  <c r="D1294" i="8" s="1"/>
  <c r="E1294" i="8"/>
  <c r="C1295" i="8"/>
  <c r="D1295" i="8" s="1"/>
  <c r="E1295" i="8"/>
  <c r="C1296" i="8"/>
  <c r="D1296" i="8" s="1"/>
  <c r="E1296" i="8"/>
  <c r="C1297" i="8"/>
  <c r="D1297" i="8" s="1"/>
  <c r="E1297" i="8"/>
  <c r="C1298" i="8"/>
  <c r="D1298" i="8" s="1"/>
  <c r="E1298" i="8"/>
  <c r="C1299" i="8"/>
  <c r="D1299" i="8" s="1"/>
  <c r="E1299" i="8"/>
  <c r="C1300" i="8"/>
  <c r="D1300" i="8" s="1"/>
  <c r="E1300" i="8"/>
  <c r="C1301" i="8"/>
  <c r="D1301" i="8" s="1"/>
  <c r="E1301" i="8"/>
  <c r="C1302" i="8"/>
  <c r="D1302" i="8" s="1"/>
  <c r="E1302" i="8"/>
  <c r="C1303" i="8"/>
  <c r="D1303" i="8" s="1"/>
  <c r="E1303" i="8"/>
  <c r="C1304" i="8"/>
  <c r="D1304" i="8" s="1"/>
  <c r="E1304" i="8"/>
  <c r="C1305" i="8"/>
  <c r="D1305" i="8" s="1"/>
  <c r="E1305" i="8"/>
  <c r="C1306" i="8"/>
  <c r="D1306" i="8" s="1"/>
  <c r="E1306" i="8"/>
  <c r="C1307" i="8"/>
  <c r="D1307" i="8" s="1"/>
  <c r="E1307" i="8"/>
  <c r="C1308" i="8"/>
  <c r="D1308" i="8" s="1"/>
  <c r="E1308" i="8"/>
  <c r="C1309" i="8"/>
  <c r="D1309" i="8" s="1"/>
  <c r="E1309" i="8"/>
  <c r="C1310" i="8"/>
  <c r="D1310" i="8" s="1"/>
  <c r="E1310" i="8"/>
  <c r="C1311" i="8"/>
  <c r="D1311" i="8" s="1"/>
  <c r="E1311" i="8"/>
  <c r="C1312" i="8"/>
  <c r="D1312" i="8" s="1"/>
  <c r="E1312" i="8"/>
  <c r="C1313" i="8"/>
  <c r="D1313" i="8" s="1"/>
  <c r="E1313" i="8"/>
  <c r="C1314" i="8"/>
  <c r="D1314" i="8" s="1"/>
  <c r="E1314" i="8"/>
  <c r="C1315" i="8"/>
  <c r="D1315" i="8" s="1"/>
  <c r="E1315" i="8"/>
  <c r="C1316" i="8"/>
  <c r="D1316" i="8" s="1"/>
  <c r="E1316" i="8"/>
  <c r="C1317" i="8"/>
  <c r="D1317" i="8" s="1"/>
  <c r="E1317" i="8"/>
  <c r="C1318" i="8"/>
  <c r="D1318" i="8" s="1"/>
  <c r="E1318" i="8"/>
  <c r="C1319" i="8"/>
  <c r="D1319" i="8" s="1"/>
  <c r="E1319" i="8"/>
  <c r="C1320" i="8"/>
  <c r="D1320" i="8" s="1"/>
  <c r="E1320" i="8"/>
  <c r="C1321" i="8"/>
  <c r="D1321" i="8" s="1"/>
  <c r="E1321" i="8"/>
  <c r="C1322" i="8"/>
  <c r="D1322" i="8" s="1"/>
  <c r="E1322" i="8"/>
  <c r="C1323" i="8"/>
  <c r="D1323" i="8" s="1"/>
  <c r="E1323" i="8"/>
  <c r="C1324" i="8"/>
  <c r="D1324" i="8" s="1"/>
  <c r="E1324" i="8"/>
  <c r="C1325" i="8"/>
  <c r="D1325" i="8" s="1"/>
  <c r="E1325" i="8"/>
  <c r="C1326" i="8"/>
  <c r="D1326" i="8" s="1"/>
  <c r="E1326" i="8"/>
  <c r="C1327" i="8"/>
  <c r="D1327" i="8" s="1"/>
  <c r="E1327" i="8"/>
  <c r="C1328" i="8"/>
  <c r="D1328" i="8" s="1"/>
  <c r="E1328" i="8"/>
  <c r="C1329" i="8"/>
  <c r="D1329" i="8" s="1"/>
  <c r="E1329" i="8"/>
  <c r="C1330" i="8"/>
  <c r="D1330" i="8" s="1"/>
  <c r="E1330" i="8"/>
  <c r="C1331" i="8"/>
  <c r="D1331" i="8" s="1"/>
  <c r="E1331" i="8"/>
  <c r="C1332" i="8"/>
  <c r="D1332" i="8" s="1"/>
  <c r="E1332" i="8"/>
  <c r="C1333" i="8"/>
  <c r="D1333" i="8" s="1"/>
  <c r="E1333" i="8"/>
  <c r="C1334" i="8"/>
  <c r="D1334" i="8" s="1"/>
  <c r="E1334" i="8"/>
  <c r="C1335" i="8"/>
  <c r="D1335" i="8" s="1"/>
  <c r="E1335" i="8"/>
  <c r="C1336" i="8"/>
  <c r="D1336" i="8" s="1"/>
  <c r="E1336" i="8"/>
  <c r="C1337" i="8"/>
  <c r="D1337" i="8" s="1"/>
  <c r="E1337" i="8"/>
  <c r="C1338" i="8"/>
  <c r="D1338" i="8" s="1"/>
  <c r="E1338" i="8"/>
  <c r="C1339" i="8"/>
  <c r="D1339" i="8" s="1"/>
  <c r="E1339" i="8"/>
  <c r="C1340" i="8"/>
  <c r="D1340" i="8" s="1"/>
  <c r="E1340" i="8"/>
  <c r="C1341" i="8"/>
  <c r="D1341" i="8" s="1"/>
  <c r="E1341" i="8"/>
  <c r="C1342" i="8"/>
  <c r="D1342" i="8" s="1"/>
  <c r="E1342" i="8"/>
  <c r="C1343" i="8"/>
  <c r="D1343" i="8" s="1"/>
  <c r="E1343" i="8"/>
  <c r="C1344" i="8"/>
  <c r="D1344" i="8" s="1"/>
  <c r="E1344" i="8"/>
  <c r="C1345" i="8"/>
  <c r="D1345" i="8" s="1"/>
  <c r="E1345" i="8"/>
  <c r="C1346" i="8"/>
  <c r="D1346" i="8" s="1"/>
  <c r="E1346" i="8"/>
  <c r="C1347" i="8"/>
  <c r="D1347" i="8" s="1"/>
  <c r="E1347" i="8"/>
  <c r="C1348" i="8"/>
  <c r="D1348" i="8" s="1"/>
  <c r="E1348" i="8"/>
  <c r="C1349" i="8"/>
  <c r="D1349" i="8" s="1"/>
  <c r="E1349" i="8"/>
  <c r="C1350" i="8"/>
  <c r="D1350" i="8" s="1"/>
  <c r="E1350" i="8"/>
  <c r="C1351" i="8"/>
  <c r="D1351" i="8" s="1"/>
  <c r="E1351" i="8"/>
  <c r="C1352" i="8"/>
  <c r="D1352" i="8" s="1"/>
  <c r="E1352" i="8"/>
  <c r="C1353" i="8"/>
  <c r="D1353" i="8" s="1"/>
  <c r="E1353" i="8"/>
  <c r="C1354" i="8"/>
  <c r="D1354" i="8" s="1"/>
  <c r="E1354" i="8"/>
  <c r="C1355" i="8"/>
  <c r="D1355" i="8" s="1"/>
  <c r="E1355" i="8"/>
  <c r="C1356" i="8"/>
  <c r="D1356" i="8" s="1"/>
  <c r="E1356" i="8"/>
  <c r="C1357" i="8"/>
  <c r="D1357" i="8" s="1"/>
  <c r="E1357" i="8"/>
  <c r="C1358" i="8"/>
  <c r="D1358" i="8" s="1"/>
  <c r="E1358" i="8"/>
  <c r="C1359" i="8"/>
  <c r="D1359" i="8" s="1"/>
  <c r="E1359" i="8"/>
  <c r="C1360" i="8"/>
  <c r="D1360" i="8" s="1"/>
  <c r="E1360" i="8"/>
  <c r="C1361" i="8"/>
  <c r="D1361" i="8" s="1"/>
  <c r="E1361" i="8"/>
  <c r="C1362" i="8"/>
  <c r="D1362" i="8" s="1"/>
  <c r="E1362" i="8"/>
  <c r="C1363" i="8"/>
  <c r="D1363" i="8" s="1"/>
  <c r="E1363" i="8"/>
  <c r="C1364" i="8"/>
  <c r="D1364" i="8" s="1"/>
  <c r="E1364" i="8"/>
  <c r="C1365" i="8"/>
  <c r="D1365" i="8" s="1"/>
  <c r="E1365" i="8"/>
  <c r="C1366" i="8"/>
  <c r="D1366" i="8" s="1"/>
  <c r="E1366" i="8"/>
  <c r="C1367" i="8"/>
  <c r="D1367" i="8" s="1"/>
  <c r="E1367" i="8"/>
  <c r="C1368" i="8"/>
  <c r="D1368" i="8" s="1"/>
  <c r="E1368" i="8"/>
  <c r="C1369" i="8"/>
  <c r="D1369" i="8" s="1"/>
  <c r="E1369" i="8"/>
  <c r="C1370" i="8"/>
  <c r="D1370" i="8" s="1"/>
  <c r="E1370" i="8"/>
  <c r="C1371" i="8"/>
  <c r="D1371" i="8" s="1"/>
  <c r="E1371" i="8"/>
  <c r="C1372" i="8"/>
  <c r="D1372" i="8" s="1"/>
  <c r="E1372" i="8"/>
  <c r="C1373" i="8"/>
  <c r="D1373" i="8" s="1"/>
  <c r="E1373" i="8"/>
  <c r="C1374" i="8"/>
  <c r="D1374" i="8" s="1"/>
  <c r="E1374" i="8"/>
  <c r="C1375" i="8"/>
  <c r="D1375" i="8" s="1"/>
  <c r="E1375" i="8"/>
  <c r="C1376" i="8"/>
  <c r="D1376" i="8" s="1"/>
  <c r="E1376" i="8"/>
  <c r="C1377" i="8"/>
  <c r="D1377" i="8" s="1"/>
  <c r="E1377" i="8"/>
  <c r="C1378" i="8"/>
  <c r="D1378" i="8" s="1"/>
  <c r="E1378" i="8"/>
  <c r="C1379" i="8"/>
  <c r="D1379" i="8" s="1"/>
  <c r="E1379" i="8"/>
  <c r="C1380" i="8"/>
  <c r="D1380" i="8" s="1"/>
  <c r="E1380" i="8"/>
  <c r="C1381" i="8"/>
  <c r="D1381" i="8" s="1"/>
  <c r="E1381" i="8"/>
  <c r="C1382" i="8"/>
  <c r="D1382" i="8" s="1"/>
  <c r="E1382" i="8"/>
  <c r="C1383" i="8"/>
  <c r="D1383" i="8" s="1"/>
  <c r="E1383" i="8"/>
  <c r="C1384" i="8"/>
  <c r="D1384" i="8" s="1"/>
  <c r="E1384" i="8"/>
  <c r="C1385" i="8"/>
  <c r="D1385" i="8" s="1"/>
  <c r="E1385" i="8"/>
  <c r="C1386" i="8"/>
  <c r="D1386" i="8" s="1"/>
  <c r="E1386" i="8"/>
  <c r="C1387" i="8"/>
  <c r="D1387" i="8" s="1"/>
  <c r="E1387" i="8"/>
  <c r="C1388" i="8"/>
  <c r="D1388" i="8" s="1"/>
  <c r="E1388" i="8"/>
  <c r="C1389" i="8"/>
  <c r="D1389" i="8" s="1"/>
  <c r="E1389" i="8"/>
  <c r="C1390" i="8"/>
  <c r="D1390" i="8" s="1"/>
  <c r="E1390" i="8"/>
  <c r="C1391" i="8"/>
  <c r="D1391" i="8" s="1"/>
  <c r="E1391" i="8"/>
  <c r="C1392" i="8"/>
  <c r="D1392" i="8" s="1"/>
  <c r="E1392" i="8"/>
  <c r="C1393" i="8"/>
  <c r="D1393" i="8" s="1"/>
  <c r="E1393" i="8"/>
  <c r="C1394" i="8"/>
  <c r="D1394" i="8" s="1"/>
  <c r="E1394" i="8"/>
  <c r="C1395" i="8"/>
  <c r="D1395" i="8" s="1"/>
  <c r="E1395" i="8"/>
  <c r="C1396" i="8"/>
  <c r="D1396" i="8" s="1"/>
  <c r="E1396" i="8"/>
  <c r="C1397" i="8"/>
  <c r="D1397" i="8" s="1"/>
  <c r="E1397" i="8"/>
  <c r="C1398" i="8"/>
  <c r="D1398" i="8" s="1"/>
  <c r="E1398" i="8"/>
  <c r="C1399" i="8"/>
  <c r="D1399" i="8" s="1"/>
  <c r="E1399" i="8"/>
  <c r="C1400" i="8"/>
  <c r="D1400" i="8" s="1"/>
  <c r="E1400" i="8"/>
  <c r="C1401" i="8"/>
  <c r="D1401" i="8" s="1"/>
  <c r="E1401" i="8"/>
  <c r="C1402" i="8"/>
  <c r="D1402" i="8" s="1"/>
  <c r="E1402" i="8"/>
  <c r="C1403" i="8"/>
  <c r="D1403" i="8" s="1"/>
  <c r="E1403" i="8"/>
  <c r="C1404" i="8"/>
  <c r="D1404" i="8" s="1"/>
  <c r="E1404" i="8"/>
  <c r="C1405" i="8"/>
  <c r="D1405" i="8" s="1"/>
  <c r="E1405" i="8"/>
  <c r="C1406" i="8"/>
  <c r="D1406" i="8" s="1"/>
  <c r="E1406" i="8"/>
  <c r="C1407" i="8"/>
  <c r="D1407" i="8" s="1"/>
  <c r="E1407" i="8"/>
  <c r="C1408" i="8"/>
  <c r="D1408" i="8" s="1"/>
  <c r="E1408" i="8"/>
  <c r="C1409" i="8"/>
  <c r="D1409" i="8" s="1"/>
  <c r="E1409" i="8"/>
  <c r="C1410" i="8"/>
  <c r="D1410" i="8" s="1"/>
  <c r="E1410" i="8"/>
  <c r="C1411" i="8"/>
  <c r="D1411" i="8" s="1"/>
  <c r="E1411" i="8"/>
  <c r="C1412" i="8"/>
  <c r="D1412" i="8" s="1"/>
  <c r="E1412" i="8"/>
  <c r="C1413" i="8"/>
  <c r="D1413" i="8" s="1"/>
  <c r="E1413" i="8"/>
  <c r="C1414" i="8"/>
  <c r="D1414" i="8" s="1"/>
  <c r="E1414" i="8"/>
  <c r="C1415" i="8"/>
  <c r="D1415" i="8" s="1"/>
  <c r="E1415" i="8"/>
  <c r="C1416" i="8"/>
  <c r="D1416" i="8" s="1"/>
  <c r="E1416" i="8"/>
  <c r="C1417" i="8"/>
  <c r="D1417" i="8" s="1"/>
  <c r="E1417" i="8"/>
  <c r="C1418" i="8"/>
  <c r="D1418" i="8" s="1"/>
  <c r="E1418" i="8"/>
  <c r="C1419" i="8"/>
  <c r="D1419" i="8" s="1"/>
  <c r="E1419" i="8"/>
  <c r="C1420" i="8"/>
  <c r="D1420" i="8" s="1"/>
  <c r="E1420" i="8"/>
  <c r="C1421" i="8"/>
  <c r="D1421" i="8" s="1"/>
  <c r="E1421" i="8"/>
  <c r="C1422" i="8"/>
  <c r="D1422" i="8" s="1"/>
  <c r="E1422" i="8"/>
  <c r="C1423" i="8"/>
  <c r="D1423" i="8" s="1"/>
  <c r="E1423" i="8"/>
  <c r="C1424" i="8"/>
  <c r="D1424" i="8" s="1"/>
  <c r="E1424" i="8"/>
  <c r="C1425" i="8"/>
  <c r="D1425" i="8" s="1"/>
  <c r="E1425" i="8"/>
  <c r="C1426" i="8"/>
  <c r="D1426" i="8" s="1"/>
  <c r="E1426" i="8"/>
  <c r="C1427" i="8"/>
  <c r="D1427" i="8" s="1"/>
  <c r="E1427" i="8"/>
  <c r="C1428" i="8"/>
  <c r="D1428" i="8" s="1"/>
  <c r="E1428" i="8"/>
  <c r="C1429" i="8"/>
  <c r="D1429" i="8" s="1"/>
  <c r="E1429" i="8"/>
  <c r="C1430" i="8"/>
  <c r="D1430" i="8" s="1"/>
  <c r="E1430" i="8"/>
  <c r="C1431" i="8"/>
  <c r="D1431" i="8" s="1"/>
  <c r="E1431" i="8"/>
  <c r="C1432" i="8"/>
  <c r="D1432" i="8" s="1"/>
  <c r="E1432" i="8"/>
  <c r="C1433" i="8"/>
  <c r="D1433" i="8" s="1"/>
  <c r="E1433" i="8"/>
  <c r="C1434" i="8"/>
  <c r="D1434" i="8" s="1"/>
  <c r="E1434" i="8"/>
  <c r="C1435" i="8"/>
  <c r="D1435" i="8" s="1"/>
  <c r="E1435" i="8"/>
  <c r="C1436" i="8"/>
  <c r="D1436" i="8" s="1"/>
  <c r="E1436" i="8"/>
  <c r="C1437" i="8"/>
  <c r="D1437" i="8" s="1"/>
  <c r="E1437" i="8"/>
  <c r="C1438" i="8"/>
  <c r="D1438" i="8" s="1"/>
  <c r="E1438" i="8"/>
  <c r="C1439" i="8"/>
  <c r="D1439" i="8" s="1"/>
  <c r="E1439" i="8"/>
  <c r="C1440" i="8"/>
  <c r="D1440" i="8" s="1"/>
  <c r="E1440" i="8"/>
  <c r="C1441" i="8"/>
  <c r="D1441" i="8" s="1"/>
  <c r="E1441" i="8"/>
  <c r="C1442" i="8"/>
  <c r="D1442" i="8" s="1"/>
  <c r="E1442" i="8"/>
  <c r="C1443" i="8"/>
  <c r="D1443" i="8" s="1"/>
  <c r="E1443" i="8"/>
  <c r="C1444" i="8"/>
  <c r="D1444" i="8" s="1"/>
  <c r="E1444" i="8"/>
  <c r="C1445" i="8"/>
  <c r="D1445" i="8" s="1"/>
  <c r="E1445" i="8"/>
  <c r="C1446" i="8"/>
  <c r="D1446" i="8" s="1"/>
  <c r="E1446" i="8"/>
  <c r="C1447" i="8"/>
  <c r="D1447" i="8" s="1"/>
  <c r="E1447" i="8"/>
  <c r="C1448" i="8"/>
  <c r="D1448" i="8" s="1"/>
  <c r="E1448" i="8"/>
  <c r="C1449" i="8"/>
  <c r="D1449" i="8" s="1"/>
  <c r="E1449" i="8"/>
  <c r="C1450" i="8"/>
  <c r="D1450" i="8" s="1"/>
  <c r="E1450" i="8"/>
  <c r="C1451" i="8"/>
  <c r="D1451" i="8" s="1"/>
  <c r="E1451" i="8"/>
  <c r="C1452" i="8"/>
  <c r="D1452" i="8" s="1"/>
  <c r="E1452" i="8"/>
  <c r="C1453" i="8"/>
  <c r="D1453" i="8" s="1"/>
  <c r="E1453" i="8"/>
  <c r="C1454" i="8"/>
  <c r="D1454" i="8" s="1"/>
  <c r="E1454" i="8"/>
  <c r="C1455" i="8"/>
  <c r="D1455" i="8" s="1"/>
  <c r="E1455" i="8"/>
  <c r="C1456" i="8"/>
  <c r="D1456" i="8" s="1"/>
  <c r="E1456" i="8"/>
  <c r="C1457" i="8"/>
  <c r="D1457" i="8" s="1"/>
  <c r="E1457" i="8"/>
  <c r="C1458" i="8"/>
  <c r="D1458" i="8" s="1"/>
  <c r="E1458" i="8"/>
  <c r="C1459" i="8"/>
  <c r="D1459" i="8" s="1"/>
  <c r="E1459" i="8"/>
  <c r="C1460" i="8"/>
  <c r="D1460" i="8" s="1"/>
  <c r="E1460" i="8"/>
  <c r="C1461" i="8"/>
  <c r="D1461" i="8" s="1"/>
  <c r="E1461" i="8"/>
  <c r="C1462" i="8"/>
  <c r="D1462" i="8" s="1"/>
  <c r="E1462" i="8"/>
  <c r="C1463" i="8"/>
  <c r="D1463" i="8" s="1"/>
  <c r="E1463" i="8"/>
  <c r="C1464" i="8"/>
  <c r="D1464" i="8" s="1"/>
  <c r="E1464" i="8"/>
  <c r="C1465" i="8"/>
  <c r="D1465" i="8" s="1"/>
  <c r="E1465" i="8"/>
  <c r="C1466" i="8"/>
  <c r="D1466" i="8" s="1"/>
  <c r="E1466" i="8"/>
  <c r="C1467" i="8"/>
  <c r="D1467" i="8" s="1"/>
  <c r="E1467" i="8"/>
  <c r="C1468" i="8"/>
  <c r="D1468" i="8" s="1"/>
  <c r="E1468" i="8"/>
  <c r="C1469" i="8"/>
  <c r="D1469" i="8" s="1"/>
  <c r="E1469" i="8"/>
  <c r="C1470" i="8"/>
  <c r="D1470" i="8" s="1"/>
  <c r="E1470" i="8"/>
  <c r="C1471" i="8"/>
  <c r="D1471" i="8" s="1"/>
  <c r="E1471" i="8"/>
  <c r="C1472" i="8"/>
  <c r="D1472" i="8" s="1"/>
  <c r="E1472" i="8"/>
  <c r="C1473" i="8"/>
  <c r="D1473" i="8" s="1"/>
  <c r="E1473" i="8"/>
  <c r="C1474" i="8"/>
  <c r="D1474" i="8" s="1"/>
  <c r="E1474" i="8"/>
  <c r="C1475" i="8"/>
  <c r="D1475" i="8" s="1"/>
  <c r="E1475" i="8"/>
  <c r="C1476" i="8"/>
  <c r="D1476" i="8" s="1"/>
  <c r="E1476" i="8"/>
  <c r="C1477" i="8"/>
  <c r="D1477" i="8" s="1"/>
  <c r="E1477" i="8"/>
  <c r="C1478" i="8"/>
  <c r="D1478" i="8" s="1"/>
  <c r="E1478" i="8"/>
  <c r="C1479" i="8"/>
  <c r="D1479" i="8" s="1"/>
  <c r="E1479" i="8"/>
  <c r="C1480" i="8"/>
  <c r="D1480" i="8" s="1"/>
  <c r="E1480" i="8"/>
  <c r="C1481" i="8"/>
  <c r="D1481" i="8" s="1"/>
  <c r="E1481" i="8"/>
  <c r="C1482" i="8"/>
  <c r="D1482" i="8" s="1"/>
  <c r="E1482" i="8"/>
  <c r="C1483" i="8"/>
  <c r="D1483" i="8" s="1"/>
  <c r="E1483" i="8"/>
  <c r="C1484" i="8"/>
  <c r="D1484" i="8" s="1"/>
  <c r="E1484" i="8"/>
  <c r="C1485" i="8"/>
  <c r="D1485" i="8" s="1"/>
  <c r="E1485" i="8"/>
  <c r="C1486" i="8"/>
  <c r="D1486" i="8" s="1"/>
  <c r="E1486" i="8"/>
  <c r="C1487" i="8"/>
  <c r="D1487" i="8" s="1"/>
  <c r="E1487" i="8"/>
  <c r="C1488" i="8"/>
  <c r="D1488" i="8" s="1"/>
  <c r="E1488" i="8"/>
  <c r="C1489" i="8"/>
  <c r="D1489" i="8" s="1"/>
  <c r="E1489" i="8"/>
  <c r="C1490" i="8"/>
  <c r="D1490" i="8" s="1"/>
  <c r="E1490" i="8"/>
  <c r="C1491" i="8"/>
  <c r="D1491" i="8" s="1"/>
  <c r="E1491" i="8"/>
  <c r="C1492" i="8"/>
  <c r="D1492" i="8" s="1"/>
  <c r="E1492" i="8"/>
  <c r="C1493" i="8"/>
  <c r="D1493" i="8" s="1"/>
  <c r="E1493" i="8"/>
  <c r="C1494" i="8"/>
  <c r="D1494" i="8" s="1"/>
  <c r="E1494" i="8"/>
  <c r="C1495" i="8"/>
  <c r="D1495" i="8" s="1"/>
  <c r="E1495" i="8"/>
  <c r="C1496" i="8"/>
  <c r="D1496" i="8" s="1"/>
  <c r="E1496" i="8"/>
  <c r="C1497" i="8"/>
  <c r="D1497" i="8" s="1"/>
  <c r="E1497" i="8"/>
  <c r="C1498" i="8"/>
  <c r="D1498" i="8" s="1"/>
  <c r="E1498" i="8"/>
  <c r="C1499" i="8"/>
  <c r="D1499" i="8" s="1"/>
  <c r="E1499" i="8"/>
  <c r="C1500" i="8"/>
  <c r="D1500" i="8" s="1"/>
  <c r="E1500" i="8"/>
  <c r="C1501" i="8"/>
  <c r="D1501" i="8" s="1"/>
  <c r="E1501" i="8"/>
  <c r="C1502" i="8"/>
  <c r="D1502" i="8" s="1"/>
  <c r="E1502" i="8"/>
  <c r="C1503" i="8"/>
  <c r="D1503" i="8" s="1"/>
  <c r="E1503" i="8"/>
  <c r="C1504" i="8"/>
  <c r="D1504" i="8" s="1"/>
  <c r="E1504" i="8"/>
  <c r="C1505" i="8"/>
  <c r="D1505" i="8" s="1"/>
  <c r="E1505" i="8"/>
  <c r="C1506" i="8"/>
  <c r="D1506" i="8" s="1"/>
  <c r="E1506" i="8"/>
  <c r="C1507" i="8"/>
  <c r="D1507" i="8" s="1"/>
  <c r="E1507" i="8"/>
  <c r="C1508" i="8"/>
  <c r="D1508" i="8" s="1"/>
  <c r="E1508" i="8"/>
  <c r="C1509" i="8"/>
  <c r="D1509" i="8" s="1"/>
  <c r="E1509" i="8"/>
  <c r="C1510" i="8"/>
  <c r="D1510" i="8" s="1"/>
  <c r="E1510" i="8"/>
  <c r="C1511" i="8"/>
  <c r="D1511" i="8" s="1"/>
  <c r="E1511" i="8"/>
  <c r="C1512" i="8"/>
  <c r="D1512" i="8" s="1"/>
  <c r="E1512" i="8"/>
  <c r="C1513" i="8"/>
  <c r="D1513" i="8" s="1"/>
  <c r="E1513" i="8"/>
  <c r="C1514" i="8"/>
  <c r="D1514" i="8" s="1"/>
  <c r="E1514" i="8"/>
  <c r="C1515" i="8"/>
  <c r="D1515" i="8" s="1"/>
  <c r="E1515" i="8"/>
  <c r="C1516" i="8"/>
  <c r="D1516" i="8" s="1"/>
  <c r="E1516" i="8"/>
  <c r="C1517" i="8"/>
  <c r="D1517" i="8" s="1"/>
  <c r="E1517" i="8"/>
  <c r="C1518" i="8"/>
  <c r="D1518" i="8" s="1"/>
  <c r="E1518" i="8"/>
  <c r="C1519" i="8"/>
  <c r="D1519" i="8" s="1"/>
  <c r="E1519" i="8"/>
  <c r="C1520" i="8"/>
  <c r="D1520" i="8" s="1"/>
  <c r="E1520" i="8"/>
  <c r="C1521" i="8"/>
  <c r="D1521" i="8" s="1"/>
  <c r="E1521" i="8"/>
  <c r="C1522" i="8"/>
  <c r="D1522" i="8" s="1"/>
  <c r="E1522" i="8"/>
  <c r="C1523" i="8"/>
  <c r="D1523" i="8" s="1"/>
  <c r="E1523" i="8"/>
  <c r="C1524" i="8"/>
  <c r="D1524" i="8" s="1"/>
  <c r="E1524" i="8"/>
  <c r="C1525" i="8"/>
  <c r="D1525" i="8" s="1"/>
  <c r="E1525" i="8"/>
  <c r="C1526" i="8"/>
  <c r="D1526" i="8" s="1"/>
  <c r="E1526" i="8"/>
  <c r="C1527" i="8"/>
  <c r="D1527" i="8" s="1"/>
  <c r="E1527" i="8"/>
  <c r="C1528" i="8"/>
  <c r="D1528" i="8" s="1"/>
  <c r="E1528" i="8"/>
  <c r="C1529" i="8"/>
  <c r="D1529" i="8" s="1"/>
  <c r="E1529" i="8"/>
  <c r="C1530" i="8"/>
  <c r="D1530" i="8" s="1"/>
  <c r="E1530" i="8"/>
  <c r="C1531" i="8"/>
  <c r="D1531" i="8" s="1"/>
  <c r="E1531" i="8"/>
  <c r="C1532" i="8"/>
  <c r="D1532" i="8" s="1"/>
  <c r="E1532" i="8"/>
  <c r="C1533" i="8"/>
  <c r="D1533" i="8" s="1"/>
  <c r="E1533" i="8"/>
  <c r="C1534" i="8"/>
  <c r="D1534" i="8" s="1"/>
  <c r="E1534" i="8"/>
  <c r="C1535" i="8"/>
  <c r="D1535" i="8" s="1"/>
  <c r="E1535" i="8"/>
  <c r="C1536" i="8"/>
  <c r="D1536" i="8" s="1"/>
  <c r="E1536" i="8"/>
  <c r="C1537" i="8"/>
  <c r="D1537" i="8" s="1"/>
  <c r="E1537" i="8"/>
  <c r="C1538" i="8"/>
  <c r="D1538" i="8" s="1"/>
  <c r="E1538" i="8"/>
  <c r="C1539" i="8"/>
  <c r="D1539" i="8" s="1"/>
  <c r="E1539" i="8"/>
  <c r="C1540" i="8"/>
  <c r="D1540" i="8" s="1"/>
  <c r="E1540" i="8"/>
  <c r="C1541" i="8"/>
  <c r="D1541" i="8" s="1"/>
  <c r="E1541" i="8"/>
  <c r="C1542" i="8"/>
  <c r="D1542" i="8" s="1"/>
  <c r="E1542" i="8"/>
  <c r="C1543" i="8"/>
  <c r="D1543" i="8" s="1"/>
  <c r="E1543" i="8"/>
  <c r="C1544" i="8"/>
  <c r="D1544" i="8" s="1"/>
  <c r="E1544" i="8"/>
  <c r="C1545" i="8"/>
  <c r="D1545" i="8" s="1"/>
  <c r="E1545" i="8"/>
  <c r="C1546" i="8"/>
  <c r="D1546" i="8" s="1"/>
  <c r="E1546" i="8"/>
  <c r="C1547" i="8"/>
  <c r="D1547" i="8" s="1"/>
  <c r="E1547" i="8"/>
  <c r="C1548" i="8"/>
  <c r="D1548" i="8" s="1"/>
  <c r="E1548" i="8"/>
  <c r="C1549" i="8"/>
  <c r="D1549" i="8" s="1"/>
  <c r="E1549" i="8"/>
  <c r="C1550" i="8"/>
  <c r="D1550" i="8" s="1"/>
  <c r="E1550" i="8"/>
  <c r="C1551" i="8"/>
  <c r="D1551" i="8" s="1"/>
  <c r="E1551" i="8"/>
  <c r="C1552" i="8"/>
  <c r="D1552" i="8" s="1"/>
  <c r="E1552" i="8"/>
  <c r="C1553" i="8"/>
  <c r="D1553" i="8" s="1"/>
  <c r="E1553" i="8"/>
  <c r="C1554" i="8"/>
  <c r="D1554" i="8" s="1"/>
  <c r="E1554" i="8"/>
  <c r="C1555" i="8"/>
  <c r="D1555" i="8" s="1"/>
  <c r="E1555" i="8"/>
  <c r="C1556" i="8"/>
  <c r="D1556" i="8" s="1"/>
  <c r="E1556" i="8"/>
  <c r="C1557" i="8"/>
  <c r="D1557" i="8" s="1"/>
  <c r="E1557" i="8"/>
  <c r="C1558" i="8"/>
  <c r="D1558" i="8" s="1"/>
  <c r="E1558" i="8"/>
  <c r="C1559" i="8"/>
  <c r="D1559" i="8" s="1"/>
  <c r="E1559" i="8"/>
  <c r="C1560" i="8"/>
  <c r="D1560" i="8" s="1"/>
  <c r="E1560" i="8"/>
  <c r="C1561" i="8"/>
  <c r="D1561" i="8" s="1"/>
  <c r="E1561" i="8"/>
  <c r="C1562" i="8"/>
  <c r="D1562" i="8" s="1"/>
  <c r="E1562" i="8"/>
  <c r="C1563" i="8"/>
  <c r="D1563" i="8" s="1"/>
  <c r="E1563" i="8"/>
  <c r="C1564" i="8"/>
  <c r="D1564" i="8" s="1"/>
  <c r="E1564" i="8"/>
  <c r="C1565" i="8"/>
  <c r="D1565" i="8" s="1"/>
  <c r="E1565" i="8"/>
  <c r="C1566" i="8"/>
  <c r="D1566" i="8" s="1"/>
  <c r="E1566" i="8"/>
  <c r="C1567" i="8"/>
  <c r="D1567" i="8" s="1"/>
  <c r="E1567" i="8"/>
  <c r="C1568" i="8"/>
  <c r="D1568" i="8" s="1"/>
  <c r="E1568" i="8"/>
  <c r="C1569" i="8"/>
  <c r="D1569" i="8" s="1"/>
  <c r="E1569" i="8"/>
  <c r="C1570" i="8"/>
  <c r="D1570" i="8" s="1"/>
  <c r="E1570" i="8"/>
  <c r="C1571" i="8"/>
  <c r="D1571" i="8" s="1"/>
  <c r="E1571" i="8"/>
  <c r="C1572" i="8"/>
  <c r="D1572" i="8" s="1"/>
  <c r="E1572" i="8"/>
  <c r="C1573" i="8"/>
  <c r="D1573" i="8" s="1"/>
  <c r="E1573" i="8"/>
  <c r="C1574" i="8"/>
  <c r="D1574" i="8" s="1"/>
  <c r="E1574" i="8"/>
  <c r="C1575" i="8"/>
  <c r="D1575" i="8" s="1"/>
  <c r="E1575" i="8"/>
  <c r="C1576" i="8"/>
  <c r="D1576" i="8" s="1"/>
  <c r="E1576" i="8"/>
  <c r="C1577" i="8"/>
  <c r="D1577" i="8" s="1"/>
  <c r="E1577" i="8"/>
  <c r="C1578" i="8"/>
  <c r="D1578" i="8" s="1"/>
  <c r="E1578" i="8"/>
  <c r="C1579" i="8"/>
  <c r="D1579" i="8" s="1"/>
  <c r="E1579" i="8"/>
  <c r="C1580" i="8"/>
  <c r="D1580" i="8" s="1"/>
  <c r="E1580" i="8"/>
  <c r="C1581" i="8"/>
  <c r="D1581" i="8" s="1"/>
  <c r="E1581" i="8"/>
  <c r="C1582" i="8"/>
  <c r="D1582" i="8" s="1"/>
  <c r="E1582" i="8"/>
  <c r="C1583" i="8"/>
  <c r="D1583" i="8" s="1"/>
  <c r="E1583" i="8"/>
  <c r="C1584" i="8"/>
  <c r="D1584" i="8" s="1"/>
  <c r="E1584" i="8"/>
  <c r="C1585" i="8"/>
  <c r="D1585" i="8" s="1"/>
  <c r="E1585" i="8"/>
  <c r="C1586" i="8"/>
  <c r="D1586" i="8" s="1"/>
  <c r="E1586" i="8"/>
  <c r="C1587" i="8"/>
  <c r="D1587" i="8" s="1"/>
  <c r="E1587" i="8"/>
  <c r="C1588" i="8"/>
  <c r="D1588" i="8" s="1"/>
  <c r="E1588" i="8"/>
  <c r="C1589" i="8"/>
  <c r="D1589" i="8" s="1"/>
  <c r="E1589" i="8"/>
  <c r="C1590" i="8"/>
  <c r="D1590" i="8" s="1"/>
  <c r="E1590" i="8"/>
  <c r="C1591" i="8"/>
  <c r="D1591" i="8" s="1"/>
  <c r="E1591" i="8"/>
  <c r="C1592" i="8"/>
  <c r="D1592" i="8" s="1"/>
  <c r="E1592" i="8"/>
  <c r="C1593" i="8"/>
  <c r="D1593" i="8" s="1"/>
  <c r="E1593" i="8"/>
  <c r="C1594" i="8"/>
  <c r="D1594" i="8" s="1"/>
  <c r="E1594" i="8"/>
  <c r="C1595" i="8"/>
  <c r="D1595" i="8" s="1"/>
  <c r="E1595" i="8"/>
  <c r="C1596" i="8"/>
  <c r="D1596" i="8" s="1"/>
  <c r="E1596" i="8"/>
  <c r="C1597" i="8"/>
  <c r="D1597" i="8" s="1"/>
  <c r="E1597" i="8"/>
  <c r="C1598" i="8"/>
  <c r="D1598" i="8" s="1"/>
  <c r="E1598" i="8"/>
  <c r="C1599" i="8"/>
  <c r="D1599" i="8" s="1"/>
  <c r="E1599" i="8"/>
  <c r="C1600" i="8"/>
  <c r="D1600" i="8" s="1"/>
  <c r="E1600" i="8"/>
  <c r="C1601" i="8"/>
  <c r="D1601" i="8" s="1"/>
  <c r="E1601" i="8"/>
  <c r="C1602" i="8"/>
  <c r="D1602" i="8" s="1"/>
  <c r="E1602" i="8"/>
  <c r="C1603" i="8"/>
  <c r="D1603" i="8" s="1"/>
  <c r="E1603" i="8"/>
  <c r="C1604" i="8"/>
  <c r="D1604" i="8" s="1"/>
  <c r="E1604" i="8"/>
  <c r="C1605" i="8"/>
  <c r="D1605" i="8" s="1"/>
  <c r="E1605" i="8"/>
  <c r="C1606" i="8"/>
  <c r="D1606" i="8" s="1"/>
  <c r="E1606" i="8"/>
  <c r="C1607" i="8"/>
  <c r="D1607" i="8" s="1"/>
  <c r="E1607" i="8"/>
  <c r="C1608" i="8"/>
  <c r="D1608" i="8" s="1"/>
  <c r="E1608" i="8"/>
  <c r="C1609" i="8"/>
  <c r="D1609" i="8" s="1"/>
  <c r="E1609" i="8"/>
  <c r="C1610" i="8"/>
  <c r="D1610" i="8" s="1"/>
  <c r="E1610" i="8"/>
  <c r="C1611" i="8"/>
  <c r="D1611" i="8" s="1"/>
  <c r="E1611" i="8"/>
  <c r="C1612" i="8"/>
  <c r="D1612" i="8" s="1"/>
  <c r="E1612" i="8"/>
  <c r="C1613" i="8"/>
  <c r="D1613" i="8" s="1"/>
  <c r="E1613" i="8"/>
  <c r="C1614" i="8"/>
  <c r="D1614" i="8" s="1"/>
  <c r="E1614" i="8"/>
  <c r="C1615" i="8"/>
  <c r="D1615" i="8" s="1"/>
  <c r="E1615" i="8"/>
  <c r="C1616" i="8"/>
  <c r="D1616" i="8" s="1"/>
  <c r="E1616" i="8"/>
  <c r="C1617" i="8"/>
  <c r="D1617" i="8" s="1"/>
  <c r="E1617" i="8"/>
  <c r="C1618" i="8"/>
  <c r="D1618" i="8" s="1"/>
  <c r="E1618" i="8"/>
  <c r="C1619" i="8"/>
  <c r="D1619" i="8" s="1"/>
  <c r="E1619" i="8"/>
  <c r="C1620" i="8"/>
  <c r="D1620" i="8" s="1"/>
  <c r="E1620" i="8"/>
  <c r="C1621" i="8"/>
  <c r="D1621" i="8" s="1"/>
  <c r="E1621" i="8"/>
  <c r="C1622" i="8"/>
  <c r="D1622" i="8" s="1"/>
  <c r="E1622" i="8"/>
  <c r="C1623" i="8"/>
  <c r="D1623" i="8" s="1"/>
  <c r="E1623" i="8"/>
  <c r="C1624" i="8"/>
  <c r="D1624" i="8" s="1"/>
  <c r="E1624" i="8"/>
  <c r="C1625" i="8"/>
  <c r="D1625" i="8" s="1"/>
  <c r="E1625" i="8"/>
  <c r="C1626" i="8"/>
  <c r="D1626" i="8" s="1"/>
  <c r="E1626" i="8"/>
  <c r="C1627" i="8"/>
  <c r="D1627" i="8" s="1"/>
  <c r="E1627" i="8"/>
  <c r="C1628" i="8"/>
  <c r="D1628" i="8" s="1"/>
  <c r="E1628" i="8"/>
  <c r="C1629" i="8"/>
  <c r="D1629" i="8" s="1"/>
  <c r="E1629" i="8"/>
  <c r="C1630" i="8"/>
  <c r="D1630" i="8" s="1"/>
  <c r="E1630" i="8"/>
  <c r="C1631" i="8"/>
  <c r="D1631" i="8" s="1"/>
  <c r="E1631" i="8"/>
  <c r="C1632" i="8"/>
  <c r="D1632" i="8" s="1"/>
  <c r="E1632" i="8"/>
  <c r="C1633" i="8"/>
  <c r="D1633" i="8" s="1"/>
  <c r="E1633" i="8"/>
  <c r="C1634" i="8"/>
  <c r="D1634" i="8" s="1"/>
  <c r="E1634" i="8"/>
  <c r="C1635" i="8"/>
  <c r="D1635" i="8" s="1"/>
  <c r="E1635" i="8"/>
  <c r="C1636" i="8"/>
  <c r="D1636" i="8" s="1"/>
  <c r="E1636" i="8"/>
  <c r="C1637" i="8"/>
  <c r="D1637" i="8" s="1"/>
  <c r="E1637" i="8"/>
  <c r="C1638" i="8"/>
  <c r="D1638" i="8" s="1"/>
  <c r="E1638" i="8"/>
  <c r="C1639" i="8"/>
  <c r="D1639" i="8" s="1"/>
  <c r="E1639" i="8"/>
  <c r="C1640" i="8"/>
  <c r="D1640" i="8" s="1"/>
  <c r="E1640" i="8"/>
  <c r="C1641" i="8"/>
  <c r="D1641" i="8" s="1"/>
  <c r="E1641" i="8"/>
  <c r="C1642" i="8"/>
  <c r="D1642" i="8" s="1"/>
  <c r="E1642" i="8"/>
  <c r="C1643" i="8"/>
  <c r="D1643" i="8" s="1"/>
  <c r="E1643" i="8"/>
  <c r="C1644" i="8"/>
  <c r="D1644" i="8" s="1"/>
  <c r="E1644" i="8"/>
  <c r="C1645" i="8"/>
  <c r="D1645" i="8" s="1"/>
  <c r="E1645" i="8"/>
  <c r="C1646" i="8"/>
  <c r="D1646" i="8" s="1"/>
  <c r="E1646" i="8"/>
  <c r="C1647" i="8"/>
  <c r="D1647" i="8" s="1"/>
  <c r="E1647" i="8"/>
  <c r="C1648" i="8"/>
  <c r="D1648" i="8" s="1"/>
  <c r="E1648" i="8"/>
  <c r="C1649" i="8"/>
  <c r="D1649" i="8" s="1"/>
  <c r="E1649" i="8"/>
  <c r="C1650" i="8"/>
  <c r="D1650" i="8" s="1"/>
  <c r="E1650" i="8"/>
  <c r="C1651" i="8"/>
  <c r="D1651" i="8" s="1"/>
  <c r="E1651" i="8"/>
  <c r="C1652" i="8"/>
  <c r="D1652" i="8" s="1"/>
  <c r="E1652" i="8"/>
  <c r="C1653" i="8"/>
  <c r="D1653" i="8" s="1"/>
  <c r="E1653" i="8"/>
  <c r="C1654" i="8"/>
  <c r="D1654" i="8" s="1"/>
  <c r="E1654" i="8"/>
  <c r="C1655" i="8"/>
  <c r="D1655" i="8" s="1"/>
  <c r="E1655" i="8"/>
  <c r="C1656" i="8"/>
  <c r="D1656" i="8" s="1"/>
  <c r="E1656" i="8"/>
  <c r="C1657" i="8"/>
  <c r="D1657" i="8" s="1"/>
  <c r="E1657" i="8"/>
  <c r="C1658" i="8"/>
  <c r="D1658" i="8" s="1"/>
  <c r="E1658" i="8"/>
  <c r="C1659" i="8"/>
  <c r="D1659" i="8" s="1"/>
  <c r="E1659" i="8"/>
  <c r="C1660" i="8"/>
  <c r="D1660" i="8" s="1"/>
  <c r="E1660" i="8"/>
  <c r="C1661" i="8"/>
  <c r="D1661" i="8" s="1"/>
  <c r="E1661" i="8"/>
  <c r="C1662" i="8"/>
  <c r="D1662" i="8" s="1"/>
  <c r="E1662" i="8"/>
  <c r="C1663" i="8"/>
  <c r="D1663" i="8" s="1"/>
  <c r="E1663" i="8"/>
  <c r="C1664" i="8"/>
  <c r="D1664" i="8" s="1"/>
  <c r="E1664" i="8"/>
  <c r="C1665" i="8"/>
  <c r="D1665" i="8" s="1"/>
  <c r="E1665" i="8"/>
  <c r="C1666" i="8"/>
  <c r="D1666" i="8" s="1"/>
  <c r="E1666" i="8"/>
  <c r="C1667" i="8"/>
  <c r="D1667" i="8" s="1"/>
  <c r="E1667" i="8"/>
  <c r="C1668" i="8"/>
  <c r="D1668" i="8" s="1"/>
  <c r="E1668" i="8"/>
  <c r="C1669" i="8"/>
  <c r="D1669" i="8" s="1"/>
  <c r="E1669" i="8"/>
  <c r="C1670" i="8"/>
  <c r="D1670" i="8" s="1"/>
  <c r="E1670" i="8"/>
  <c r="C1671" i="8"/>
  <c r="D1671" i="8" s="1"/>
  <c r="E1671" i="8"/>
  <c r="C1672" i="8"/>
  <c r="D1672" i="8" s="1"/>
  <c r="E1672" i="8"/>
  <c r="C1673" i="8"/>
  <c r="D1673" i="8" s="1"/>
  <c r="E1673" i="8"/>
  <c r="C1674" i="8"/>
  <c r="D1674" i="8" s="1"/>
  <c r="E1674" i="8"/>
  <c r="C1675" i="8"/>
  <c r="D1675" i="8" s="1"/>
  <c r="E1675" i="8"/>
  <c r="C1676" i="8"/>
  <c r="D1676" i="8" s="1"/>
  <c r="E1676" i="8"/>
  <c r="C1677" i="8"/>
  <c r="D1677" i="8" s="1"/>
  <c r="E1677" i="8"/>
  <c r="C1678" i="8"/>
  <c r="D1678" i="8" s="1"/>
  <c r="E1678" i="8"/>
  <c r="C1679" i="8"/>
  <c r="D1679" i="8" s="1"/>
  <c r="E1679" i="8"/>
  <c r="C1680" i="8"/>
  <c r="D1680" i="8" s="1"/>
  <c r="E1680" i="8"/>
  <c r="C1681" i="8"/>
  <c r="D1681" i="8" s="1"/>
  <c r="E1681" i="8"/>
  <c r="C1682" i="8"/>
  <c r="D1682" i="8" s="1"/>
  <c r="E1682" i="8"/>
  <c r="C1683" i="8"/>
  <c r="D1683" i="8" s="1"/>
  <c r="E1683" i="8"/>
  <c r="C1684" i="8"/>
  <c r="D1684" i="8" s="1"/>
  <c r="E1684" i="8"/>
  <c r="C1685" i="8"/>
  <c r="D1685" i="8" s="1"/>
  <c r="E1685" i="8"/>
  <c r="C1686" i="8"/>
  <c r="D1686" i="8" s="1"/>
  <c r="E1686" i="8"/>
  <c r="C1687" i="8"/>
  <c r="D1687" i="8" s="1"/>
  <c r="E1687" i="8"/>
  <c r="C1688" i="8"/>
  <c r="D1688" i="8" s="1"/>
  <c r="E1688" i="8"/>
  <c r="C1689" i="8"/>
  <c r="D1689" i="8" s="1"/>
  <c r="E1689" i="8"/>
  <c r="C1690" i="8"/>
  <c r="D1690" i="8" s="1"/>
  <c r="E1690" i="8"/>
  <c r="C1691" i="8"/>
  <c r="D1691" i="8" s="1"/>
  <c r="E1691" i="8"/>
  <c r="C1692" i="8"/>
  <c r="D1692" i="8" s="1"/>
  <c r="E1692" i="8"/>
  <c r="C1693" i="8"/>
  <c r="D1693" i="8" s="1"/>
  <c r="E1693" i="8"/>
  <c r="C1694" i="8"/>
  <c r="D1694" i="8" s="1"/>
  <c r="E1694" i="8"/>
  <c r="C1695" i="8"/>
  <c r="D1695" i="8" s="1"/>
  <c r="E1695" i="8"/>
  <c r="C1696" i="8"/>
  <c r="D1696" i="8" s="1"/>
  <c r="E1696" i="8"/>
  <c r="C1697" i="8"/>
  <c r="D1697" i="8" s="1"/>
  <c r="E1697" i="8"/>
  <c r="C1698" i="8"/>
  <c r="D1698" i="8" s="1"/>
  <c r="E1698" i="8"/>
  <c r="C1699" i="8"/>
  <c r="D1699" i="8" s="1"/>
  <c r="E1699" i="8"/>
  <c r="C1700" i="8"/>
  <c r="D1700" i="8" s="1"/>
  <c r="E1700" i="8"/>
  <c r="C1701" i="8"/>
  <c r="D1701" i="8" s="1"/>
  <c r="E1701" i="8"/>
  <c r="C1702" i="8"/>
  <c r="D1702" i="8" s="1"/>
  <c r="E1702" i="8"/>
  <c r="C1703" i="8"/>
  <c r="D1703" i="8" s="1"/>
  <c r="E1703" i="8"/>
  <c r="C1704" i="8"/>
  <c r="D1704" i="8" s="1"/>
  <c r="E1704" i="8"/>
  <c r="C1705" i="8"/>
  <c r="D1705" i="8" s="1"/>
  <c r="E1705" i="8"/>
  <c r="C1706" i="8"/>
  <c r="D1706" i="8" s="1"/>
  <c r="E1706" i="8"/>
  <c r="C1707" i="8"/>
  <c r="D1707" i="8" s="1"/>
  <c r="E1707" i="8"/>
  <c r="C1708" i="8"/>
  <c r="D1708" i="8" s="1"/>
  <c r="E1708" i="8"/>
  <c r="C1709" i="8"/>
  <c r="D1709" i="8" s="1"/>
  <c r="E1709" i="8"/>
  <c r="C1710" i="8"/>
  <c r="D1710" i="8" s="1"/>
  <c r="E1710" i="8"/>
  <c r="C1711" i="8"/>
  <c r="D1711" i="8" s="1"/>
  <c r="E1711" i="8"/>
  <c r="C1712" i="8"/>
  <c r="D1712" i="8" s="1"/>
  <c r="E1712" i="8"/>
  <c r="C1713" i="8"/>
  <c r="D1713" i="8" s="1"/>
  <c r="E1713" i="8"/>
  <c r="C1714" i="8"/>
  <c r="D1714" i="8" s="1"/>
  <c r="E1714" i="8"/>
  <c r="C1715" i="8"/>
  <c r="D1715" i="8" s="1"/>
  <c r="E1715" i="8"/>
  <c r="C1716" i="8"/>
  <c r="D1716" i="8" s="1"/>
  <c r="E1716" i="8"/>
  <c r="C1717" i="8"/>
  <c r="D1717" i="8" s="1"/>
  <c r="E1717" i="8"/>
  <c r="C1718" i="8"/>
  <c r="D1718" i="8" s="1"/>
  <c r="E1718" i="8"/>
  <c r="C1719" i="8"/>
  <c r="D1719" i="8" s="1"/>
  <c r="E1719" i="8"/>
  <c r="C1720" i="8"/>
  <c r="D1720" i="8" s="1"/>
  <c r="E1720" i="8"/>
  <c r="C1721" i="8"/>
  <c r="D1721" i="8" s="1"/>
  <c r="E1721" i="8"/>
  <c r="C1722" i="8"/>
  <c r="D1722" i="8" s="1"/>
  <c r="E1722" i="8"/>
  <c r="C1723" i="8"/>
  <c r="D1723" i="8" s="1"/>
  <c r="E1723" i="8"/>
  <c r="C1724" i="8"/>
  <c r="D1724" i="8" s="1"/>
  <c r="E1724" i="8"/>
  <c r="C1725" i="8"/>
  <c r="D1725" i="8" s="1"/>
  <c r="E1725" i="8"/>
  <c r="C1726" i="8"/>
  <c r="D1726" i="8" s="1"/>
  <c r="E1726" i="8"/>
  <c r="C1727" i="8"/>
  <c r="D1727" i="8" s="1"/>
  <c r="E1727" i="8"/>
  <c r="C1728" i="8"/>
  <c r="D1728" i="8" s="1"/>
  <c r="E1728" i="8"/>
  <c r="C1729" i="8"/>
  <c r="D1729" i="8" s="1"/>
  <c r="E1729" i="8"/>
  <c r="C1730" i="8"/>
  <c r="D1730" i="8" s="1"/>
  <c r="E1730" i="8"/>
  <c r="C1731" i="8"/>
  <c r="D1731" i="8" s="1"/>
  <c r="E1731" i="8"/>
  <c r="C1732" i="8"/>
  <c r="D1732" i="8" s="1"/>
  <c r="E1732" i="8"/>
  <c r="C1733" i="8"/>
  <c r="D1733" i="8" s="1"/>
  <c r="E1733" i="8"/>
  <c r="C1734" i="8"/>
  <c r="D1734" i="8" s="1"/>
  <c r="E1734" i="8"/>
  <c r="C1735" i="8"/>
  <c r="D1735" i="8" s="1"/>
  <c r="E1735" i="8"/>
  <c r="C1736" i="8"/>
  <c r="D1736" i="8" s="1"/>
  <c r="E1736" i="8"/>
  <c r="C1737" i="8"/>
  <c r="D1737" i="8" s="1"/>
  <c r="E1737" i="8"/>
  <c r="C1738" i="8"/>
  <c r="D1738" i="8" s="1"/>
  <c r="E1738" i="8"/>
  <c r="C1739" i="8"/>
  <c r="D1739" i="8" s="1"/>
  <c r="E1739" i="8"/>
  <c r="C1740" i="8"/>
  <c r="D1740" i="8" s="1"/>
  <c r="E1740" i="8"/>
  <c r="C1741" i="8"/>
  <c r="D1741" i="8" s="1"/>
  <c r="E1741" i="8"/>
  <c r="C1742" i="8"/>
  <c r="D1742" i="8" s="1"/>
  <c r="E1742" i="8"/>
  <c r="C1743" i="8"/>
  <c r="D1743" i="8" s="1"/>
  <c r="E1743" i="8"/>
  <c r="C1744" i="8"/>
  <c r="D1744" i="8" s="1"/>
  <c r="E1744" i="8"/>
  <c r="C1745" i="8"/>
  <c r="D1745" i="8" s="1"/>
  <c r="E1745" i="8"/>
  <c r="C1746" i="8"/>
  <c r="D1746" i="8" s="1"/>
  <c r="E1746" i="8"/>
  <c r="C1747" i="8"/>
  <c r="D1747" i="8" s="1"/>
  <c r="E1747" i="8"/>
  <c r="C1748" i="8"/>
  <c r="D1748" i="8" s="1"/>
  <c r="E1748" i="8"/>
  <c r="C1749" i="8"/>
  <c r="D1749" i="8" s="1"/>
  <c r="E1749" i="8"/>
  <c r="C1750" i="8"/>
  <c r="D1750" i="8" s="1"/>
  <c r="E1750" i="8"/>
  <c r="C1751" i="8"/>
  <c r="D1751" i="8" s="1"/>
  <c r="E1751" i="8"/>
  <c r="C1752" i="8"/>
  <c r="D1752" i="8" s="1"/>
  <c r="E1752" i="8"/>
  <c r="C1753" i="8"/>
  <c r="D1753" i="8" s="1"/>
  <c r="E1753" i="8"/>
  <c r="C1754" i="8"/>
  <c r="D1754" i="8" s="1"/>
  <c r="E1754" i="8"/>
  <c r="C1755" i="8"/>
  <c r="D1755" i="8" s="1"/>
  <c r="E1755" i="8"/>
  <c r="C1756" i="8"/>
  <c r="D1756" i="8" s="1"/>
  <c r="E1756" i="8"/>
  <c r="C1757" i="8"/>
  <c r="D1757" i="8" s="1"/>
  <c r="E1757" i="8"/>
  <c r="C1758" i="8"/>
  <c r="D1758" i="8" s="1"/>
  <c r="E1758" i="8"/>
  <c r="C1759" i="8"/>
  <c r="D1759" i="8" s="1"/>
  <c r="E1759" i="8"/>
  <c r="C1760" i="8"/>
  <c r="D1760" i="8" s="1"/>
  <c r="E1760" i="8"/>
  <c r="C1761" i="8"/>
  <c r="D1761" i="8" s="1"/>
  <c r="E1761" i="8"/>
  <c r="C1762" i="8"/>
  <c r="D1762" i="8" s="1"/>
  <c r="E1762" i="8"/>
  <c r="C1763" i="8"/>
  <c r="D1763" i="8" s="1"/>
  <c r="E1763" i="8"/>
  <c r="C1764" i="8"/>
  <c r="D1764" i="8" s="1"/>
  <c r="E1764" i="8"/>
  <c r="C1765" i="8"/>
  <c r="D1765" i="8" s="1"/>
  <c r="E1765" i="8"/>
  <c r="C1766" i="8"/>
  <c r="D1766" i="8" s="1"/>
  <c r="E1766" i="8"/>
  <c r="C1767" i="8"/>
  <c r="D1767" i="8" s="1"/>
  <c r="E1767" i="8"/>
  <c r="C1768" i="8"/>
  <c r="D1768" i="8" s="1"/>
  <c r="E1768" i="8"/>
  <c r="C1769" i="8"/>
  <c r="D1769" i="8" s="1"/>
  <c r="E1769" i="8"/>
  <c r="C1770" i="8"/>
  <c r="D1770" i="8" s="1"/>
  <c r="E1770" i="8"/>
  <c r="C1771" i="8"/>
  <c r="D1771" i="8" s="1"/>
  <c r="E1771" i="8"/>
  <c r="C1772" i="8"/>
  <c r="D1772" i="8" s="1"/>
  <c r="E1772" i="8"/>
  <c r="C1773" i="8"/>
  <c r="D1773" i="8" s="1"/>
  <c r="E1773" i="8"/>
  <c r="C1774" i="8"/>
  <c r="D1774" i="8" s="1"/>
  <c r="E1774" i="8"/>
  <c r="C1775" i="8"/>
  <c r="D1775" i="8" s="1"/>
  <c r="E1775" i="8"/>
  <c r="C1776" i="8"/>
  <c r="D1776" i="8" s="1"/>
  <c r="E1776" i="8"/>
  <c r="C1777" i="8"/>
  <c r="D1777" i="8" s="1"/>
  <c r="E1777" i="8"/>
  <c r="C1778" i="8"/>
  <c r="D1778" i="8" s="1"/>
  <c r="E1778" i="8"/>
  <c r="C1779" i="8"/>
  <c r="D1779" i="8" s="1"/>
  <c r="E1779" i="8"/>
  <c r="C1780" i="8"/>
  <c r="D1780" i="8" s="1"/>
  <c r="E1780" i="8"/>
  <c r="C1781" i="8"/>
  <c r="D1781" i="8" s="1"/>
  <c r="E1781" i="8"/>
  <c r="C1782" i="8"/>
  <c r="D1782" i="8" s="1"/>
  <c r="E1782" i="8"/>
  <c r="C1783" i="8"/>
  <c r="D1783" i="8" s="1"/>
  <c r="E1783" i="8"/>
  <c r="C1784" i="8"/>
  <c r="D1784" i="8" s="1"/>
  <c r="E1784" i="8"/>
  <c r="C1785" i="8"/>
  <c r="D1785" i="8" s="1"/>
  <c r="E1785" i="8"/>
  <c r="C1786" i="8"/>
  <c r="D1786" i="8" s="1"/>
  <c r="E1786" i="8"/>
  <c r="C1787" i="8"/>
  <c r="D1787" i="8" s="1"/>
  <c r="E1787" i="8"/>
  <c r="C1788" i="8"/>
  <c r="D1788" i="8" s="1"/>
  <c r="E1788" i="8"/>
  <c r="C1789" i="8"/>
  <c r="D1789" i="8" s="1"/>
  <c r="E1789" i="8"/>
  <c r="C1790" i="8"/>
  <c r="D1790" i="8" s="1"/>
  <c r="E1790" i="8"/>
  <c r="C1791" i="8"/>
  <c r="D1791" i="8" s="1"/>
  <c r="E1791" i="8"/>
  <c r="C1792" i="8"/>
  <c r="D1792" i="8" s="1"/>
  <c r="E1792" i="8"/>
  <c r="C1793" i="8"/>
  <c r="D1793" i="8" s="1"/>
  <c r="E1793" i="8"/>
  <c r="C1794" i="8"/>
  <c r="D1794" i="8" s="1"/>
  <c r="E1794" i="8"/>
  <c r="C1795" i="8"/>
  <c r="D1795" i="8" s="1"/>
  <c r="E1795" i="8"/>
  <c r="C1796" i="8"/>
  <c r="D1796" i="8" s="1"/>
  <c r="E1796" i="8"/>
  <c r="C1797" i="8"/>
  <c r="D1797" i="8" s="1"/>
  <c r="E1797" i="8"/>
  <c r="C1798" i="8"/>
  <c r="D1798" i="8" s="1"/>
  <c r="E1798" i="8"/>
  <c r="C1799" i="8"/>
  <c r="D1799" i="8" s="1"/>
  <c r="E1799" i="8"/>
  <c r="C1800" i="8"/>
  <c r="D1800" i="8" s="1"/>
  <c r="E1800" i="8"/>
  <c r="C1801" i="8"/>
  <c r="D1801" i="8" s="1"/>
  <c r="E1801" i="8"/>
  <c r="C1802" i="8"/>
  <c r="D1802" i="8" s="1"/>
  <c r="E1802" i="8"/>
  <c r="C1803" i="8"/>
  <c r="D1803" i="8" s="1"/>
  <c r="E1803" i="8"/>
  <c r="C1804" i="8"/>
  <c r="D1804" i="8" s="1"/>
  <c r="E1804" i="8"/>
  <c r="C1805" i="8"/>
  <c r="D1805" i="8" s="1"/>
  <c r="E1805" i="8"/>
  <c r="C1806" i="8"/>
  <c r="D1806" i="8" s="1"/>
  <c r="E1806" i="8"/>
  <c r="C1807" i="8"/>
  <c r="D1807" i="8" s="1"/>
  <c r="E1807" i="8"/>
  <c r="C1808" i="8"/>
  <c r="D1808" i="8" s="1"/>
  <c r="E1808" i="8"/>
  <c r="C1809" i="8"/>
  <c r="D1809" i="8" s="1"/>
  <c r="E1809" i="8"/>
  <c r="C1810" i="8"/>
  <c r="D1810" i="8" s="1"/>
  <c r="E1810" i="8"/>
  <c r="C1811" i="8"/>
  <c r="D1811" i="8" s="1"/>
  <c r="E1811" i="8"/>
  <c r="C1812" i="8"/>
  <c r="D1812" i="8" s="1"/>
  <c r="E1812" i="8"/>
  <c r="C1813" i="8"/>
  <c r="D1813" i="8" s="1"/>
  <c r="E1813" i="8"/>
  <c r="C1814" i="8"/>
  <c r="D1814" i="8" s="1"/>
  <c r="E1814" i="8"/>
  <c r="C1815" i="8"/>
  <c r="D1815" i="8" s="1"/>
  <c r="E1815" i="8"/>
  <c r="C1816" i="8"/>
  <c r="D1816" i="8" s="1"/>
  <c r="E1816" i="8"/>
  <c r="C1817" i="8"/>
  <c r="D1817" i="8" s="1"/>
  <c r="E1817" i="8"/>
  <c r="C1818" i="8"/>
  <c r="D1818" i="8" s="1"/>
  <c r="E1818" i="8"/>
  <c r="C1819" i="8"/>
  <c r="D1819" i="8" s="1"/>
  <c r="E1819" i="8"/>
  <c r="C1820" i="8"/>
  <c r="D1820" i="8" s="1"/>
  <c r="E1820" i="8"/>
  <c r="C1821" i="8"/>
  <c r="D1821" i="8" s="1"/>
  <c r="E1821" i="8"/>
  <c r="C1822" i="8"/>
  <c r="D1822" i="8" s="1"/>
  <c r="E1822" i="8"/>
  <c r="C1823" i="8"/>
  <c r="D1823" i="8" s="1"/>
  <c r="E1823" i="8"/>
  <c r="C1824" i="8"/>
  <c r="D1824" i="8" s="1"/>
  <c r="E1824" i="8"/>
  <c r="C1825" i="8"/>
  <c r="D1825" i="8" s="1"/>
  <c r="E1825" i="8"/>
  <c r="C1826" i="8"/>
  <c r="D1826" i="8" s="1"/>
  <c r="E1826" i="8"/>
  <c r="C1827" i="8"/>
  <c r="D1827" i="8" s="1"/>
  <c r="E1827" i="8"/>
  <c r="C1828" i="8"/>
  <c r="D1828" i="8" s="1"/>
  <c r="E1828" i="8"/>
  <c r="C1829" i="8"/>
  <c r="D1829" i="8" s="1"/>
  <c r="E1829" i="8"/>
  <c r="C1830" i="8"/>
  <c r="D1830" i="8" s="1"/>
  <c r="E1830" i="8"/>
  <c r="C1831" i="8"/>
  <c r="D1831" i="8" s="1"/>
  <c r="E1831" i="8"/>
  <c r="C1832" i="8"/>
  <c r="D1832" i="8" s="1"/>
  <c r="E1832" i="8"/>
  <c r="C1833" i="8"/>
  <c r="D1833" i="8" s="1"/>
  <c r="E1833" i="8"/>
  <c r="C1834" i="8"/>
  <c r="D1834" i="8" s="1"/>
  <c r="E1834" i="8"/>
  <c r="C1835" i="8"/>
  <c r="D1835" i="8" s="1"/>
  <c r="E1835" i="8"/>
  <c r="C1836" i="8"/>
  <c r="D1836" i="8" s="1"/>
  <c r="E1836" i="8"/>
  <c r="C1837" i="8"/>
  <c r="D1837" i="8" s="1"/>
  <c r="E1837" i="8"/>
  <c r="C1838" i="8"/>
  <c r="D1838" i="8" s="1"/>
  <c r="E1838" i="8"/>
  <c r="C1839" i="8"/>
  <c r="D1839" i="8" s="1"/>
  <c r="E1839" i="8"/>
  <c r="C1840" i="8"/>
  <c r="D1840" i="8" s="1"/>
  <c r="E1840" i="8"/>
  <c r="C1841" i="8"/>
  <c r="D1841" i="8" s="1"/>
  <c r="E1841" i="8"/>
  <c r="C1842" i="8"/>
  <c r="D1842" i="8" s="1"/>
  <c r="E1842" i="8"/>
  <c r="C1843" i="8"/>
  <c r="D1843" i="8" s="1"/>
  <c r="E1843" i="8"/>
  <c r="C1844" i="8"/>
  <c r="D1844" i="8" s="1"/>
  <c r="E1844" i="8"/>
  <c r="C1845" i="8"/>
  <c r="D1845" i="8" s="1"/>
  <c r="E1845" i="8"/>
  <c r="C1846" i="8"/>
  <c r="D1846" i="8" s="1"/>
  <c r="E1846" i="8"/>
  <c r="C1847" i="8"/>
  <c r="D1847" i="8" s="1"/>
  <c r="E1847" i="8"/>
  <c r="C1848" i="8"/>
  <c r="D1848" i="8" s="1"/>
  <c r="E1848" i="8"/>
  <c r="C1849" i="8"/>
  <c r="D1849" i="8" s="1"/>
  <c r="E1849" i="8"/>
  <c r="C1850" i="8"/>
  <c r="D1850" i="8" s="1"/>
  <c r="E1850" i="8"/>
  <c r="C1851" i="8"/>
  <c r="D1851" i="8" s="1"/>
  <c r="E1851" i="8"/>
  <c r="C1852" i="8"/>
  <c r="D1852" i="8" s="1"/>
  <c r="E1852" i="8"/>
  <c r="C1853" i="8"/>
  <c r="D1853" i="8" s="1"/>
  <c r="E1853" i="8"/>
  <c r="C1854" i="8"/>
  <c r="D1854" i="8" s="1"/>
  <c r="E1854" i="8"/>
  <c r="C1855" i="8"/>
  <c r="D1855" i="8" s="1"/>
  <c r="E1855" i="8"/>
  <c r="C1856" i="8"/>
  <c r="D1856" i="8" s="1"/>
  <c r="E1856" i="8"/>
  <c r="C1857" i="8"/>
  <c r="D1857" i="8" s="1"/>
  <c r="E1857" i="8"/>
  <c r="C1858" i="8"/>
  <c r="D1858" i="8" s="1"/>
  <c r="E1858" i="8"/>
  <c r="C1859" i="8"/>
  <c r="D1859" i="8" s="1"/>
  <c r="E1859" i="8"/>
  <c r="C1860" i="8"/>
  <c r="D1860" i="8" s="1"/>
  <c r="E1860" i="8"/>
  <c r="C1861" i="8"/>
  <c r="D1861" i="8" s="1"/>
  <c r="E1861" i="8"/>
  <c r="C1862" i="8"/>
  <c r="D1862" i="8" s="1"/>
  <c r="E1862" i="8"/>
  <c r="C1863" i="8"/>
  <c r="D1863" i="8" s="1"/>
  <c r="E1863" i="8"/>
  <c r="C1864" i="8"/>
  <c r="D1864" i="8" s="1"/>
  <c r="E1864" i="8"/>
  <c r="C1865" i="8"/>
  <c r="D1865" i="8" s="1"/>
  <c r="E1865" i="8"/>
  <c r="C1866" i="8"/>
  <c r="D1866" i="8" s="1"/>
  <c r="E1866" i="8"/>
  <c r="C1867" i="8"/>
  <c r="D1867" i="8" s="1"/>
  <c r="E1867" i="8"/>
  <c r="C1868" i="8"/>
  <c r="D1868" i="8" s="1"/>
  <c r="E1868" i="8"/>
  <c r="C1869" i="8"/>
  <c r="D1869" i="8" s="1"/>
  <c r="E1869" i="8"/>
  <c r="C1870" i="8"/>
  <c r="D1870" i="8" s="1"/>
  <c r="E1870" i="8"/>
  <c r="C1871" i="8"/>
  <c r="D1871" i="8" s="1"/>
  <c r="E1871" i="8"/>
  <c r="C1872" i="8"/>
  <c r="D1872" i="8" s="1"/>
  <c r="E1872" i="8"/>
  <c r="C1873" i="8"/>
  <c r="D1873" i="8" s="1"/>
  <c r="E1873" i="8"/>
  <c r="C1874" i="8"/>
  <c r="D1874" i="8" s="1"/>
  <c r="E1874" i="8"/>
  <c r="C1875" i="8"/>
  <c r="D1875" i="8" s="1"/>
  <c r="E1875" i="8"/>
  <c r="C1876" i="8"/>
  <c r="D1876" i="8" s="1"/>
  <c r="E1876" i="8"/>
  <c r="C1877" i="8"/>
  <c r="D1877" i="8" s="1"/>
  <c r="E1877" i="8"/>
  <c r="C1878" i="8"/>
  <c r="D1878" i="8" s="1"/>
  <c r="E1878" i="8"/>
  <c r="C1879" i="8"/>
  <c r="D1879" i="8" s="1"/>
  <c r="E1879" i="8"/>
  <c r="C1880" i="8"/>
  <c r="D1880" i="8" s="1"/>
  <c r="E1880" i="8"/>
  <c r="C1881" i="8"/>
  <c r="D1881" i="8" s="1"/>
  <c r="E1881" i="8"/>
  <c r="C1882" i="8"/>
  <c r="D1882" i="8" s="1"/>
  <c r="E1882" i="8"/>
  <c r="C1883" i="8"/>
  <c r="D1883" i="8" s="1"/>
  <c r="E1883" i="8"/>
  <c r="C1884" i="8"/>
  <c r="D1884" i="8" s="1"/>
  <c r="E1884" i="8"/>
  <c r="C1885" i="8"/>
  <c r="D1885" i="8" s="1"/>
  <c r="E1885" i="8"/>
  <c r="C1886" i="8"/>
  <c r="D1886" i="8" s="1"/>
  <c r="E1886" i="8"/>
  <c r="C1887" i="8"/>
  <c r="D1887" i="8" s="1"/>
  <c r="E1887" i="8"/>
  <c r="C1888" i="8"/>
  <c r="D1888" i="8" s="1"/>
  <c r="E1888" i="8"/>
  <c r="C1889" i="8"/>
  <c r="D1889" i="8" s="1"/>
  <c r="E1889" i="8"/>
  <c r="C1890" i="8"/>
  <c r="D1890" i="8" s="1"/>
  <c r="E1890" i="8"/>
  <c r="C1891" i="8"/>
  <c r="D1891" i="8" s="1"/>
  <c r="E1891" i="8"/>
  <c r="C1892" i="8"/>
  <c r="D1892" i="8" s="1"/>
  <c r="E1892" i="8"/>
  <c r="C1893" i="8"/>
  <c r="D1893" i="8" s="1"/>
  <c r="E1893" i="8"/>
  <c r="C1894" i="8"/>
  <c r="D1894" i="8" s="1"/>
  <c r="E1894" i="8"/>
  <c r="C1895" i="8"/>
  <c r="D1895" i="8" s="1"/>
  <c r="E1895" i="8"/>
  <c r="C1896" i="8"/>
  <c r="D1896" i="8" s="1"/>
  <c r="E1896" i="8"/>
  <c r="C1897" i="8"/>
  <c r="D1897" i="8" s="1"/>
  <c r="E1897" i="8"/>
  <c r="C1898" i="8"/>
  <c r="D1898" i="8" s="1"/>
  <c r="E1898" i="8"/>
  <c r="C1899" i="8"/>
  <c r="D1899" i="8" s="1"/>
  <c r="E1899" i="8"/>
  <c r="C1900" i="8"/>
  <c r="D1900" i="8" s="1"/>
  <c r="E1900" i="8"/>
  <c r="C1901" i="8"/>
  <c r="D1901" i="8" s="1"/>
  <c r="E1901" i="8"/>
  <c r="C1902" i="8"/>
  <c r="D1902" i="8" s="1"/>
  <c r="E1902" i="8"/>
  <c r="C1903" i="8"/>
  <c r="D1903" i="8" s="1"/>
  <c r="E1903" i="8"/>
  <c r="C1904" i="8"/>
  <c r="D1904" i="8" s="1"/>
  <c r="E1904" i="8"/>
  <c r="C1905" i="8"/>
  <c r="D1905" i="8" s="1"/>
  <c r="E1905" i="8"/>
  <c r="C1906" i="8"/>
  <c r="D1906" i="8" s="1"/>
  <c r="E1906" i="8"/>
  <c r="C1907" i="8"/>
  <c r="D1907" i="8" s="1"/>
  <c r="E1907" i="8"/>
  <c r="C1908" i="8"/>
  <c r="D1908" i="8" s="1"/>
  <c r="E1908" i="8"/>
  <c r="C1909" i="8"/>
  <c r="D1909" i="8" s="1"/>
  <c r="E1909" i="8"/>
  <c r="C1910" i="8"/>
  <c r="D1910" i="8" s="1"/>
  <c r="E1910" i="8"/>
  <c r="C1911" i="8"/>
  <c r="D1911" i="8" s="1"/>
  <c r="E1911" i="8"/>
  <c r="C1912" i="8"/>
  <c r="D1912" i="8" s="1"/>
  <c r="E1912" i="8"/>
  <c r="C1913" i="8"/>
  <c r="D1913" i="8" s="1"/>
  <c r="E1913" i="8"/>
  <c r="C1914" i="8"/>
  <c r="D1914" i="8" s="1"/>
  <c r="E1914" i="8"/>
  <c r="C1915" i="8"/>
  <c r="D1915" i="8" s="1"/>
  <c r="E1915" i="8"/>
  <c r="C1916" i="8"/>
  <c r="D1916" i="8" s="1"/>
  <c r="E1916" i="8"/>
  <c r="C1917" i="8"/>
  <c r="D1917" i="8" s="1"/>
  <c r="E1917" i="8"/>
  <c r="C1918" i="8"/>
  <c r="D1918" i="8" s="1"/>
  <c r="E1918" i="8"/>
  <c r="C1919" i="8"/>
  <c r="D1919" i="8" s="1"/>
  <c r="E1919" i="8"/>
  <c r="C1920" i="8"/>
  <c r="D1920" i="8" s="1"/>
  <c r="E1920" i="8"/>
  <c r="C1921" i="8"/>
  <c r="D1921" i="8" s="1"/>
  <c r="E1921" i="8"/>
  <c r="C1922" i="8"/>
  <c r="D1922" i="8" s="1"/>
  <c r="E1922" i="8"/>
  <c r="C1923" i="8"/>
  <c r="D1923" i="8" s="1"/>
  <c r="E1923" i="8"/>
  <c r="C1924" i="8"/>
  <c r="D1924" i="8" s="1"/>
  <c r="E1924" i="8"/>
  <c r="C1925" i="8"/>
  <c r="D1925" i="8" s="1"/>
  <c r="E1925" i="8"/>
  <c r="C1926" i="8"/>
  <c r="D1926" i="8" s="1"/>
  <c r="E1926" i="8"/>
  <c r="C1927" i="8"/>
  <c r="D1927" i="8" s="1"/>
  <c r="E1927" i="8"/>
  <c r="C1928" i="8"/>
  <c r="D1928" i="8" s="1"/>
  <c r="E1928" i="8"/>
  <c r="C1929" i="8"/>
  <c r="D1929" i="8" s="1"/>
  <c r="E1929" i="8"/>
  <c r="C1930" i="8"/>
  <c r="D1930" i="8" s="1"/>
  <c r="E1930" i="8"/>
  <c r="C1931" i="8"/>
  <c r="D1931" i="8" s="1"/>
  <c r="E1931" i="8"/>
  <c r="C1932" i="8"/>
  <c r="D1932" i="8" s="1"/>
  <c r="E1932" i="8"/>
  <c r="C1933" i="8"/>
  <c r="D1933" i="8" s="1"/>
  <c r="E1933" i="8"/>
  <c r="C1934" i="8"/>
  <c r="D1934" i="8" s="1"/>
  <c r="E1934" i="8"/>
  <c r="C1935" i="8"/>
  <c r="D1935" i="8" s="1"/>
  <c r="E1935" i="8"/>
  <c r="C1936" i="8"/>
  <c r="D1936" i="8" s="1"/>
  <c r="E1936" i="8"/>
  <c r="C1937" i="8"/>
  <c r="D1937" i="8" s="1"/>
  <c r="E1937" i="8"/>
  <c r="C1938" i="8"/>
  <c r="D1938" i="8" s="1"/>
  <c r="E1938" i="8"/>
  <c r="C1939" i="8"/>
  <c r="D1939" i="8" s="1"/>
  <c r="E1939" i="8"/>
  <c r="C1940" i="8"/>
  <c r="D1940" i="8" s="1"/>
  <c r="E1940" i="8"/>
  <c r="C1941" i="8"/>
  <c r="D1941" i="8" s="1"/>
  <c r="E1941" i="8"/>
  <c r="C1942" i="8"/>
  <c r="D1942" i="8" s="1"/>
  <c r="E1942" i="8"/>
  <c r="C1943" i="8"/>
  <c r="D1943" i="8" s="1"/>
  <c r="E1943" i="8"/>
  <c r="C1944" i="8"/>
  <c r="D1944" i="8" s="1"/>
  <c r="E1944" i="8"/>
  <c r="C1945" i="8"/>
  <c r="D1945" i="8" s="1"/>
  <c r="E1945" i="8"/>
  <c r="C1946" i="8"/>
  <c r="D1946" i="8" s="1"/>
  <c r="E1946" i="8"/>
  <c r="C1947" i="8"/>
  <c r="D1947" i="8" s="1"/>
  <c r="E1947" i="8"/>
  <c r="C1948" i="8"/>
  <c r="D1948" i="8" s="1"/>
  <c r="E1948" i="8"/>
  <c r="C1949" i="8"/>
  <c r="D1949" i="8" s="1"/>
  <c r="E1949" i="8"/>
  <c r="C1950" i="8"/>
  <c r="D1950" i="8" s="1"/>
  <c r="E1950" i="8"/>
  <c r="C1951" i="8"/>
  <c r="D1951" i="8" s="1"/>
  <c r="E1951" i="8"/>
  <c r="C1952" i="8"/>
  <c r="D1952" i="8" s="1"/>
  <c r="E1952" i="8"/>
  <c r="C1953" i="8"/>
  <c r="D1953" i="8" s="1"/>
  <c r="E1953" i="8"/>
  <c r="C1954" i="8"/>
  <c r="D1954" i="8" s="1"/>
  <c r="E1954" i="8"/>
  <c r="C1955" i="8"/>
  <c r="D1955" i="8" s="1"/>
  <c r="E1955" i="8"/>
  <c r="C1956" i="8"/>
  <c r="D1956" i="8" s="1"/>
  <c r="E1956" i="8"/>
  <c r="C1957" i="8"/>
  <c r="D1957" i="8" s="1"/>
  <c r="E1957" i="8"/>
  <c r="C1958" i="8"/>
  <c r="D1958" i="8" s="1"/>
  <c r="E1958" i="8"/>
  <c r="C1959" i="8"/>
  <c r="D1959" i="8" s="1"/>
  <c r="E1959" i="8"/>
  <c r="C1960" i="8"/>
  <c r="D1960" i="8" s="1"/>
  <c r="E1960" i="8"/>
  <c r="C1961" i="8"/>
  <c r="D1961" i="8" s="1"/>
  <c r="E1961" i="8"/>
  <c r="C1962" i="8"/>
  <c r="D1962" i="8" s="1"/>
  <c r="E1962" i="8"/>
  <c r="C1963" i="8"/>
  <c r="D1963" i="8" s="1"/>
  <c r="E1963" i="8"/>
  <c r="C1964" i="8"/>
  <c r="D1964" i="8" s="1"/>
  <c r="E1964" i="8"/>
  <c r="C1965" i="8"/>
  <c r="D1965" i="8" s="1"/>
  <c r="E1965" i="8"/>
  <c r="C1966" i="8"/>
  <c r="D1966" i="8" s="1"/>
  <c r="E1966" i="8"/>
  <c r="C1967" i="8"/>
  <c r="D1967" i="8" s="1"/>
  <c r="E1967" i="8"/>
  <c r="C1968" i="8"/>
  <c r="D1968" i="8" s="1"/>
  <c r="E1968" i="8"/>
  <c r="C1969" i="8"/>
  <c r="D1969" i="8" s="1"/>
  <c r="E1969" i="8"/>
  <c r="C1970" i="8"/>
  <c r="D1970" i="8" s="1"/>
  <c r="E1970" i="8"/>
  <c r="C1971" i="8"/>
  <c r="D1971" i="8" s="1"/>
  <c r="E1971" i="8"/>
  <c r="C1972" i="8"/>
  <c r="D1972" i="8" s="1"/>
  <c r="E1972" i="8"/>
  <c r="C1973" i="8"/>
  <c r="D1973" i="8" s="1"/>
  <c r="E1973" i="8"/>
  <c r="C1974" i="8"/>
  <c r="D1974" i="8" s="1"/>
  <c r="E1974" i="8"/>
  <c r="C1975" i="8"/>
  <c r="D1975" i="8" s="1"/>
  <c r="E1975" i="8"/>
  <c r="C1976" i="8"/>
  <c r="D1976" i="8" s="1"/>
  <c r="E1976" i="8"/>
  <c r="C1977" i="8"/>
  <c r="D1977" i="8" s="1"/>
  <c r="E1977" i="8"/>
  <c r="C1978" i="8"/>
  <c r="D1978" i="8" s="1"/>
  <c r="E1978" i="8"/>
  <c r="C1979" i="8"/>
  <c r="D1979" i="8" s="1"/>
  <c r="E1979" i="8"/>
  <c r="C1980" i="8"/>
  <c r="D1980" i="8" s="1"/>
  <c r="E1980" i="8"/>
  <c r="C1981" i="8"/>
  <c r="D1981" i="8" s="1"/>
  <c r="E1981" i="8"/>
  <c r="C1982" i="8"/>
  <c r="D1982" i="8" s="1"/>
  <c r="E1982" i="8"/>
  <c r="C1983" i="8"/>
  <c r="D1983" i="8" s="1"/>
  <c r="E1983" i="8"/>
  <c r="C1984" i="8"/>
  <c r="D1984" i="8" s="1"/>
  <c r="E1984" i="8"/>
  <c r="C1985" i="8"/>
  <c r="D1985" i="8" s="1"/>
  <c r="E1985" i="8"/>
  <c r="C1986" i="8"/>
  <c r="D1986" i="8" s="1"/>
  <c r="E1986" i="8"/>
  <c r="C1987" i="8"/>
  <c r="D1987" i="8" s="1"/>
  <c r="E1987" i="8"/>
  <c r="C1988" i="8"/>
  <c r="D1988" i="8" s="1"/>
  <c r="E1988" i="8"/>
  <c r="C1989" i="8"/>
  <c r="D1989" i="8" s="1"/>
  <c r="E1989" i="8"/>
  <c r="C1990" i="8"/>
  <c r="D1990" i="8" s="1"/>
  <c r="E1990" i="8"/>
  <c r="C1991" i="8"/>
  <c r="D1991" i="8" s="1"/>
  <c r="E1991" i="8"/>
  <c r="C1992" i="8"/>
  <c r="D1992" i="8" s="1"/>
  <c r="E1992" i="8"/>
  <c r="C1993" i="8"/>
  <c r="D1993" i="8" s="1"/>
  <c r="E1993" i="8"/>
  <c r="C1994" i="8"/>
  <c r="D1994" i="8" s="1"/>
  <c r="E1994" i="8"/>
  <c r="C1995" i="8"/>
  <c r="D1995" i="8" s="1"/>
  <c r="E1995" i="8"/>
  <c r="C1996" i="8"/>
  <c r="D1996" i="8" s="1"/>
  <c r="E1996" i="8"/>
  <c r="C1997" i="8"/>
  <c r="D1997" i="8" s="1"/>
  <c r="E1997" i="8"/>
  <c r="C1998" i="8"/>
  <c r="D1998" i="8" s="1"/>
  <c r="E1998" i="8"/>
  <c r="C1999" i="8"/>
  <c r="D1999" i="8" s="1"/>
  <c r="E1999" i="8"/>
  <c r="C2000" i="8"/>
  <c r="D2000" i="8" s="1"/>
  <c r="E2000" i="8"/>
  <c r="C2001" i="8"/>
  <c r="D2001" i="8" s="1"/>
  <c r="E2001" i="8"/>
  <c r="C2002" i="8"/>
  <c r="D2002" i="8" s="1"/>
  <c r="E2002" i="8"/>
  <c r="C2003" i="8"/>
  <c r="D2003" i="8" s="1"/>
  <c r="E2003" i="8"/>
  <c r="C2004" i="8"/>
  <c r="D2004" i="8" s="1"/>
  <c r="E2004" i="8"/>
  <c r="C2005" i="8"/>
  <c r="D2005" i="8" s="1"/>
  <c r="E2005" i="8"/>
  <c r="C2006" i="8"/>
  <c r="D2006" i="8" s="1"/>
  <c r="E2006" i="8"/>
  <c r="C2007" i="8"/>
  <c r="D2007" i="8" s="1"/>
  <c r="E2007" i="8"/>
  <c r="C2008" i="8"/>
  <c r="D2008" i="8" s="1"/>
  <c r="E2008" i="8"/>
  <c r="C2009" i="8"/>
  <c r="D2009" i="8" s="1"/>
  <c r="E2009" i="8"/>
  <c r="C2010" i="8"/>
  <c r="D2010" i="8" s="1"/>
  <c r="E2010" i="8"/>
  <c r="C2011" i="8"/>
  <c r="D2011" i="8" s="1"/>
  <c r="E2011" i="8"/>
  <c r="C2012" i="8"/>
  <c r="D2012" i="8" s="1"/>
  <c r="E2012" i="8"/>
  <c r="C2013" i="8"/>
  <c r="D2013" i="8" s="1"/>
  <c r="E2013" i="8"/>
  <c r="C2014" i="8"/>
  <c r="D2014" i="8" s="1"/>
  <c r="E2014" i="8"/>
  <c r="C2015" i="8"/>
  <c r="D2015" i="8" s="1"/>
  <c r="E2015" i="8"/>
  <c r="C2016" i="8"/>
  <c r="D2016" i="8" s="1"/>
  <c r="E2016" i="8"/>
  <c r="C2017" i="8"/>
  <c r="D2017" i="8" s="1"/>
  <c r="E2017" i="8"/>
  <c r="C2018" i="8"/>
  <c r="D2018" i="8" s="1"/>
  <c r="E2018" i="8"/>
  <c r="C2019" i="8"/>
  <c r="D2019" i="8" s="1"/>
  <c r="E2019" i="8"/>
  <c r="C2020" i="8"/>
  <c r="D2020" i="8" s="1"/>
  <c r="E2020" i="8"/>
  <c r="C2021" i="8"/>
  <c r="D2021" i="8" s="1"/>
  <c r="E2021" i="8"/>
  <c r="C2022" i="8"/>
  <c r="D2022" i="8" s="1"/>
  <c r="E2022" i="8"/>
  <c r="C2023" i="8"/>
  <c r="D2023" i="8" s="1"/>
  <c r="E2023" i="8"/>
  <c r="C2024" i="8"/>
  <c r="D2024" i="8" s="1"/>
  <c r="E2024" i="8"/>
  <c r="C2025" i="8"/>
  <c r="D2025" i="8" s="1"/>
  <c r="E2025" i="8"/>
  <c r="C2026" i="8"/>
  <c r="D2026" i="8" s="1"/>
  <c r="E2026" i="8"/>
  <c r="C2027" i="8"/>
  <c r="D2027" i="8" s="1"/>
  <c r="E2027" i="8"/>
  <c r="C2028" i="8"/>
  <c r="D2028" i="8" s="1"/>
  <c r="E2028" i="8"/>
  <c r="C2029" i="8"/>
  <c r="D2029" i="8" s="1"/>
  <c r="E2029" i="8"/>
  <c r="C2030" i="8"/>
  <c r="D2030" i="8" s="1"/>
  <c r="E2030" i="8"/>
  <c r="C2031" i="8"/>
  <c r="D2031" i="8" s="1"/>
  <c r="E2031" i="8"/>
  <c r="C2032" i="8"/>
  <c r="D2032" i="8" s="1"/>
  <c r="E2032" i="8"/>
  <c r="C2033" i="8"/>
  <c r="D2033" i="8" s="1"/>
  <c r="E2033" i="8"/>
  <c r="C2034" i="8"/>
  <c r="D2034" i="8" s="1"/>
  <c r="E2034" i="8"/>
  <c r="C2035" i="8"/>
  <c r="D2035" i="8" s="1"/>
  <c r="E2035" i="8"/>
  <c r="C2036" i="8"/>
  <c r="D2036" i="8" s="1"/>
  <c r="E2036" i="8"/>
  <c r="C2037" i="8"/>
  <c r="D2037" i="8" s="1"/>
  <c r="E2037" i="8"/>
  <c r="C2038" i="8"/>
  <c r="D2038" i="8" s="1"/>
  <c r="E2038" i="8"/>
  <c r="C2039" i="8"/>
  <c r="D2039" i="8" s="1"/>
  <c r="E2039" i="8"/>
  <c r="C2040" i="8"/>
  <c r="D2040" i="8" s="1"/>
  <c r="E2040" i="8"/>
  <c r="C2041" i="8"/>
  <c r="D2041" i="8" s="1"/>
  <c r="E2041" i="8"/>
  <c r="C2042" i="8"/>
  <c r="D2042" i="8" s="1"/>
  <c r="E2042" i="8"/>
  <c r="C2043" i="8"/>
  <c r="D2043" i="8" s="1"/>
  <c r="E2043" i="8"/>
  <c r="C2044" i="8"/>
  <c r="D2044" i="8" s="1"/>
  <c r="E2044" i="8"/>
  <c r="C2045" i="8"/>
  <c r="D2045" i="8" s="1"/>
  <c r="E2045" i="8"/>
  <c r="C2046" i="8"/>
  <c r="D2046" i="8" s="1"/>
  <c r="E2046" i="8"/>
  <c r="C2047" i="8"/>
  <c r="D2047" i="8" s="1"/>
  <c r="E2047" i="8"/>
  <c r="C2048" i="8"/>
  <c r="D2048" i="8" s="1"/>
  <c r="E2048" i="8"/>
  <c r="C2049" i="8"/>
  <c r="D2049" i="8" s="1"/>
  <c r="E2049" i="8"/>
  <c r="C2050" i="8"/>
  <c r="D2050" i="8" s="1"/>
  <c r="E2050" i="8"/>
  <c r="C2051" i="8"/>
  <c r="D2051" i="8" s="1"/>
  <c r="E2051" i="8"/>
  <c r="C2052" i="8"/>
  <c r="D2052" i="8" s="1"/>
  <c r="E2052" i="8"/>
  <c r="C2053" i="8"/>
  <c r="D2053" i="8" s="1"/>
  <c r="E2053" i="8"/>
  <c r="C2054" i="8"/>
  <c r="D2054" i="8" s="1"/>
  <c r="E2054" i="8"/>
  <c r="C2055" i="8"/>
  <c r="D2055" i="8" s="1"/>
  <c r="E2055" i="8"/>
  <c r="C2056" i="8"/>
  <c r="D2056" i="8" s="1"/>
  <c r="E2056" i="8"/>
  <c r="C2057" i="8"/>
  <c r="D2057" i="8" s="1"/>
  <c r="E2057" i="8"/>
  <c r="C2058" i="8"/>
  <c r="D2058" i="8" s="1"/>
  <c r="E2058" i="8"/>
  <c r="C2059" i="8"/>
  <c r="D2059" i="8" s="1"/>
  <c r="E2059" i="8"/>
  <c r="C2060" i="8"/>
  <c r="D2060" i="8" s="1"/>
  <c r="E2060" i="8"/>
  <c r="C2061" i="8"/>
  <c r="D2061" i="8" s="1"/>
  <c r="E2061" i="8"/>
  <c r="C2062" i="8"/>
  <c r="D2062" i="8" s="1"/>
  <c r="E2062" i="8"/>
  <c r="C2063" i="8"/>
  <c r="D2063" i="8" s="1"/>
  <c r="E2063" i="8"/>
  <c r="C2064" i="8"/>
  <c r="D2064" i="8" s="1"/>
  <c r="E2064" i="8"/>
  <c r="C2065" i="8"/>
  <c r="D2065" i="8" s="1"/>
  <c r="E2065" i="8"/>
  <c r="C2066" i="8"/>
  <c r="D2066" i="8" s="1"/>
  <c r="E2066" i="8"/>
  <c r="C2067" i="8"/>
  <c r="D2067" i="8" s="1"/>
  <c r="E2067" i="8"/>
  <c r="C2068" i="8"/>
  <c r="D2068" i="8" s="1"/>
  <c r="E2068" i="8"/>
  <c r="C2069" i="8"/>
  <c r="D2069" i="8" s="1"/>
  <c r="E2069" i="8"/>
  <c r="C2070" i="8"/>
  <c r="D2070" i="8" s="1"/>
  <c r="E2070" i="8"/>
  <c r="C2071" i="8"/>
  <c r="D2071" i="8" s="1"/>
  <c r="E2071" i="8"/>
  <c r="C2072" i="8"/>
  <c r="D2072" i="8" s="1"/>
  <c r="E2072" i="8"/>
  <c r="C2073" i="8"/>
  <c r="D2073" i="8" s="1"/>
  <c r="E2073" i="8"/>
  <c r="C2074" i="8"/>
  <c r="D2074" i="8" s="1"/>
  <c r="E2074" i="8"/>
  <c r="C2075" i="8"/>
  <c r="D2075" i="8" s="1"/>
  <c r="E2075" i="8"/>
  <c r="C2076" i="8"/>
  <c r="D2076" i="8" s="1"/>
  <c r="E2076" i="8"/>
  <c r="C2077" i="8"/>
  <c r="D2077" i="8" s="1"/>
  <c r="E2077" i="8"/>
  <c r="C2078" i="8"/>
  <c r="D2078" i="8" s="1"/>
  <c r="E2078" i="8"/>
  <c r="C2079" i="8"/>
  <c r="D2079" i="8" s="1"/>
  <c r="E2079" i="8"/>
  <c r="C2080" i="8"/>
  <c r="D2080" i="8" s="1"/>
  <c r="E2080" i="8"/>
  <c r="C2081" i="8"/>
  <c r="D2081" i="8" s="1"/>
  <c r="E2081" i="8"/>
  <c r="C2082" i="8"/>
  <c r="D2082" i="8" s="1"/>
  <c r="E2082" i="8"/>
  <c r="C2083" i="8"/>
  <c r="D2083" i="8" s="1"/>
  <c r="E2083" i="8"/>
  <c r="C2084" i="8"/>
  <c r="D2084" i="8" s="1"/>
  <c r="E2084" i="8"/>
  <c r="C2085" i="8"/>
  <c r="D2085" i="8" s="1"/>
  <c r="E2085" i="8"/>
  <c r="C2086" i="8"/>
  <c r="D2086" i="8" s="1"/>
  <c r="E2086" i="8"/>
  <c r="C2087" i="8"/>
  <c r="D2087" i="8" s="1"/>
  <c r="E2087" i="8"/>
  <c r="C2088" i="8"/>
  <c r="D2088" i="8" s="1"/>
  <c r="E2088" i="8"/>
  <c r="C2089" i="8"/>
  <c r="D2089" i="8" s="1"/>
  <c r="E2089" i="8"/>
  <c r="C2090" i="8"/>
  <c r="D2090" i="8" s="1"/>
  <c r="E2090" i="8"/>
  <c r="C2091" i="8"/>
  <c r="D2091" i="8" s="1"/>
  <c r="E2091" i="8"/>
  <c r="C2092" i="8"/>
  <c r="D2092" i="8" s="1"/>
  <c r="E2092" i="8"/>
  <c r="C2093" i="8"/>
  <c r="D2093" i="8" s="1"/>
  <c r="E2093" i="8"/>
  <c r="C2094" i="8"/>
  <c r="D2094" i="8" s="1"/>
  <c r="E2094" i="8"/>
  <c r="C2095" i="8"/>
  <c r="D2095" i="8" s="1"/>
  <c r="E2095" i="8"/>
  <c r="C2096" i="8"/>
  <c r="D2096" i="8" s="1"/>
  <c r="E2096" i="8"/>
  <c r="C2097" i="8"/>
  <c r="D2097" i="8" s="1"/>
  <c r="E2097" i="8"/>
  <c r="C2098" i="8"/>
  <c r="D2098" i="8" s="1"/>
  <c r="E2098" i="8"/>
  <c r="C2099" i="8"/>
  <c r="D2099" i="8" s="1"/>
  <c r="E2099" i="8"/>
  <c r="C2100" i="8"/>
  <c r="D2100" i="8" s="1"/>
  <c r="E2100" i="8"/>
  <c r="C2101" i="8"/>
  <c r="D2101" i="8" s="1"/>
  <c r="E2101" i="8"/>
  <c r="C2102" i="8"/>
  <c r="D2102" i="8" s="1"/>
  <c r="E2102" i="8"/>
  <c r="C2103" i="8"/>
  <c r="D2103" i="8" s="1"/>
  <c r="E2103" i="8"/>
  <c r="C2104" i="8"/>
  <c r="D2104" i="8" s="1"/>
  <c r="E2104" i="8"/>
  <c r="C2105" i="8"/>
  <c r="D2105" i="8" s="1"/>
  <c r="E2105" i="8"/>
  <c r="C2106" i="8"/>
  <c r="D2106" i="8" s="1"/>
  <c r="E2106" i="8"/>
  <c r="C2107" i="8"/>
  <c r="D2107" i="8" s="1"/>
  <c r="E2107" i="8"/>
  <c r="C2108" i="8"/>
  <c r="D2108" i="8" s="1"/>
  <c r="E2108" i="8"/>
  <c r="C2109" i="8"/>
  <c r="D2109" i="8" s="1"/>
  <c r="E2109" i="8"/>
  <c r="C2110" i="8"/>
  <c r="D2110" i="8" s="1"/>
  <c r="E2110" i="8"/>
  <c r="C2111" i="8"/>
  <c r="D2111" i="8" s="1"/>
  <c r="E2111" i="8"/>
  <c r="C2112" i="8"/>
  <c r="D2112" i="8" s="1"/>
  <c r="E2112" i="8"/>
  <c r="C2113" i="8"/>
  <c r="D2113" i="8" s="1"/>
  <c r="E2113" i="8"/>
  <c r="C2114" i="8"/>
  <c r="D2114" i="8" s="1"/>
  <c r="E2114" i="8"/>
  <c r="C2115" i="8"/>
  <c r="D2115" i="8" s="1"/>
  <c r="E2115" i="8"/>
  <c r="C2116" i="8"/>
  <c r="D2116" i="8" s="1"/>
  <c r="E2116" i="8"/>
  <c r="E16" i="8"/>
  <c r="C16" i="8"/>
  <c r="D16" i="8" s="1"/>
  <c r="B14" i="1"/>
  <c r="B15" i="1" s="1"/>
  <c r="H33" i="7"/>
  <c r="H34" i="7" s="1"/>
  <c r="C32" i="7"/>
  <c r="N31" i="7"/>
  <c r="M31" i="7"/>
  <c r="L31" i="7"/>
  <c r="K31" i="7"/>
  <c r="J31" i="7"/>
  <c r="I31" i="7"/>
  <c r="H31" i="7"/>
  <c r="H32" i="7" s="1"/>
  <c r="D36" i="7" s="1"/>
  <c r="D37" i="7" s="1"/>
  <c r="D38" i="7" s="1"/>
  <c r="N14" i="7"/>
  <c r="M14" i="7"/>
  <c r="L14" i="7"/>
  <c r="K14" i="7"/>
  <c r="J14" i="7"/>
  <c r="I14" i="7"/>
  <c r="H14" i="7"/>
  <c r="G14" i="7"/>
  <c r="N24" i="7"/>
  <c r="M24" i="7"/>
  <c r="L24" i="7"/>
  <c r="K24" i="7"/>
  <c r="J24" i="7"/>
  <c r="I24" i="7"/>
  <c r="H24" i="7"/>
  <c r="N13" i="7"/>
  <c r="M13" i="7"/>
  <c r="L13" i="7"/>
  <c r="K13" i="7"/>
  <c r="J13" i="7"/>
  <c r="I13" i="7"/>
  <c r="H13" i="7"/>
  <c r="G24" i="7"/>
  <c r="F24" i="7"/>
  <c r="E24" i="7"/>
  <c r="D24" i="7"/>
  <c r="C24" i="7"/>
  <c r="N23" i="7"/>
  <c r="M23" i="7"/>
  <c r="L23" i="7"/>
  <c r="K23" i="7"/>
  <c r="J23" i="7"/>
  <c r="I23" i="7"/>
  <c r="H23" i="7"/>
  <c r="N12" i="7"/>
  <c r="M12" i="7"/>
  <c r="L12" i="7"/>
  <c r="K12" i="7"/>
  <c r="J12" i="7"/>
  <c r="I12" i="7"/>
  <c r="H12" i="7"/>
  <c r="N11" i="7"/>
  <c r="M11" i="7"/>
  <c r="L11" i="7"/>
  <c r="K11" i="7"/>
  <c r="J11" i="7"/>
  <c r="I11" i="7"/>
  <c r="H11" i="7"/>
  <c r="G23" i="7"/>
  <c r="F23" i="7"/>
  <c r="E23" i="7"/>
  <c r="D23" i="7"/>
  <c r="C23" i="7"/>
  <c r="J22" i="7"/>
  <c r="K22" i="7" s="1"/>
  <c r="L22" i="7" s="1"/>
  <c r="M22" i="7" s="1"/>
  <c r="N22" i="7" s="1"/>
  <c r="I22" i="7"/>
  <c r="H22" i="7"/>
  <c r="G22" i="7"/>
  <c r="F22" i="7"/>
  <c r="E22" i="7"/>
  <c r="D22" i="7"/>
  <c r="C22" i="7"/>
  <c r="N10" i="7"/>
  <c r="M10" i="7"/>
  <c r="L10" i="7"/>
  <c r="K10" i="7"/>
  <c r="J10" i="7"/>
  <c r="I10" i="7"/>
  <c r="H10" i="7"/>
  <c r="G10" i="7"/>
  <c r="N8" i="7"/>
  <c r="M8" i="7"/>
  <c r="L8" i="7"/>
  <c r="K8" i="7"/>
  <c r="J8" i="7"/>
  <c r="I8" i="7"/>
  <c r="H8" i="7"/>
  <c r="N9" i="7"/>
  <c r="M9" i="7"/>
  <c r="L9" i="7"/>
  <c r="K9" i="7"/>
  <c r="J9" i="7"/>
  <c r="I9" i="7"/>
  <c r="H9" i="7"/>
  <c r="I21" i="7"/>
  <c r="J21" i="7" s="1"/>
  <c r="K21" i="7" s="1"/>
  <c r="L21" i="7" s="1"/>
  <c r="M21" i="7" s="1"/>
  <c r="N21" i="7" s="1"/>
  <c r="H21" i="7"/>
  <c r="G21" i="7"/>
  <c r="F21" i="7"/>
  <c r="E21" i="7"/>
  <c r="D21" i="7"/>
  <c r="C21" i="7"/>
  <c r="I7" i="7"/>
  <c r="J7" i="7" s="1"/>
  <c r="K7" i="7" s="1"/>
  <c r="L7" i="7" s="1"/>
  <c r="M7" i="7" s="1"/>
  <c r="N7" i="7" s="1"/>
  <c r="H7" i="7"/>
  <c r="H19" i="7"/>
  <c r="I19" i="7" s="1"/>
  <c r="J19" i="7" s="1"/>
  <c r="K19" i="7" s="1"/>
  <c r="L19" i="7" s="1"/>
  <c r="M19" i="7" s="1"/>
  <c r="N19" i="7" s="1"/>
  <c r="C20" i="7"/>
  <c r="D26" i="7" s="1"/>
  <c r="G20" i="7"/>
  <c r="F20" i="7"/>
  <c r="E20" i="7"/>
  <c r="D20" i="7"/>
  <c r="F14" i="7"/>
  <c r="F10" i="7"/>
  <c r="E10" i="7"/>
  <c r="E14" i="7" s="1"/>
  <c r="D10" i="7"/>
  <c r="D14" i="7" s="1"/>
  <c r="C10" i="7"/>
  <c r="C14" i="7" s="1"/>
  <c r="G9" i="7"/>
  <c r="F9" i="7"/>
  <c r="E9" i="7"/>
  <c r="D9" i="7"/>
  <c r="C9" i="7"/>
  <c r="J13" i="6"/>
  <c r="J15" i="6" s="1"/>
  <c r="K8" i="6"/>
  <c r="C33" i="6"/>
  <c r="D15" i="6"/>
  <c r="F28" i="6"/>
  <c r="D28" i="6"/>
  <c r="G25" i="6"/>
  <c r="G28" i="6" s="1"/>
  <c r="F25" i="6"/>
  <c r="E25" i="6"/>
  <c r="D27" i="6"/>
  <c r="D25" i="6"/>
  <c r="F32" i="6"/>
  <c r="C32" i="6"/>
  <c r="E28" i="6"/>
  <c r="G27" i="6"/>
  <c r="F27" i="6"/>
  <c r="E27" i="6"/>
  <c r="G22" i="6"/>
  <c r="F22" i="6"/>
  <c r="E22" i="6"/>
  <c r="D22" i="6"/>
  <c r="C22" i="6"/>
  <c r="G21" i="6"/>
  <c r="F21" i="6"/>
  <c r="E21" i="6"/>
  <c r="D21" i="6"/>
  <c r="C21" i="6"/>
  <c r="G38" i="7" l="1"/>
  <c r="D41" i="7"/>
  <c r="F1536" i="8"/>
  <c r="G1536" i="8" s="1"/>
  <c r="H1536" i="8" s="1"/>
  <c r="F1530" i="8"/>
  <c r="F1524" i="8"/>
  <c r="G1524" i="8" s="1"/>
  <c r="H1524" i="8" s="1"/>
  <c r="F1483" i="8"/>
  <c r="G1483" i="8" s="1"/>
  <c r="H1483" i="8" s="1"/>
  <c r="F170" i="8"/>
  <c r="G170" i="8" s="1"/>
  <c r="H170" i="8" s="1"/>
  <c r="F1583" i="8"/>
  <c r="G1583" i="8" s="1"/>
  <c r="H1583" i="8" s="1"/>
  <c r="F1942" i="8"/>
  <c r="F205" i="8"/>
  <c r="G205" i="8" s="1"/>
  <c r="H205" i="8" s="1"/>
  <c r="F480" i="8"/>
  <c r="G480" i="8" s="1"/>
  <c r="H480" i="8" s="1"/>
  <c r="F1127" i="8"/>
  <c r="G1127" i="8" s="1"/>
  <c r="H1127" i="8" s="1"/>
  <c r="F1055" i="8"/>
  <c r="G1055" i="8" s="1"/>
  <c r="H1055" i="8" s="1"/>
  <c r="F2064" i="8"/>
  <c r="G2064" i="8" s="1"/>
  <c r="H2064" i="8" s="1"/>
  <c r="F309" i="8"/>
  <c r="G309" i="8" s="1"/>
  <c r="H309" i="8" s="1"/>
  <c r="F424" i="8"/>
  <c r="G424" i="8" s="1"/>
  <c r="H424" i="8" s="1"/>
  <c r="F1197" i="8"/>
  <c r="G1197" i="8" s="1"/>
  <c r="H1197" i="8" s="1"/>
  <c r="F1041" i="8"/>
  <c r="G1041" i="8" s="1"/>
  <c r="H1041" i="8" s="1"/>
  <c r="F1456" i="8"/>
  <c r="G1456" i="8" s="1"/>
  <c r="H1456" i="8" s="1"/>
  <c r="F240" i="8"/>
  <c r="G240" i="8" s="1"/>
  <c r="H240" i="8" s="1"/>
  <c r="F1722" i="8"/>
  <c r="G1722" i="8" s="1"/>
  <c r="H1722" i="8" s="1"/>
  <c r="F1736" i="8"/>
  <c r="G1736" i="8" s="1"/>
  <c r="H1736" i="8" s="1"/>
  <c r="F919" i="8"/>
  <c r="G919" i="8" s="1"/>
  <c r="H919" i="8" s="1"/>
  <c r="F727" i="8"/>
  <c r="G727" i="8" s="1"/>
  <c r="H727" i="8" s="1"/>
  <c r="F972" i="8"/>
  <c r="G972" i="8" s="1"/>
  <c r="H972" i="8" s="1"/>
  <c r="F954" i="8"/>
  <c r="G954" i="8" s="1"/>
  <c r="H954" i="8" s="1"/>
  <c r="F750" i="8"/>
  <c r="G750" i="8" s="1"/>
  <c r="H750" i="8" s="1"/>
  <c r="F744" i="8"/>
  <c r="G744" i="8" s="1"/>
  <c r="H744" i="8" s="1"/>
  <c r="F392" i="8"/>
  <c r="G392" i="8" s="1"/>
  <c r="H392" i="8" s="1"/>
  <c r="F356" i="8"/>
  <c r="G356" i="8" s="1"/>
  <c r="H356" i="8" s="1"/>
  <c r="F64" i="8"/>
  <c r="G64" i="8" s="1"/>
  <c r="H64" i="8" s="1"/>
  <c r="F1658" i="8"/>
  <c r="G1658" i="8" s="1"/>
  <c r="H1658" i="8" s="1"/>
  <c r="F1569" i="8"/>
  <c r="G1569" i="8" s="1"/>
  <c r="H1569" i="8" s="1"/>
  <c r="F1557" i="8"/>
  <c r="G1557" i="8" s="1"/>
  <c r="H1557" i="8" s="1"/>
  <c r="F1362" i="8"/>
  <c r="F1190" i="8"/>
  <c r="G1190" i="8" s="1"/>
  <c r="H1190" i="8" s="1"/>
  <c r="F1161" i="8"/>
  <c r="G1161" i="8" s="1"/>
  <c r="H1161" i="8" s="1"/>
  <c r="F1137" i="8"/>
  <c r="G1137" i="8" s="1"/>
  <c r="H1137" i="8" s="1"/>
  <c r="F1125" i="8"/>
  <c r="G1125" i="8" s="1"/>
  <c r="H1125" i="8" s="1"/>
  <c r="F917" i="8"/>
  <c r="G917" i="8" s="1"/>
  <c r="H917" i="8" s="1"/>
  <c r="F37" i="8"/>
  <c r="G37" i="8" s="1"/>
  <c r="H37" i="8" s="1"/>
  <c r="F25" i="8"/>
  <c r="G25" i="8" s="1"/>
  <c r="H25" i="8" s="1"/>
  <c r="F1514" i="8"/>
  <c r="G1514" i="8" s="1"/>
  <c r="H1514" i="8" s="1"/>
  <c r="F1479" i="8"/>
  <c r="G1479" i="8" s="1"/>
  <c r="H1479" i="8" s="1"/>
  <c r="F1047" i="8"/>
  <c r="G1047" i="8" s="1"/>
  <c r="H1047" i="8" s="1"/>
  <c r="F982" i="8"/>
  <c r="G982" i="8" s="1"/>
  <c r="H982" i="8" s="1"/>
  <c r="F946" i="8"/>
  <c r="G946" i="8" s="1"/>
  <c r="H946" i="8" s="1"/>
  <c r="F934" i="8"/>
  <c r="G934" i="8" s="1"/>
  <c r="H934" i="8" s="1"/>
  <c r="F928" i="8"/>
  <c r="G928" i="8" s="1"/>
  <c r="H928" i="8" s="1"/>
  <c r="F470" i="8"/>
  <c r="G470" i="8" s="1"/>
  <c r="H470" i="8" s="1"/>
  <c r="F416" i="8"/>
  <c r="G416" i="8" s="1"/>
  <c r="H416" i="8" s="1"/>
  <c r="F594" i="8"/>
  <c r="G594" i="8" s="1"/>
  <c r="H594" i="8" s="1"/>
  <c r="F1549" i="8"/>
  <c r="G1549" i="8" s="1"/>
  <c r="H1549" i="8" s="1"/>
  <c r="F1543" i="8"/>
  <c r="G1543" i="8" s="1"/>
  <c r="H1543" i="8" s="1"/>
  <c r="F1478" i="8"/>
  <c r="G1478" i="8" s="1"/>
  <c r="H1478" i="8" s="1"/>
  <c r="F1194" i="8"/>
  <c r="G1194" i="8" s="1"/>
  <c r="H1194" i="8" s="1"/>
  <c r="F1171" i="8"/>
  <c r="G1171" i="8" s="1"/>
  <c r="H1171" i="8" s="1"/>
  <c r="F1141" i="8"/>
  <c r="G1141" i="8" s="1"/>
  <c r="H1141" i="8" s="1"/>
  <c r="F975" i="8"/>
  <c r="G975" i="8" s="1"/>
  <c r="H975" i="8" s="1"/>
  <c r="F475" i="8"/>
  <c r="G475" i="8" s="1"/>
  <c r="H475" i="8" s="1"/>
  <c r="F463" i="8"/>
  <c r="G463" i="8" s="1"/>
  <c r="H463" i="8" s="1"/>
  <c r="F445" i="8"/>
  <c r="G445" i="8" s="1"/>
  <c r="H445" i="8" s="1"/>
  <c r="F439" i="8"/>
  <c r="G439" i="8" s="1"/>
  <c r="H439" i="8" s="1"/>
  <c r="F1991" i="8"/>
  <c r="G1991" i="8" s="1"/>
  <c r="H1991" i="8" s="1"/>
  <c r="F1938" i="8"/>
  <c r="G1938" i="8" s="1"/>
  <c r="H1938" i="8" s="1"/>
  <c r="F1276" i="8"/>
  <c r="G1276" i="8" s="1"/>
  <c r="H1276" i="8" s="1"/>
  <c r="F1270" i="8"/>
  <c r="G1270" i="8" s="1"/>
  <c r="H1270" i="8" s="1"/>
  <c r="F1996" i="8"/>
  <c r="G1996" i="8" s="1"/>
  <c r="H1996" i="8" s="1"/>
  <c r="F1801" i="8"/>
  <c r="G1801" i="8" s="1"/>
  <c r="H1801" i="8" s="1"/>
  <c r="F1672" i="8"/>
  <c r="G1672" i="8" s="1"/>
  <c r="H1672" i="8" s="1"/>
  <c r="F1021" i="8"/>
  <c r="G1021" i="8" s="1"/>
  <c r="H1021" i="8" s="1"/>
  <c r="F366" i="8"/>
  <c r="G366" i="8" s="1"/>
  <c r="H366" i="8" s="1"/>
  <c r="F1871" i="8"/>
  <c r="G1871" i="8" s="1"/>
  <c r="H1871" i="8" s="1"/>
  <c r="F1266" i="8"/>
  <c r="G1266" i="8" s="1"/>
  <c r="H1266" i="8" s="1"/>
  <c r="F419" i="8"/>
  <c r="G419" i="8" s="1"/>
  <c r="H419" i="8" s="1"/>
  <c r="F1768" i="8"/>
  <c r="G1768" i="8" s="1"/>
  <c r="H1768" i="8" s="1"/>
  <c r="F1492" i="8"/>
  <c r="G1492" i="8" s="1"/>
  <c r="H1492" i="8" s="1"/>
  <c r="F276" i="8"/>
  <c r="G276" i="8" s="1"/>
  <c r="H276" i="8" s="1"/>
  <c r="F1897" i="8"/>
  <c r="G1897" i="8" s="1"/>
  <c r="H1897" i="8" s="1"/>
  <c r="F1798" i="8"/>
  <c r="G1798" i="8" s="1"/>
  <c r="H1798" i="8" s="1"/>
  <c r="F1689" i="8"/>
  <c r="G1689" i="8" s="1"/>
  <c r="H1689" i="8" s="1"/>
  <c r="F1305" i="8"/>
  <c r="G1305" i="8" s="1"/>
  <c r="H1305" i="8" s="1"/>
  <c r="F635" i="8"/>
  <c r="G635" i="8" s="1"/>
  <c r="H635" i="8" s="1"/>
  <c r="F623" i="8"/>
  <c r="G623" i="8" s="1"/>
  <c r="H623" i="8" s="1"/>
  <c r="F1446" i="8"/>
  <c r="G1446" i="8" s="1"/>
  <c r="H1446" i="8" s="1"/>
  <c r="F1423" i="8"/>
  <c r="G1423" i="8" s="1"/>
  <c r="H1423" i="8" s="1"/>
  <c r="F565" i="8"/>
  <c r="G565" i="8" s="1"/>
  <c r="H565" i="8" s="1"/>
  <c r="F144" i="8"/>
  <c r="G144" i="8" s="1"/>
  <c r="H144" i="8" s="1"/>
  <c r="F1860" i="8"/>
  <c r="G1860" i="8" s="1"/>
  <c r="H1860" i="8" s="1"/>
  <c r="F1440" i="8"/>
  <c r="G1440" i="8" s="1"/>
  <c r="H1440" i="8" s="1"/>
  <c r="F1142" i="8"/>
  <c r="G1142" i="8" s="1"/>
  <c r="H1142" i="8" s="1"/>
  <c r="F513" i="8"/>
  <c r="G513" i="8" s="1"/>
  <c r="H513" i="8" s="1"/>
  <c r="F502" i="8"/>
  <c r="G502" i="8" s="1"/>
  <c r="H502" i="8" s="1"/>
  <c r="F377" i="8"/>
  <c r="G377" i="8" s="1"/>
  <c r="H377" i="8" s="1"/>
  <c r="F353" i="8"/>
  <c r="G353" i="8" s="1"/>
  <c r="H353" i="8" s="1"/>
  <c r="F188" i="8"/>
  <c r="G188" i="8" s="1"/>
  <c r="H188" i="8" s="1"/>
  <c r="F32" i="8"/>
  <c r="G32" i="8" s="1"/>
  <c r="H32" i="8" s="1"/>
  <c r="F1048" i="8"/>
  <c r="G1048" i="8" s="1"/>
  <c r="H1048" i="8" s="1"/>
  <c r="F1461" i="8"/>
  <c r="G1461" i="8" s="1"/>
  <c r="H1461" i="8" s="1"/>
  <c r="F1036" i="8"/>
  <c r="G1036" i="8" s="1"/>
  <c r="H1036" i="8" s="1"/>
  <c r="F30" i="8"/>
  <c r="G30" i="8" s="1"/>
  <c r="H30" i="8" s="1"/>
  <c r="F1600" i="8"/>
  <c r="G1600" i="8" s="1"/>
  <c r="H1600" i="8" s="1"/>
  <c r="F2068" i="8"/>
  <c r="G2068" i="8" s="1"/>
  <c r="H2068" i="8" s="1"/>
  <c r="F1770" i="8"/>
  <c r="G1770" i="8" s="1"/>
  <c r="H1770" i="8" s="1"/>
  <c r="F1680" i="8"/>
  <c r="G1680" i="8" s="1"/>
  <c r="H1680" i="8" s="1"/>
  <c r="F1488" i="8"/>
  <c r="G1488" i="8" s="1"/>
  <c r="H1488" i="8" s="1"/>
  <c r="F1395" i="8"/>
  <c r="G1395" i="8" s="1"/>
  <c r="H1395" i="8" s="1"/>
  <c r="F1226" i="8"/>
  <c r="G1226" i="8" s="1"/>
  <c r="H1226" i="8" s="1"/>
  <c r="F1085" i="8"/>
  <c r="G1085" i="8" s="1"/>
  <c r="H1085" i="8" s="1"/>
  <c r="F790" i="8"/>
  <c r="G790" i="8" s="1"/>
  <c r="H790" i="8" s="1"/>
  <c r="F486" i="8"/>
  <c r="G486" i="8" s="1"/>
  <c r="H486" i="8" s="1"/>
  <c r="F355" i="8"/>
  <c r="G355" i="8" s="1"/>
  <c r="H355" i="8" s="1"/>
  <c r="F1753" i="8"/>
  <c r="G1753" i="8" s="1"/>
  <c r="H1753" i="8" s="1"/>
  <c r="F1289" i="8"/>
  <c r="G1289" i="8" s="1"/>
  <c r="H1289" i="8" s="1"/>
  <c r="F1214" i="8"/>
  <c r="G1214" i="8" s="1"/>
  <c r="H1214" i="8" s="1"/>
  <c r="F1079" i="8"/>
  <c r="G1079" i="8" s="1"/>
  <c r="H1079" i="8" s="1"/>
  <c r="F968" i="8"/>
  <c r="G968" i="8" s="1"/>
  <c r="H968" i="8" s="1"/>
  <c r="F932" i="8"/>
  <c r="G932" i="8" s="1"/>
  <c r="H932" i="8" s="1"/>
  <c r="F474" i="8"/>
  <c r="G474" i="8" s="1"/>
  <c r="H474" i="8" s="1"/>
  <c r="F438" i="8"/>
  <c r="G438" i="8" s="1"/>
  <c r="H438" i="8" s="1"/>
  <c r="F1846" i="8"/>
  <c r="G1846" i="8" s="1"/>
  <c r="H1846" i="8" s="1"/>
  <c r="F2102" i="8"/>
  <c r="G2102" i="8" s="1"/>
  <c r="H2102" i="8" s="1"/>
  <c r="F1978" i="8"/>
  <c r="G1978" i="8" s="1"/>
  <c r="H1978" i="8" s="1"/>
  <c r="F1610" i="8"/>
  <c r="G1610" i="8" s="1"/>
  <c r="H1610" i="8" s="1"/>
  <c r="F1334" i="8"/>
  <c r="G1334" i="8" s="1"/>
  <c r="H1334" i="8" s="1"/>
  <c r="F409" i="8"/>
  <c r="G409" i="8" s="1"/>
  <c r="H409" i="8" s="1"/>
  <c r="F1711" i="8"/>
  <c r="G1711" i="8" s="1"/>
  <c r="H1711" i="8" s="1"/>
  <c r="F1694" i="8"/>
  <c r="G1694" i="8" s="1"/>
  <c r="H1694" i="8" s="1"/>
  <c r="F1445" i="8"/>
  <c r="G1445" i="8" s="1"/>
  <c r="H1445" i="8" s="1"/>
  <c r="F1434" i="8"/>
  <c r="G1434" i="8" s="1"/>
  <c r="H1434" i="8" s="1"/>
  <c r="F1422" i="8"/>
  <c r="G1422" i="8" s="1"/>
  <c r="H1422" i="8" s="1"/>
  <c r="F1351" i="8"/>
  <c r="G1351" i="8" s="1"/>
  <c r="H1351" i="8" s="1"/>
  <c r="F1322" i="8"/>
  <c r="G1322" i="8" s="1"/>
  <c r="H1322" i="8" s="1"/>
  <c r="F1299" i="8"/>
  <c r="G1299" i="8" s="1"/>
  <c r="H1299" i="8" s="1"/>
  <c r="F1207" i="8"/>
  <c r="G1207" i="8" s="1"/>
  <c r="H1207" i="8" s="1"/>
  <c r="F987" i="8"/>
  <c r="G987" i="8" s="1"/>
  <c r="H987" i="8" s="1"/>
  <c r="F710" i="8"/>
  <c r="G710" i="8" s="1"/>
  <c r="H710" i="8" s="1"/>
  <c r="F408" i="8"/>
  <c r="G408" i="8" s="1"/>
  <c r="H408" i="8" s="1"/>
  <c r="F215" i="8"/>
  <c r="G215" i="8" s="1"/>
  <c r="H215" i="8" s="1"/>
  <c r="F114" i="8"/>
  <c r="G114" i="8" s="1"/>
  <c r="H114" i="8" s="1"/>
  <c r="F1497" i="8"/>
  <c r="G1497" i="8" s="1"/>
  <c r="H1497" i="8" s="1"/>
  <c r="F2096" i="8"/>
  <c r="G2096" i="8" s="1"/>
  <c r="H2096" i="8" s="1"/>
  <c r="F1932" i="8"/>
  <c r="G1932" i="8" s="1"/>
  <c r="H1932" i="8" s="1"/>
  <c r="F1212" i="8"/>
  <c r="G1212" i="8" s="1"/>
  <c r="H1212" i="8" s="1"/>
  <c r="F851" i="8"/>
  <c r="G851" i="8" s="1"/>
  <c r="H851" i="8" s="1"/>
  <c r="F454" i="8"/>
  <c r="G454" i="8" s="1"/>
  <c r="H454" i="8" s="1"/>
  <c r="F96" i="8"/>
  <c r="G96" i="8" s="1"/>
  <c r="H96" i="8" s="1"/>
  <c r="F18" i="8"/>
  <c r="G18" i="8" s="1"/>
  <c r="H18" i="8" s="1"/>
  <c r="F2100" i="8"/>
  <c r="G2100" i="8" s="1"/>
  <c r="H2100" i="8" s="1"/>
  <c r="F1926" i="8"/>
  <c r="G1926" i="8" s="1"/>
  <c r="H1926" i="8" s="1"/>
  <c r="F1832" i="8"/>
  <c r="G1832" i="8" s="1"/>
  <c r="H1832" i="8" s="1"/>
  <c r="F1744" i="8"/>
  <c r="G1744" i="8" s="1"/>
  <c r="H1744" i="8" s="1"/>
  <c r="F1520" i="8"/>
  <c r="G1520" i="8" s="1"/>
  <c r="H1520" i="8" s="1"/>
  <c r="F1397" i="8"/>
  <c r="G1397" i="8" s="1"/>
  <c r="H1397" i="8" s="1"/>
  <c r="F985" i="8"/>
  <c r="G985" i="8" s="1"/>
  <c r="H985" i="8" s="1"/>
  <c r="F112" i="8"/>
  <c r="G112" i="8" s="1"/>
  <c r="H112" i="8" s="1"/>
  <c r="F2060" i="8"/>
  <c r="G2060" i="8" s="1"/>
  <c r="H2060" i="8" s="1"/>
  <c r="F1992" i="8"/>
  <c r="G1992" i="8" s="1"/>
  <c r="H1992" i="8" s="1"/>
  <c r="F1969" i="8"/>
  <c r="G1969" i="8" s="1"/>
  <c r="H1969" i="8" s="1"/>
  <c r="F1826" i="8"/>
  <c r="G1826" i="8" s="1"/>
  <c r="H1826" i="8" s="1"/>
  <c r="F1596" i="8"/>
  <c r="G1596" i="8" s="1"/>
  <c r="H1596" i="8" s="1"/>
  <c r="F1590" i="8"/>
  <c r="G1590" i="8" s="1"/>
  <c r="H1590" i="8" s="1"/>
  <c r="F1566" i="8"/>
  <c r="G1566" i="8" s="1"/>
  <c r="H1566" i="8" s="1"/>
  <c r="F1560" i="8"/>
  <c r="G1560" i="8" s="1"/>
  <c r="H1560" i="8" s="1"/>
  <c r="F1554" i="8"/>
  <c r="G1554" i="8" s="1"/>
  <c r="H1554" i="8" s="1"/>
  <c r="F1508" i="8"/>
  <c r="G1508" i="8" s="1"/>
  <c r="H1508" i="8" s="1"/>
  <c r="F1019" i="8"/>
  <c r="G1019" i="8" s="1"/>
  <c r="H1019" i="8" s="1"/>
  <c r="F1002" i="8"/>
  <c r="G1002" i="8" s="1"/>
  <c r="H1002" i="8" s="1"/>
  <c r="F370" i="8"/>
  <c r="G370" i="8" s="1"/>
  <c r="H370" i="8" s="1"/>
  <c r="F1541" i="8"/>
  <c r="G1541" i="8" s="1"/>
  <c r="H1541" i="8" s="1"/>
  <c r="F1518" i="8"/>
  <c r="G1518" i="8" s="1"/>
  <c r="H1518" i="8" s="1"/>
  <c r="F316" i="8"/>
  <c r="G316" i="8" s="1"/>
  <c r="H316" i="8" s="1"/>
  <c r="F219" i="8"/>
  <c r="G219" i="8" s="1"/>
  <c r="H219" i="8" s="1"/>
  <c r="F175" i="8"/>
  <c r="G175" i="8" s="1"/>
  <c r="H175" i="8" s="1"/>
  <c r="F1872" i="8"/>
  <c r="G1872" i="8" s="1"/>
  <c r="H1872" i="8" s="1"/>
  <c r="F2006" i="8"/>
  <c r="G2006" i="8" s="1"/>
  <c r="H2006" i="8" s="1"/>
  <c r="F1856" i="8"/>
  <c r="G1856" i="8" s="1"/>
  <c r="H1856" i="8" s="1"/>
  <c r="F1840" i="8"/>
  <c r="G1840" i="8" s="1"/>
  <c r="H1840" i="8" s="1"/>
  <c r="F1650" i="8"/>
  <c r="G1650" i="8" s="1"/>
  <c r="H1650" i="8" s="1"/>
  <c r="F1471" i="8"/>
  <c r="G1471" i="8" s="1"/>
  <c r="H1471" i="8" s="1"/>
  <c r="F1218" i="8"/>
  <c r="G1218" i="8" s="1"/>
  <c r="H1218" i="8" s="1"/>
  <c r="F1101" i="8"/>
  <c r="G1101" i="8" s="1"/>
  <c r="H1101" i="8" s="1"/>
  <c r="F999" i="8"/>
  <c r="G999" i="8" s="1"/>
  <c r="H999" i="8" s="1"/>
  <c r="F993" i="8"/>
  <c r="G993" i="8" s="1"/>
  <c r="H993" i="8" s="1"/>
  <c r="F801" i="8"/>
  <c r="G801" i="8" s="1"/>
  <c r="H801" i="8" s="1"/>
  <c r="F749" i="8"/>
  <c r="G749" i="8" s="1"/>
  <c r="H749" i="8" s="1"/>
  <c r="F541" i="8"/>
  <c r="G541" i="8" s="1"/>
  <c r="H541" i="8" s="1"/>
  <c r="F443" i="8"/>
  <c r="G443" i="8" s="1"/>
  <c r="H443" i="8" s="1"/>
  <c r="F333" i="8"/>
  <c r="G333" i="8" s="1"/>
  <c r="H333" i="8" s="1"/>
  <c r="F270" i="8"/>
  <c r="G270" i="8" s="1"/>
  <c r="H270" i="8" s="1"/>
  <c r="F1990" i="8"/>
  <c r="G1990" i="8" s="1"/>
  <c r="H1990" i="8" s="1"/>
  <c r="F1928" i="8"/>
  <c r="G1928" i="8" s="1"/>
  <c r="H1928" i="8" s="1"/>
  <c r="F563" i="8"/>
  <c r="G563" i="8" s="1"/>
  <c r="H563" i="8" s="1"/>
  <c r="F39" i="8"/>
  <c r="G39" i="8" s="1"/>
  <c r="H39" i="8" s="1"/>
  <c r="F1965" i="8"/>
  <c r="G1965" i="8" s="1"/>
  <c r="H1965" i="8" s="1"/>
  <c r="F1773" i="8"/>
  <c r="G1773" i="8" s="1"/>
  <c r="H1773" i="8" s="1"/>
  <c r="F1574" i="8"/>
  <c r="G1574" i="8" s="1"/>
  <c r="H1574" i="8" s="1"/>
  <c r="F1158" i="8"/>
  <c r="G1158" i="8" s="1"/>
  <c r="H1158" i="8" s="1"/>
  <c r="F1152" i="8"/>
  <c r="G1152" i="8" s="1"/>
  <c r="H1152" i="8" s="1"/>
  <c r="F759" i="8"/>
  <c r="G759" i="8" s="1"/>
  <c r="H759" i="8" s="1"/>
  <c r="F1587" i="8"/>
  <c r="G1587" i="8" s="1"/>
  <c r="H1587" i="8" s="1"/>
  <c r="F2004" i="8"/>
  <c r="G2004" i="8" s="1"/>
  <c r="H2004" i="8" s="1"/>
  <c r="F1906" i="8"/>
  <c r="G1906" i="8" s="1"/>
  <c r="H1906" i="8" s="1"/>
  <c r="F1890" i="8"/>
  <c r="G1890" i="8" s="1"/>
  <c r="H1890" i="8" s="1"/>
  <c r="F1452" i="8"/>
  <c r="G1452" i="8" s="1"/>
  <c r="H1452" i="8" s="1"/>
  <c r="F1441" i="8"/>
  <c r="G1441" i="8" s="1"/>
  <c r="H1441" i="8" s="1"/>
  <c r="F1335" i="8"/>
  <c r="G1335" i="8" s="1"/>
  <c r="H1335" i="8" s="1"/>
  <c r="F717" i="8"/>
  <c r="G717" i="8" s="1"/>
  <c r="H717" i="8" s="1"/>
  <c r="F705" i="8"/>
  <c r="G705" i="8" s="1"/>
  <c r="H705" i="8" s="1"/>
  <c r="F448" i="8"/>
  <c r="G448" i="8" s="1"/>
  <c r="H448" i="8" s="1"/>
  <c r="F578" i="8"/>
  <c r="G578" i="8" s="1"/>
  <c r="H578" i="8" s="1"/>
  <c r="F664" i="8"/>
  <c r="G664" i="8" s="1"/>
  <c r="H664" i="8" s="1"/>
  <c r="F1684" i="8"/>
  <c r="G1684" i="8" s="1"/>
  <c r="H1684" i="8" s="1"/>
  <c r="F1814" i="8"/>
  <c r="G1814" i="8" s="1"/>
  <c r="H1814" i="8" s="1"/>
  <c r="F1786" i="8"/>
  <c r="G1786" i="8" s="1"/>
  <c r="H1786" i="8" s="1"/>
  <c r="F838" i="8"/>
  <c r="G838" i="8" s="1"/>
  <c r="H838" i="8" s="1"/>
  <c r="F2072" i="8"/>
  <c r="G2072" i="8" s="1"/>
  <c r="H2072" i="8" s="1"/>
  <c r="F1968" i="8"/>
  <c r="G1968" i="8" s="1"/>
  <c r="H1968" i="8" s="1"/>
  <c r="F1415" i="8"/>
  <c r="G1415" i="8" s="1"/>
  <c r="H1415" i="8" s="1"/>
  <c r="F1409" i="8"/>
  <c r="G1409" i="8" s="1"/>
  <c r="H1409" i="8" s="1"/>
  <c r="F1391" i="8"/>
  <c r="G1391" i="8" s="1"/>
  <c r="H1391" i="8" s="1"/>
  <c r="F1842" i="8"/>
  <c r="G1842" i="8" s="1"/>
  <c r="H1842" i="8" s="1"/>
  <c r="F1718" i="8"/>
  <c r="G1718" i="8" s="1"/>
  <c r="H1718" i="8" s="1"/>
  <c r="F1665" i="8"/>
  <c r="G1665" i="8" s="1"/>
  <c r="H1665" i="8" s="1"/>
  <c r="F1402" i="8"/>
  <c r="G1402" i="8" s="1"/>
  <c r="H1402" i="8" s="1"/>
  <c r="F1230" i="8"/>
  <c r="G1230" i="8" s="1"/>
  <c r="H1230" i="8" s="1"/>
  <c r="F1224" i="8"/>
  <c r="G1224" i="8" s="1"/>
  <c r="H1224" i="8" s="1"/>
  <c r="F1168" i="8"/>
  <c r="G1168" i="8" s="1"/>
  <c r="H1168" i="8" s="1"/>
  <c r="F1093" i="8"/>
  <c r="G1093" i="8" s="1"/>
  <c r="H1093" i="8" s="1"/>
  <c r="F1032" i="8"/>
  <c r="G1032" i="8" s="1"/>
  <c r="H1032" i="8" s="1"/>
  <c r="F1020" i="8"/>
  <c r="G1020" i="8" s="1"/>
  <c r="H1020" i="8" s="1"/>
  <c r="F800" i="8"/>
  <c r="G800" i="8" s="1"/>
  <c r="H800" i="8" s="1"/>
  <c r="F426" i="8"/>
  <c r="G426" i="8" s="1"/>
  <c r="H426" i="8" s="1"/>
  <c r="F348" i="8"/>
  <c r="G348" i="8" s="1"/>
  <c r="H348" i="8" s="1"/>
  <c r="F1792" i="8"/>
  <c r="G1792" i="8" s="1"/>
  <c r="H1792" i="8" s="1"/>
  <c r="F1072" i="8"/>
  <c r="G1072" i="8" s="1"/>
  <c r="H1072" i="8" s="1"/>
  <c r="F890" i="8"/>
  <c r="G890" i="8" s="1"/>
  <c r="H890" i="8" s="1"/>
  <c r="F1698" i="8"/>
  <c r="G1698" i="8" s="1"/>
  <c r="H1698" i="8" s="1"/>
  <c r="F2098" i="8"/>
  <c r="G2098" i="8" s="1"/>
  <c r="H2098" i="8" s="1"/>
  <c r="F1888" i="8"/>
  <c r="G1888" i="8" s="1"/>
  <c r="H1888" i="8" s="1"/>
  <c r="F1822" i="8"/>
  <c r="G1822" i="8" s="1"/>
  <c r="H1822" i="8" s="1"/>
  <c r="F1794" i="8"/>
  <c r="G1794" i="8" s="1"/>
  <c r="H1794" i="8" s="1"/>
  <c r="F1757" i="8"/>
  <c r="G1757" i="8" s="1"/>
  <c r="H1757" i="8" s="1"/>
  <c r="F1751" i="8"/>
  <c r="G1751" i="8" s="1"/>
  <c r="H1751" i="8" s="1"/>
  <c r="F1734" i="8"/>
  <c r="G1734" i="8" s="1"/>
  <c r="H1734" i="8" s="1"/>
  <c r="F1676" i="8"/>
  <c r="G1676" i="8" s="1"/>
  <c r="H1676" i="8" s="1"/>
  <c r="F1448" i="8"/>
  <c r="G1448" i="8" s="1"/>
  <c r="H1448" i="8" s="1"/>
  <c r="F1292" i="8"/>
  <c r="G1292" i="8" s="1"/>
  <c r="H1292" i="8" s="1"/>
  <c r="F1286" i="8"/>
  <c r="G1286" i="8" s="1"/>
  <c r="H1286" i="8" s="1"/>
  <c r="F957" i="8"/>
  <c r="G957" i="8" s="1"/>
  <c r="H957" i="8" s="1"/>
  <c r="F546" i="8"/>
  <c r="G546" i="8" s="1"/>
  <c r="H546" i="8" s="1"/>
  <c r="F296" i="8"/>
  <c r="G296" i="8" s="1"/>
  <c r="H296" i="8" s="1"/>
  <c r="F245" i="8"/>
  <c r="G245" i="8" s="1"/>
  <c r="H245" i="8" s="1"/>
  <c r="F222" i="8"/>
  <c r="G222" i="8" s="1"/>
  <c r="H222" i="8" s="1"/>
  <c r="F1934" i="8"/>
  <c r="G1934" i="8" s="1"/>
  <c r="H1934" i="8" s="1"/>
  <c r="F1682" i="8"/>
  <c r="G1682" i="8" s="1"/>
  <c r="H1682" i="8" s="1"/>
  <c r="F650" i="8"/>
  <c r="G650" i="8" s="1"/>
  <c r="H650" i="8" s="1"/>
  <c r="F208" i="8"/>
  <c r="G208" i="8" s="1"/>
  <c r="H208" i="8" s="1"/>
  <c r="F763" i="8"/>
  <c r="G763" i="8" s="1"/>
  <c r="H763" i="8" s="1"/>
  <c r="F751" i="8"/>
  <c r="G751" i="8" s="1"/>
  <c r="H751" i="8" s="1"/>
  <c r="F612" i="8"/>
  <c r="G612" i="8" s="1"/>
  <c r="H612" i="8" s="1"/>
  <c r="F2112" i="8"/>
  <c r="G2112" i="8" s="1"/>
  <c r="H2112" i="8" s="1"/>
  <c r="F550" i="8"/>
  <c r="G550" i="8" s="1"/>
  <c r="H550" i="8" s="1"/>
  <c r="F1914" i="8"/>
  <c r="G1914" i="8" s="1"/>
  <c r="H1914" i="8" s="1"/>
  <c r="F1877" i="8"/>
  <c r="G1877" i="8" s="1"/>
  <c r="H1877" i="8" s="1"/>
  <c r="F1105" i="8"/>
  <c r="G1105" i="8" s="1"/>
  <c r="H1105" i="8" s="1"/>
  <c r="F1094" i="8"/>
  <c r="G1094" i="8" s="1"/>
  <c r="H1094" i="8" s="1"/>
  <c r="F1945" i="8"/>
  <c r="G1945" i="8" s="1"/>
  <c r="H1945" i="8" s="1"/>
  <c r="F1399" i="8"/>
  <c r="G1399" i="8" s="1"/>
  <c r="H1399" i="8" s="1"/>
  <c r="F1365" i="8"/>
  <c r="G1365" i="8" s="1"/>
  <c r="H1365" i="8" s="1"/>
  <c r="F1319" i="8"/>
  <c r="G1319" i="8" s="1"/>
  <c r="H1319" i="8" s="1"/>
  <c r="F187" i="8"/>
  <c r="G187" i="8" s="1"/>
  <c r="H187" i="8" s="1"/>
  <c r="F82" i="8"/>
  <c r="G82" i="8" s="1"/>
  <c r="H82" i="8" s="1"/>
  <c r="F1982" i="8"/>
  <c r="G1982" i="8" s="1"/>
  <c r="H1982" i="8" s="1"/>
  <c r="F1956" i="8"/>
  <c r="G1956" i="8" s="1"/>
  <c r="H1956" i="8" s="1"/>
  <c r="F1816" i="8"/>
  <c r="G1816" i="8" s="1"/>
  <c r="H1816" i="8" s="1"/>
  <c r="F755" i="8"/>
  <c r="G755" i="8" s="1"/>
  <c r="H755" i="8" s="1"/>
  <c r="F1746" i="8"/>
  <c r="G1746" i="8" s="1"/>
  <c r="H1746" i="8" s="1"/>
  <c r="F1740" i="8"/>
  <c r="G1740" i="8" s="1"/>
  <c r="H1740" i="8" s="1"/>
  <c r="F1687" i="8"/>
  <c r="G1687" i="8" s="1"/>
  <c r="H1687" i="8" s="1"/>
  <c r="F1677" i="8"/>
  <c r="G1677" i="8" s="1"/>
  <c r="H1677" i="8" s="1"/>
  <c r="F225" i="8"/>
  <c r="G225" i="8" s="1"/>
  <c r="H225" i="8" s="1"/>
  <c r="F2018" i="8"/>
  <c r="G2018" i="8" s="1"/>
  <c r="H2018" i="8" s="1"/>
  <c r="F1660" i="8"/>
  <c r="G1660" i="8" s="1"/>
  <c r="H1660" i="8" s="1"/>
  <c r="F1604" i="8"/>
  <c r="G1604" i="8" s="1"/>
  <c r="H1604" i="8" s="1"/>
  <c r="F1593" i="8"/>
  <c r="G1593" i="8" s="1"/>
  <c r="H1593" i="8" s="1"/>
  <c r="F788" i="8"/>
  <c r="G788" i="8" s="1"/>
  <c r="H788" i="8" s="1"/>
  <c r="F197" i="8"/>
  <c r="G197" i="8" s="1"/>
  <c r="H197" i="8" s="1"/>
  <c r="F1960" i="8"/>
  <c r="G1960" i="8" s="1"/>
  <c r="H1960" i="8" s="1"/>
  <c r="F1949" i="8"/>
  <c r="G1949" i="8" s="1"/>
  <c r="H1949" i="8" s="1"/>
  <c r="F1766" i="8"/>
  <c r="G1766" i="8" s="1"/>
  <c r="H1766" i="8" s="1"/>
  <c r="F1686" i="8"/>
  <c r="G1686" i="8" s="1"/>
  <c r="H1686" i="8" s="1"/>
  <c r="F1211" i="8"/>
  <c r="G1211" i="8" s="1"/>
  <c r="H1211" i="8" s="1"/>
  <c r="F1227" i="8"/>
  <c r="G1227" i="8" s="1"/>
  <c r="H1227" i="8" s="1"/>
  <c r="F2086" i="8"/>
  <c r="G2086" i="8" s="1"/>
  <c r="H2086" i="8" s="1"/>
  <c r="F2076" i="8"/>
  <c r="G2076" i="8" s="1"/>
  <c r="H2076" i="8" s="1"/>
  <c r="F2016" i="8"/>
  <c r="G2016" i="8" s="1"/>
  <c r="H2016" i="8" s="1"/>
  <c r="F1853" i="8"/>
  <c r="G1853" i="8" s="1"/>
  <c r="H1853" i="8" s="1"/>
  <c r="F1849" i="8"/>
  <c r="G1849" i="8" s="1"/>
  <c r="H1849" i="8" s="1"/>
  <c r="F1754" i="8"/>
  <c r="G1754" i="8" s="1"/>
  <c r="H1754" i="8" s="1"/>
  <c r="F1437" i="8"/>
  <c r="G1437" i="8" s="1"/>
  <c r="H1437" i="8" s="1"/>
  <c r="F1367" i="8"/>
  <c r="G1367" i="8" s="1"/>
  <c r="H1367" i="8" s="1"/>
  <c r="F775" i="8"/>
  <c r="G775" i="8" s="1"/>
  <c r="H775" i="8" s="1"/>
  <c r="F388" i="8"/>
  <c r="G388" i="8" s="1"/>
  <c r="H388" i="8" s="1"/>
  <c r="F1873" i="8"/>
  <c r="G1873" i="8" s="1"/>
  <c r="H1873" i="8" s="1"/>
  <c r="F1506" i="8"/>
  <c r="G1506" i="8" s="1"/>
  <c r="H1506" i="8" s="1"/>
  <c r="F1413" i="8"/>
  <c r="G1413" i="8" s="1"/>
  <c r="H1413" i="8" s="1"/>
  <c r="F1175" i="8"/>
  <c r="G1175" i="8" s="1"/>
  <c r="H1175" i="8" s="1"/>
  <c r="F1170" i="8"/>
  <c r="G1170" i="8" s="1"/>
  <c r="H1170" i="8" s="1"/>
  <c r="F1112" i="8"/>
  <c r="G1112" i="8" s="1"/>
  <c r="H1112" i="8" s="1"/>
  <c r="F734" i="8"/>
  <c r="G734" i="8" s="1"/>
  <c r="H734" i="8" s="1"/>
  <c r="F624" i="8"/>
  <c r="G624" i="8" s="1"/>
  <c r="H624" i="8" s="1"/>
  <c r="F562" i="8"/>
  <c r="G562" i="8" s="1"/>
  <c r="H562" i="8" s="1"/>
  <c r="F539" i="8"/>
  <c r="G539" i="8" s="1"/>
  <c r="H539" i="8" s="1"/>
  <c r="F465" i="8"/>
  <c r="G465" i="8" s="1"/>
  <c r="H465" i="8" s="1"/>
  <c r="F1088" i="8"/>
  <c r="G1088" i="8" s="1"/>
  <c r="H1088" i="8" s="1"/>
  <c r="F1077" i="8"/>
  <c r="G1077" i="8" s="1"/>
  <c r="H1077" i="8" s="1"/>
  <c r="F852" i="8"/>
  <c r="G852" i="8" s="1"/>
  <c r="H852" i="8" s="1"/>
  <c r="F2042" i="8"/>
  <c r="G2042" i="8" s="1"/>
  <c r="H2042" i="8" s="1"/>
  <c r="F1958" i="8"/>
  <c r="G1958" i="8" s="1"/>
  <c r="H1958" i="8" s="1"/>
  <c r="F1821" i="8"/>
  <c r="G1821" i="8" s="1"/>
  <c r="H1821" i="8" s="1"/>
  <c r="F1636" i="8"/>
  <c r="G1636" i="8" s="1"/>
  <c r="H1636" i="8" s="1"/>
  <c r="F1630" i="8"/>
  <c r="G1630" i="8" s="1"/>
  <c r="H1630" i="8" s="1"/>
  <c r="F279" i="8"/>
  <c r="G279" i="8" s="1"/>
  <c r="H279" i="8" s="1"/>
  <c r="F2094" i="8"/>
  <c r="G2094" i="8" s="1"/>
  <c r="H2094" i="8" s="1"/>
  <c r="F2014" i="8"/>
  <c r="G2014" i="8" s="1"/>
  <c r="H2014" i="8" s="1"/>
  <c r="F2008" i="8"/>
  <c r="G2008" i="8" s="1"/>
  <c r="H2008" i="8" s="1"/>
  <c r="F1894" i="8"/>
  <c r="G1894" i="8" s="1"/>
  <c r="H1894" i="8" s="1"/>
  <c r="F1884" i="8"/>
  <c r="G1884" i="8" s="1"/>
  <c r="H1884" i="8" s="1"/>
  <c r="F1870" i="8"/>
  <c r="G1870" i="8" s="1"/>
  <c r="H1870" i="8" s="1"/>
  <c r="F1772" i="8"/>
  <c r="G1772" i="8" s="1"/>
  <c r="H1772" i="8" s="1"/>
  <c r="F1517" i="8"/>
  <c r="G1517" i="8" s="1"/>
  <c r="H1517" i="8" s="1"/>
  <c r="F1512" i="8"/>
  <c r="G1512" i="8" s="1"/>
  <c r="H1512" i="8" s="1"/>
  <c r="F1139" i="8"/>
  <c r="G1139" i="8" s="1"/>
  <c r="H1139" i="8" s="1"/>
  <c r="F1076" i="8"/>
  <c r="G1076" i="8" s="1"/>
  <c r="H1076" i="8" s="1"/>
  <c r="F798" i="8"/>
  <c r="G798" i="8" s="1"/>
  <c r="H798" i="8" s="1"/>
  <c r="F597" i="8"/>
  <c r="G597" i="8" s="1"/>
  <c r="H597" i="8" s="1"/>
  <c r="F106" i="8"/>
  <c r="G106" i="8" s="1"/>
  <c r="H106" i="8" s="1"/>
  <c r="F2088" i="8"/>
  <c r="G2088" i="8" s="1"/>
  <c r="H2088" i="8" s="1"/>
  <c r="F1962" i="8"/>
  <c r="G1962" i="8" s="1"/>
  <c r="H1962" i="8" s="1"/>
  <c r="F1747" i="8"/>
  <c r="G1747" i="8" s="1"/>
  <c r="H1747" i="8" s="1"/>
  <c r="F1708" i="8"/>
  <c r="G1708" i="8" s="1"/>
  <c r="H1708" i="8" s="1"/>
  <c r="F1688" i="8"/>
  <c r="G1688" i="8" s="1"/>
  <c r="H1688" i="8" s="1"/>
  <c r="F1381" i="8"/>
  <c r="G1381" i="8" s="1"/>
  <c r="H1381" i="8" s="1"/>
  <c r="F1284" i="8"/>
  <c r="G1284" i="8" s="1"/>
  <c r="H1284" i="8" s="1"/>
  <c r="F1144" i="8"/>
  <c r="G1144" i="8" s="1"/>
  <c r="H1144" i="8" s="1"/>
  <c r="F1009" i="8"/>
  <c r="G1009" i="8" s="1"/>
  <c r="H1009" i="8" s="1"/>
  <c r="F981" i="8"/>
  <c r="G981" i="8" s="1"/>
  <c r="H981" i="8" s="1"/>
  <c r="F873" i="8"/>
  <c r="G873" i="8" s="1"/>
  <c r="H873" i="8" s="1"/>
  <c r="F867" i="8"/>
  <c r="G867" i="8" s="1"/>
  <c r="H867" i="8" s="1"/>
  <c r="F694" i="8"/>
  <c r="G694" i="8" s="1"/>
  <c r="H694" i="8" s="1"/>
  <c r="F406" i="8"/>
  <c r="G406" i="8" s="1"/>
  <c r="H406" i="8" s="1"/>
  <c r="F272" i="8"/>
  <c r="G272" i="8" s="1"/>
  <c r="H272" i="8" s="1"/>
  <c r="F189" i="8"/>
  <c r="G189" i="8" s="1"/>
  <c r="H189" i="8" s="1"/>
  <c r="F156" i="8"/>
  <c r="G156" i="8" s="1"/>
  <c r="H156" i="8" s="1"/>
  <c r="F1818" i="8"/>
  <c r="G1818" i="8" s="1"/>
  <c r="H1818" i="8" s="1"/>
  <c r="F1000" i="8"/>
  <c r="G1000" i="8" s="1"/>
  <c r="H1000" i="8" s="1"/>
  <c r="F1358" i="8"/>
  <c r="G1358" i="8" s="1"/>
  <c r="H1358" i="8" s="1"/>
  <c r="F1347" i="8"/>
  <c r="G1347" i="8" s="1"/>
  <c r="H1347" i="8" s="1"/>
  <c r="F1235" i="8"/>
  <c r="G1235" i="8" s="1"/>
  <c r="H1235" i="8" s="1"/>
  <c r="F1102" i="8"/>
  <c r="G1102" i="8" s="1"/>
  <c r="H1102" i="8" s="1"/>
  <c r="F866" i="8"/>
  <c r="G866" i="8" s="1"/>
  <c r="H866" i="8" s="1"/>
  <c r="F1431" i="8"/>
  <c r="G1431" i="8" s="1"/>
  <c r="H1431" i="8" s="1"/>
  <c r="F1847" i="8"/>
  <c r="G1847" i="8" s="1"/>
  <c r="H1847" i="8" s="1"/>
  <c r="F1469" i="8"/>
  <c r="G1469" i="8" s="1"/>
  <c r="H1469" i="8" s="1"/>
  <c r="F1519" i="8"/>
  <c r="G1519" i="8" s="1"/>
  <c r="H1519" i="8" s="1"/>
  <c r="F1930" i="8"/>
  <c r="G1930" i="8" s="1"/>
  <c r="H1930" i="8" s="1"/>
  <c r="F1869" i="8"/>
  <c r="G1869" i="8" s="1"/>
  <c r="H1869" i="8" s="1"/>
  <c r="F1408" i="8"/>
  <c r="G1408" i="8" s="1"/>
  <c r="H1408" i="8" s="1"/>
  <c r="F837" i="8"/>
  <c r="G837" i="8" s="1"/>
  <c r="H837" i="8" s="1"/>
  <c r="F1407" i="8"/>
  <c r="G1407" i="8" s="1"/>
  <c r="H1407" i="8" s="1"/>
  <c r="F2092" i="8"/>
  <c r="G2092" i="8" s="1"/>
  <c r="H2092" i="8" s="1"/>
  <c r="F1864" i="8"/>
  <c r="G1864" i="8" s="1"/>
  <c r="H1864" i="8" s="1"/>
  <c r="F1589" i="8"/>
  <c r="G1589" i="8" s="1"/>
  <c r="H1589" i="8" s="1"/>
  <c r="F2030" i="8"/>
  <c r="G2030" i="8" s="1"/>
  <c r="H2030" i="8" s="1"/>
  <c r="F1901" i="8"/>
  <c r="G1901" i="8" s="1"/>
  <c r="H1901" i="8" s="1"/>
  <c r="F1799" i="8"/>
  <c r="G1799" i="8" s="1"/>
  <c r="H1799" i="8" s="1"/>
  <c r="F1758" i="8"/>
  <c r="G1758" i="8" s="1"/>
  <c r="H1758" i="8" s="1"/>
  <c r="F1748" i="8"/>
  <c r="G1748" i="8" s="1"/>
  <c r="H1748" i="8" s="1"/>
  <c r="F1701" i="8"/>
  <c r="G1701" i="8" s="1"/>
  <c r="H1701" i="8" s="1"/>
  <c r="F1544" i="8"/>
  <c r="G1544" i="8" s="1"/>
  <c r="H1544" i="8" s="1"/>
  <c r="F1221" i="8"/>
  <c r="G1221" i="8" s="1"/>
  <c r="H1221" i="8" s="1"/>
  <c r="F1184" i="8"/>
  <c r="G1184" i="8" s="1"/>
  <c r="H1184" i="8" s="1"/>
  <c r="F1162" i="8"/>
  <c r="G1162" i="8" s="1"/>
  <c r="H1162" i="8" s="1"/>
  <c r="F1128" i="8"/>
  <c r="G1128" i="8" s="1"/>
  <c r="H1128" i="8" s="1"/>
  <c r="F1045" i="8"/>
  <c r="G1045" i="8" s="1"/>
  <c r="H1045" i="8" s="1"/>
  <c r="F1028" i="8"/>
  <c r="G1028" i="8" s="1"/>
  <c r="H1028" i="8" s="1"/>
  <c r="F1007" i="8"/>
  <c r="G1007" i="8" s="1"/>
  <c r="H1007" i="8" s="1"/>
  <c r="F941" i="8"/>
  <c r="G941" i="8" s="1"/>
  <c r="H941" i="8" s="1"/>
  <c r="F924" i="8"/>
  <c r="G924" i="8" s="1"/>
  <c r="H924" i="8" s="1"/>
  <c r="F907" i="8"/>
  <c r="G907" i="8" s="1"/>
  <c r="H907" i="8" s="1"/>
  <c r="F580" i="8"/>
  <c r="G580" i="8" s="1"/>
  <c r="H580" i="8" s="1"/>
  <c r="F487" i="8"/>
  <c r="G487" i="8" s="1"/>
  <c r="H487" i="8" s="1"/>
  <c r="F425" i="8"/>
  <c r="G425" i="8" s="1"/>
  <c r="H425" i="8" s="1"/>
  <c r="F420" i="8"/>
  <c r="G420" i="8" s="1"/>
  <c r="H420" i="8" s="1"/>
  <c r="F161" i="8"/>
  <c r="G161" i="8" s="1"/>
  <c r="H161" i="8" s="1"/>
  <c r="F68" i="8"/>
  <c r="G68" i="8" s="1"/>
  <c r="H68" i="8" s="1"/>
  <c r="F1346" i="8"/>
  <c r="G1346" i="8" s="1"/>
  <c r="H1346" i="8" s="1"/>
  <c r="F1329" i="8"/>
  <c r="G1329" i="8" s="1"/>
  <c r="H1329" i="8" s="1"/>
  <c r="F2046" i="8"/>
  <c r="G2046" i="8" s="1"/>
  <c r="H2046" i="8" s="1"/>
  <c r="F1788" i="8"/>
  <c r="G1788" i="8" s="1"/>
  <c r="H1788" i="8" s="1"/>
  <c r="F1696" i="8"/>
  <c r="G1696" i="8" s="1"/>
  <c r="H1696" i="8" s="1"/>
  <c r="F1641" i="8"/>
  <c r="G1641" i="8" s="1"/>
  <c r="H1641" i="8" s="1"/>
  <c r="F1624" i="8"/>
  <c r="G1624" i="8" s="1"/>
  <c r="H1624" i="8" s="1"/>
  <c r="F1315" i="8"/>
  <c r="G1315" i="8" s="1"/>
  <c r="H1315" i="8" s="1"/>
  <c r="F1262" i="8"/>
  <c r="G1262" i="8" s="1"/>
  <c r="H1262" i="8" s="1"/>
  <c r="F1050" i="8"/>
  <c r="G1050" i="8" s="1"/>
  <c r="H1050" i="8" s="1"/>
  <c r="F1022" i="8"/>
  <c r="G1022" i="8" s="1"/>
  <c r="H1022" i="8" s="1"/>
  <c r="F704" i="8"/>
  <c r="G704" i="8" s="1"/>
  <c r="H704" i="8" s="1"/>
  <c r="F669" i="8"/>
  <c r="G669" i="8" s="1"/>
  <c r="H669" i="8" s="1"/>
  <c r="F193" i="8"/>
  <c r="G193" i="8" s="1"/>
  <c r="H193" i="8" s="1"/>
  <c r="F166" i="8"/>
  <c r="G166" i="8" s="1"/>
  <c r="H166" i="8" s="1"/>
  <c r="F133" i="8"/>
  <c r="G133" i="8" s="1"/>
  <c r="H133" i="8" s="1"/>
  <c r="F84" i="8"/>
  <c r="G84" i="8" s="1"/>
  <c r="H84" i="8" s="1"/>
  <c r="F2024" i="8"/>
  <c r="G2024" i="8" s="1"/>
  <c r="H2024" i="8" s="1"/>
  <c r="F1993" i="8"/>
  <c r="G1993" i="8" s="1"/>
  <c r="H1993" i="8" s="1"/>
  <c r="F1895" i="8"/>
  <c r="G1895" i="8" s="1"/>
  <c r="H1895" i="8" s="1"/>
  <c r="F1808" i="8"/>
  <c r="G1808" i="8" s="1"/>
  <c r="H1808" i="8" s="1"/>
  <c r="F1782" i="8"/>
  <c r="G1782" i="8" s="1"/>
  <c r="H1782" i="8" s="1"/>
  <c r="F1710" i="8"/>
  <c r="G1710" i="8" s="1"/>
  <c r="H1710" i="8" s="1"/>
  <c r="F1690" i="8"/>
  <c r="G1690" i="8" s="1"/>
  <c r="H1690" i="8" s="1"/>
  <c r="F1663" i="8"/>
  <c r="G1663" i="8" s="1"/>
  <c r="H1663" i="8" s="1"/>
  <c r="F1652" i="8"/>
  <c r="G1652" i="8" s="1"/>
  <c r="H1652" i="8" s="1"/>
  <c r="F1410" i="8"/>
  <c r="G1410" i="8" s="1"/>
  <c r="H1410" i="8" s="1"/>
  <c r="F1376" i="8"/>
  <c r="G1376" i="8" s="1"/>
  <c r="H1376" i="8" s="1"/>
  <c r="F1267" i="8"/>
  <c r="G1267" i="8" s="1"/>
  <c r="H1267" i="8" s="1"/>
  <c r="F1257" i="8"/>
  <c r="G1257" i="8" s="1"/>
  <c r="H1257" i="8" s="1"/>
  <c r="F1240" i="8"/>
  <c r="G1240" i="8" s="1"/>
  <c r="H1240" i="8" s="1"/>
  <c r="F1198" i="8"/>
  <c r="G1198" i="8" s="1"/>
  <c r="H1198" i="8" s="1"/>
  <c r="F1081" i="8"/>
  <c r="G1081" i="8" s="1"/>
  <c r="H1081" i="8" s="1"/>
  <c r="F680" i="8"/>
  <c r="G680" i="8" s="1"/>
  <c r="H680" i="8" s="1"/>
  <c r="F653" i="8"/>
  <c r="G653" i="8" s="1"/>
  <c r="H653" i="8" s="1"/>
  <c r="F647" i="8"/>
  <c r="G647" i="8" s="1"/>
  <c r="H647" i="8" s="1"/>
  <c r="F252" i="8"/>
  <c r="G252" i="8" s="1"/>
  <c r="H252" i="8" s="1"/>
  <c r="F719" i="8"/>
  <c r="G719" i="8" s="1"/>
  <c r="H719" i="8" s="1"/>
  <c r="F506" i="8"/>
  <c r="G506" i="8" s="1"/>
  <c r="H506" i="8" s="1"/>
  <c r="F261" i="8"/>
  <c r="G261" i="8" s="1"/>
  <c r="H261" i="8" s="1"/>
  <c r="F228" i="8"/>
  <c r="G228" i="8" s="1"/>
  <c r="H228" i="8" s="1"/>
  <c r="F54" i="8"/>
  <c r="G54" i="8" s="1"/>
  <c r="H54" i="8" s="1"/>
  <c r="F2114" i="8"/>
  <c r="G2114" i="8" s="1"/>
  <c r="H2114" i="8" s="1"/>
  <c r="F2084" i="8"/>
  <c r="G2084" i="8" s="1"/>
  <c r="H2084" i="8" s="1"/>
  <c r="F1919" i="8"/>
  <c r="G1919" i="8" s="1"/>
  <c r="H1919" i="8" s="1"/>
  <c r="F1380" i="8"/>
  <c r="G1380" i="8" s="1"/>
  <c r="H1380" i="8" s="1"/>
  <c r="F1164" i="8"/>
  <c r="G1164" i="8" s="1"/>
  <c r="H1164" i="8" s="1"/>
  <c r="F1775" i="8"/>
  <c r="G1775" i="8" s="1"/>
  <c r="H1775" i="8" s="1"/>
  <c r="F1457" i="8"/>
  <c r="G1457" i="8" s="1"/>
  <c r="H1457" i="8" s="1"/>
  <c r="F871" i="8"/>
  <c r="G871" i="8" s="1"/>
  <c r="H871" i="8" s="1"/>
  <c r="F405" i="8"/>
  <c r="G405" i="8" s="1"/>
  <c r="H405" i="8" s="1"/>
  <c r="F395" i="8"/>
  <c r="G395" i="8" s="1"/>
  <c r="H395" i="8" s="1"/>
  <c r="F1986" i="8"/>
  <c r="G1986" i="8" s="1"/>
  <c r="H1986" i="8" s="1"/>
  <c r="F1966" i="8"/>
  <c r="G1966" i="8" s="1"/>
  <c r="H1966" i="8" s="1"/>
  <c r="F1952" i="8"/>
  <c r="G1952" i="8" s="1"/>
  <c r="H1952" i="8" s="1"/>
  <c r="F1738" i="8"/>
  <c r="G1738" i="8" s="1"/>
  <c r="H1738" i="8" s="1"/>
  <c r="F1713" i="8"/>
  <c r="G1713" i="8" s="1"/>
  <c r="H1713" i="8" s="1"/>
  <c r="F1401" i="8"/>
  <c r="G1401" i="8" s="1"/>
  <c r="H1401" i="8" s="1"/>
  <c r="G1362" i="8"/>
  <c r="H1362" i="8" s="1"/>
  <c r="F415" i="8"/>
  <c r="G415" i="8" s="1"/>
  <c r="H415" i="8" s="1"/>
  <c r="F1920" i="8"/>
  <c r="G1920" i="8" s="1"/>
  <c r="H1920" i="8" s="1"/>
  <c r="F1824" i="8"/>
  <c r="G1824" i="8" s="1"/>
  <c r="H1824" i="8" s="1"/>
  <c r="F1725" i="8"/>
  <c r="G1725" i="8" s="1"/>
  <c r="H1725" i="8" s="1"/>
  <c r="F223" i="8"/>
  <c r="G223" i="8" s="1"/>
  <c r="H223" i="8" s="1"/>
  <c r="F2050" i="8"/>
  <c r="G2050" i="8" s="1"/>
  <c r="H2050" i="8" s="1"/>
  <c r="F2028" i="8"/>
  <c r="G2028" i="8" s="1"/>
  <c r="H2028" i="8" s="1"/>
  <c r="F1910" i="8"/>
  <c r="G1910" i="8" s="1"/>
  <c r="H1910" i="8" s="1"/>
  <c r="F1662" i="8"/>
  <c r="G1662" i="8" s="1"/>
  <c r="H1662" i="8" s="1"/>
  <c r="F1651" i="8"/>
  <c r="G1651" i="8" s="1"/>
  <c r="H1651" i="8" s="1"/>
  <c r="F1426" i="8"/>
  <c r="G1426" i="8" s="1"/>
  <c r="H1426" i="8" s="1"/>
  <c r="F1392" i="8"/>
  <c r="G1392" i="8" s="1"/>
  <c r="H1392" i="8" s="1"/>
  <c r="F1342" i="8"/>
  <c r="G1342" i="8" s="1"/>
  <c r="H1342" i="8" s="1"/>
  <c r="F1325" i="8"/>
  <c r="G1325" i="8" s="1"/>
  <c r="H1325" i="8" s="1"/>
  <c r="F1287" i="8"/>
  <c r="G1287" i="8" s="1"/>
  <c r="H1287" i="8" s="1"/>
  <c r="F1159" i="8"/>
  <c r="G1159" i="8" s="1"/>
  <c r="H1159" i="8" s="1"/>
  <c r="F861" i="8"/>
  <c r="G861" i="8" s="1"/>
  <c r="H861" i="8" s="1"/>
  <c r="F799" i="8"/>
  <c r="G799" i="8" s="1"/>
  <c r="H799" i="8" s="1"/>
  <c r="F714" i="8"/>
  <c r="G714" i="8" s="1"/>
  <c r="H714" i="8" s="1"/>
  <c r="F589" i="8"/>
  <c r="G589" i="8" s="1"/>
  <c r="H589" i="8" s="1"/>
  <c r="F552" i="8"/>
  <c r="G552" i="8" s="1"/>
  <c r="H552" i="8" s="1"/>
  <c r="F317" i="8"/>
  <c r="G317" i="8" s="1"/>
  <c r="H317" i="8" s="1"/>
  <c r="F229" i="8"/>
  <c r="G229" i="8" s="1"/>
  <c r="H229" i="8" s="1"/>
  <c r="F1836" i="8"/>
  <c r="G1836" i="8" s="1"/>
  <c r="H1836" i="8" s="1"/>
  <c r="F1762" i="8"/>
  <c r="G1762" i="8" s="1"/>
  <c r="H1762" i="8" s="1"/>
  <c r="F1384" i="8"/>
  <c r="G1384" i="8" s="1"/>
  <c r="H1384" i="8" s="1"/>
  <c r="F951" i="8"/>
  <c r="G951" i="8" s="1"/>
  <c r="H951" i="8" s="1"/>
  <c r="F842" i="8"/>
  <c r="G842" i="8" s="1"/>
  <c r="H842" i="8" s="1"/>
  <c r="F629" i="8"/>
  <c r="G629" i="8" s="1"/>
  <c r="H629" i="8" s="1"/>
  <c r="F216" i="8"/>
  <c r="G216" i="8" s="1"/>
  <c r="H216" i="8" s="1"/>
  <c r="F1954" i="8"/>
  <c r="G1954" i="8" s="1"/>
  <c r="H1954" i="8" s="1"/>
  <c r="F1880" i="8"/>
  <c r="G1880" i="8" s="1"/>
  <c r="H1880" i="8" s="1"/>
  <c r="F1781" i="8"/>
  <c r="G1781" i="8" s="1"/>
  <c r="H1781" i="8" s="1"/>
  <c r="F1742" i="8"/>
  <c r="G1742" i="8" s="1"/>
  <c r="H1742" i="8" s="1"/>
  <c r="F1501" i="8"/>
  <c r="G1501" i="8" s="1"/>
  <c r="H1501" i="8" s="1"/>
  <c r="F1265" i="8"/>
  <c r="G1265" i="8" s="1"/>
  <c r="H1265" i="8" s="1"/>
  <c r="F1155" i="8"/>
  <c r="G1155" i="8" s="1"/>
  <c r="H1155" i="8" s="1"/>
  <c r="F2090" i="8"/>
  <c r="G2090" i="8" s="1"/>
  <c r="H2090" i="8" s="1"/>
  <c r="F2026" i="8"/>
  <c r="G2026" i="8" s="1"/>
  <c r="H2026" i="8" s="1"/>
  <c r="F1917" i="8"/>
  <c r="G1917" i="8" s="1"/>
  <c r="H1917" i="8" s="1"/>
  <c r="F1912" i="8"/>
  <c r="G1912" i="8" s="1"/>
  <c r="H1912" i="8" s="1"/>
  <c r="F1893" i="8"/>
  <c r="G1893" i="8" s="1"/>
  <c r="H1893" i="8" s="1"/>
  <c r="F1844" i="8"/>
  <c r="G1844" i="8" s="1"/>
  <c r="H1844" i="8" s="1"/>
  <c r="F1810" i="8"/>
  <c r="G1810" i="8" s="1"/>
  <c r="H1810" i="8" s="1"/>
  <c r="F1776" i="8"/>
  <c r="G1776" i="8" s="1"/>
  <c r="H1776" i="8" s="1"/>
  <c r="F1670" i="8"/>
  <c r="G1670" i="8" s="1"/>
  <c r="H1670" i="8" s="1"/>
  <c r="F1612" i="8"/>
  <c r="G1612" i="8" s="1"/>
  <c r="H1612" i="8" s="1"/>
  <c r="F1542" i="8"/>
  <c r="G1542" i="8" s="1"/>
  <c r="H1542" i="8" s="1"/>
  <c r="F1394" i="8"/>
  <c r="G1394" i="8" s="1"/>
  <c r="H1394" i="8" s="1"/>
  <c r="F1339" i="8"/>
  <c r="G1339" i="8" s="1"/>
  <c r="H1339" i="8" s="1"/>
  <c r="F1327" i="8"/>
  <c r="G1327" i="8" s="1"/>
  <c r="H1327" i="8" s="1"/>
  <c r="F1259" i="8"/>
  <c r="G1259" i="8" s="1"/>
  <c r="H1259" i="8" s="1"/>
  <c r="F1243" i="8"/>
  <c r="G1243" i="8" s="1"/>
  <c r="H1243" i="8" s="1"/>
  <c r="F1154" i="8"/>
  <c r="G1154" i="8" s="1"/>
  <c r="H1154" i="8" s="1"/>
  <c r="F1109" i="8"/>
  <c r="G1109" i="8" s="1"/>
  <c r="H1109" i="8" s="1"/>
  <c r="F927" i="8"/>
  <c r="G927" i="8" s="1"/>
  <c r="H927" i="8" s="1"/>
  <c r="F677" i="8"/>
  <c r="G677" i="8" s="1"/>
  <c r="H677" i="8" s="1"/>
  <c r="F599" i="8"/>
  <c r="G599" i="8" s="1"/>
  <c r="H599" i="8" s="1"/>
  <c r="F412" i="8"/>
  <c r="G412" i="8" s="1"/>
  <c r="H412" i="8" s="1"/>
  <c r="F324" i="8"/>
  <c r="G324" i="8" s="1"/>
  <c r="H324" i="8" s="1"/>
  <c r="F200" i="8"/>
  <c r="G200" i="8" s="1"/>
  <c r="H200" i="8" s="1"/>
  <c r="F179" i="8"/>
  <c r="G179" i="8" s="1"/>
  <c r="H179" i="8" s="1"/>
  <c r="F1908" i="8"/>
  <c r="G1908" i="8" s="1"/>
  <c r="H1908" i="8" s="1"/>
  <c r="F1628" i="8"/>
  <c r="G1628" i="8" s="1"/>
  <c r="H1628" i="8" s="1"/>
  <c r="F2080" i="8"/>
  <c r="G2080" i="8" s="1"/>
  <c r="H2080" i="8" s="1"/>
  <c r="F2020" i="8"/>
  <c r="G2020" i="8" s="1"/>
  <c r="H2020" i="8" s="1"/>
  <c r="F2000" i="8"/>
  <c r="G2000" i="8" s="1"/>
  <c r="H2000" i="8" s="1"/>
  <c r="F1940" i="8"/>
  <c r="G1940" i="8" s="1"/>
  <c r="H1940" i="8" s="1"/>
  <c r="F1852" i="8"/>
  <c r="G1852" i="8" s="1"/>
  <c r="H1852" i="8" s="1"/>
  <c r="F1834" i="8"/>
  <c r="G1834" i="8" s="1"/>
  <c r="H1834" i="8" s="1"/>
  <c r="F1760" i="8"/>
  <c r="G1760" i="8" s="1"/>
  <c r="H1760" i="8" s="1"/>
  <c r="F1730" i="8"/>
  <c r="G1730" i="8" s="1"/>
  <c r="H1730" i="8" s="1"/>
  <c r="F1674" i="8"/>
  <c r="G1674" i="8" s="1"/>
  <c r="H1674" i="8" s="1"/>
  <c r="F1580" i="8"/>
  <c r="G1580" i="8" s="1"/>
  <c r="H1580" i="8" s="1"/>
  <c r="F1500" i="8"/>
  <c r="G1500" i="8" s="1"/>
  <c r="H1500" i="8" s="1"/>
  <c r="F1480" i="8"/>
  <c r="G1480" i="8" s="1"/>
  <c r="H1480" i="8" s="1"/>
  <c r="F1343" i="8"/>
  <c r="G1343" i="8" s="1"/>
  <c r="H1343" i="8" s="1"/>
  <c r="F1338" i="8"/>
  <c r="G1338" i="8" s="1"/>
  <c r="H1338" i="8" s="1"/>
  <c r="F1300" i="8"/>
  <c r="G1300" i="8" s="1"/>
  <c r="H1300" i="8" s="1"/>
  <c r="F1237" i="8"/>
  <c r="G1237" i="8" s="1"/>
  <c r="H1237" i="8" s="1"/>
  <c r="F1131" i="8"/>
  <c r="G1131" i="8" s="1"/>
  <c r="H1131" i="8" s="1"/>
  <c r="F1008" i="8"/>
  <c r="G1008" i="8" s="1"/>
  <c r="H1008" i="8" s="1"/>
  <c r="F889" i="8"/>
  <c r="G889" i="8" s="1"/>
  <c r="H889" i="8" s="1"/>
  <c r="F884" i="8"/>
  <c r="G884" i="8" s="1"/>
  <c r="H884" i="8" s="1"/>
  <c r="F516" i="8"/>
  <c r="G516" i="8" s="1"/>
  <c r="H516" i="8" s="1"/>
  <c r="F467" i="8"/>
  <c r="G467" i="8" s="1"/>
  <c r="H467" i="8" s="1"/>
  <c r="F461" i="8"/>
  <c r="G461" i="8" s="1"/>
  <c r="H461" i="8" s="1"/>
  <c r="F386" i="8"/>
  <c r="G386" i="8" s="1"/>
  <c r="H386" i="8" s="1"/>
  <c r="F285" i="8"/>
  <c r="G285" i="8" s="1"/>
  <c r="H285" i="8" s="1"/>
  <c r="F280" i="8"/>
  <c r="G280" i="8" s="1"/>
  <c r="H280" i="8" s="1"/>
  <c r="F230" i="8"/>
  <c r="G230" i="8" s="1"/>
  <c r="H230" i="8" s="1"/>
  <c r="F199" i="8"/>
  <c r="G199" i="8" s="1"/>
  <c r="H199" i="8" s="1"/>
  <c r="F92" i="8"/>
  <c r="G92" i="8" s="1"/>
  <c r="H92" i="8" s="1"/>
  <c r="F65" i="8"/>
  <c r="G65" i="8" s="1"/>
  <c r="H65" i="8" s="1"/>
  <c r="F2012" i="8"/>
  <c r="G2012" i="8" s="1"/>
  <c r="H2012" i="8" s="1"/>
  <c r="F1805" i="8"/>
  <c r="G1805" i="8" s="1"/>
  <c r="H1805" i="8" s="1"/>
  <c r="F2052" i="8"/>
  <c r="G2052" i="8" s="1"/>
  <c r="H2052" i="8" s="1"/>
  <c r="F1882" i="8"/>
  <c r="G1882" i="8" s="1"/>
  <c r="H1882" i="8" s="1"/>
  <c r="F1838" i="8"/>
  <c r="G1838" i="8" s="1"/>
  <c r="H1838" i="8" s="1"/>
  <c r="F1764" i="8"/>
  <c r="G1764" i="8" s="1"/>
  <c r="H1764" i="8" s="1"/>
  <c r="F1494" i="8"/>
  <c r="G1494" i="8" s="1"/>
  <c r="H1494" i="8" s="1"/>
  <c r="F201" i="8"/>
  <c r="G201" i="8" s="1"/>
  <c r="H201" i="8" s="1"/>
  <c r="F787" i="8"/>
  <c r="G787" i="8" s="1"/>
  <c r="H787" i="8" s="1"/>
  <c r="F2106" i="8"/>
  <c r="G2106" i="8" s="1"/>
  <c r="H2106" i="8" s="1"/>
  <c r="F2034" i="8"/>
  <c r="G2034" i="8" s="1"/>
  <c r="H2034" i="8" s="1"/>
  <c r="F1653" i="8"/>
  <c r="G1653" i="8" s="1"/>
  <c r="H1653" i="8" s="1"/>
  <c r="F1061" i="8"/>
  <c r="G1061" i="8" s="1"/>
  <c r="H1061" i="8" s="1"/>
  <c r="F1858" i="8"/>
  <c r="G1858" i="8" s="1"/>
  <c r="H1858" i="8" s="1"/>
  <c r="F2038" i="8"/>
  <c r="G2038" i="8" s="1"/>
  <c r="H2038" i="8" s="1"/>
  <c r="F1974" i="8"/>
  <c r="G1974" i="8" s="1"/>
  <c r="H1974" i="8" s="1"/>
  <c r="F1862" i="8"/>
  <c r="G1862" i="8" s="1"/>
  <c r="H1862" i="8" s="1"/>
  <c r="F1727" i="8"/>
  <c r="G1727" i="8" s="1"/>
  <c r="H1727" i="8" s="1"/>
  <c r="F1997" i="8"/>
  <c r="G1997" i="8" s="1"/>
  <c r="H1997" i="8" s="1"/>
  <c r="F2110" i="8"/>
  <c r="G2110" i="8" s="1"/>
  <c r="H2110" i="8" s="1"/>
  <c r="F1866" i="8"/>
  <c r="G1866" i="8" s="1"/>
  <c r="H1866" i="8" s="1"/>
  <c r="F1528" i="8"/>
  <c r="G1528" i="8" s="1"/>
  <c r="H1528" i="8" s="1"/>
  <c r="F1303" i="8"/>
  <c r="G1303" i="8" s="1"/>
  <c r="H1303" i="8" s="1"/>
  <c r="F1111" i="8"/>
  <c r="G1111" i="8" s="1"/>
  <c r="H1111" i="8" s="1"/>
  <c r="F659" i="8"/>
  <c r="G659" i="8" s="1"/>
  <c r="H659" i="8" s="1"/>
  <c r="F312" i="8"/>
  <c r="G312" i="8" s="1"/>
  <c r="H312" i="8" s="1"/>
  <c r="F1886" i="8"/>
  <c r="G1886" i="8" s="1"/>
  <c r="H1886" i="8" s="1"/>
  <c r="F674" i="8"/>
  <c r="G674" i="8" s="1"/>
  <c r="H674" i="8" s="1"/>
  <c r="F575" i="8"/>
  <c r="G575" i="8" s="1"/>
  <c r="H575" i="8" s="1"/>
  <c r="F1620" i="8"/>
  <c r="G1620" i="8" s="1"/>
  <c r="H1620" i="8" s="1"/>
  <c r="F2040" i="8"/>
  <c r="G2040" i="8" s="1"/>
  <c r="H2040" i="8" s="1"/>
  <c r="F1973" i="8"/>
  <c r="G1973" i="8" s="1"/>
  <c r="H1973" i="8" s="1"/>
  <c r="F2022" i="8"/>
  <c r="G2022" i="8" s="1"/>
  <c r="H2022" i="8" s="1"/>
  <c r="F1790" i="8"/>
  <c r="G1790" i="8" s="1"/>
  <c r="H1790" i="8" s="1"/>
  <c r="F1726" i="8"/>
  <c r="G1726" i="8" s="1"/>
  <c r="H1726" i="8" s="1"/>
  <c r="F1639" i="8"/>
  <c r="G1639" i="8" s="1"/>
  <c r="H1639" i="8" s="1"/>
  <c r="F770" i="8"/>
  <c r="G770" i="8" s="1"/>
  <c r="H770" i="8" s="1"/>
  <c r="F1902" i="8"/>
  <c r="G1902" i="8" s="1"/>
  <c r="H1902" i="8" s="1"/>
  <c r="F1823" i="8"/>
  <c r="G1823" i="8" s="1"/>
  <c r="H1823" i="8" s="1"/>
  <c r="F1802" i="8"/>
  <c r="G1802" i="8" s="1"/>
  <c r="H1802" i="8" s="1"/>
  <c r="F1784" i="8"/>
  <c r="G1784" i="8" s="1"/>
  <c r="H1784" i="8" s="1"/>
  <c r="F1400" i="8"/>
  <c r="G1400" i="8" s="1"/>
  <c r="H1400" i="8" s="1"/>
  <c r="F2058" i="8"/>
  <c r="G2058" i="8" s="1"/>
  <c r="H2058" i="8" s="1"/>
  <c r="F1948" i="8"/>
  <c r="G1948" i="8" s="1"/>
  <c r="H1948" i="8" s="1"/>
  <c r="F1936" i="8"/>
  <c r="G1936" i="8" s="1"/>
  <c r="H1936" i="8" s="1"/>
  <c r="F1868" i="8"/>
  <c r="G1868" i="8" s="1"/>
  <c r="H1868" i="8" s="1"/>
  <c r="F1699" i="8"/>
  <c r="G1699" i="8" s="1"/>
  <c r="H1699" i="8" s="1"/>
  <c r="F1464" i="8"/>
  <c r="G1464" i="8" s="1"/>
  <c r="H1464" i="8" s="1"/>
  <c r="F1058" i="8"/>
  <c r="G1058" i="8" s="1"/>
  <c r="H1058" i="8" s="1"/>
  <c r="F564" i="8"/>
  <c r="G564" i="8" s="1"/>
  <c r="H564" i="8" s="1"/>
  <c r="F526" i="8"/>
  <c r="G526" i="8" s="1"/>
  <c r="H526" i="8" s="1"/>
  <c r="F83" i="8"/>
  <c r="G83" i="8" s="1"/>
  <c r="H83" i="8" s="1"/>
  <c r="F1551" i="8"/>
  <c r="G1551" i="8" s="1"/>
  <c r="H1551" i="8" s="1"/>
  <c r="F517" i="8"/>
  <c r="G517" i="8" s="1"/>
  <c r="H517" i="8" s="1"/>
  <c r="F1638" i="8"/>
  <c r="G1638" i="8" s="1"/>
  <c r="H1638" i="8" s="1"/>
  <c r="F471" i="8"/>
  <c r="G471" i="8" s="1"/>
  <c r="H471" i="8" s="1"/>
  <c r="F642" i="8"/>
  <c r="G642" i="8" s="1"/>
  <c r="H642" i="8" s="1"/>
  <c r="F718" i="8"/>
  <c r="G718" i="8" s="1"/>
  <c r="H718" i="8" s="1"/>
  <c r="F1565" i="8"/>
  <c r="G1565" i="8" s="1"/>
  <c r="H1565" i="8" s="1"/>
  <c r="F256" i="8"/>
  <c r="G256" i="8" s="1"/>
  <c r="H256" i="8" s="1"/>
  <c r="F88" i="8"/>
  <c r="G88" i="8" s="1"/>
  <c r="H88" i="8" s="1"/>
  <c r="F1967" i="8"/>
  <c r="G1967" i="8" s="1"/>
  <c r="H1967" i="8" s="1"/>
  <c r="F1943" i="8"/>
  <c r="G1943" i="8" s="1"/>
  <c r="H1943" i="8" s="1"/>
  <c r="F1830" i="8"/>
  <c r="G1830" i="8" s="1"/>
  <c r="H1830" i="8" s="1"/>
  <c r="F1796" i="8"/>
  <c r="G1796" i="8" s="1"/>
  <c r="H1796" i="8" s="1"/>
  <c r="F1720" i="8"/>
  <c r="G1720" i="8" s="1"/>
  <c r="H1720" i="8" s="1"/>
  <c r="F1648" i="8"/>
  <c r="G1648" i="8" s="1"/>
  <c r="H1648" i="8" s="1"/>
  <c r="F1361" i="8"/>
  <c r="G1361" i="8" s="1"/>
  <c r="H1361" i="8" s="1"/>
  <c r="F2078" i="8"/>
  <c r="G2078" i="8" s="1"/>
  <c r="H2078" i="8" s="1"/>
  <c r="F1980" i="8"/>
  <c r="G1980" i="8" s="1"/>
  <c r="H1980" i="8" s="1"/>
  <c r="F1950" i="8"/>
  <c r="G1950" i="8" s="1"/>
  <c r="H1950" i="8" s="1"/>
  <c r="F1946" i="8"/>
  <c r="G1946" i="8" s="1"/>
  <c r="H1946" i="8" s="1"/>
  <c r="F1918" i="8"/>
  <c r="G1918" i="8" s="1"/>
  <c r="H1918" i="8" s="1"/>
  <c r="F1854" i="8"/>
  <c r="G1854" i="8" s="1"/>
  <c r="H1854" i="8" s="1"/>
  <c r="F1756" i="8"/>
  <c r="G1756" i="8" s="1"/>
  <c r="H1756" i="8" s="1"/>
  <c r="F1733" i="8"/>
  <c r="G1733" i="8" s="1"/>
  <c r="H1733" i="8" s="1"/>
  <c r="F1728" i="8"/>
  <c r="G1728" i="8" s="1"/>
  <c r="H1728" i="8" s="1"/>
  <c r="F1642" i="8"/>
  <c r="G1642" i="8" s="1"/>
  <c r="H1642" i="8" s="1"/>
  <c r="F1622" i="8"/>
  <c r="G1622" i="8" s="1"/>
  <c r="H1622" i="8" s="1"/>
  <c r="F1606" i="8"/>
  <c r="G1606" i="8" s="1"/>
  <c r="H1606" i="8" s="1"/>
  <c r="F1533" i="8"/>
  <c r="G1533" i="8" s="1"/>
  <c r="H1533" i="8" s="1"/>
  <c r="F1472" i="8"/>
  <c r="G1472" i="8" s="1"/>
  <c r="H1472" i="8" s="1"/>
  <c r="F1246" i="8"/>
  <c r="G1246" i="8" s="1"/>
  <c r="H1246" i="8" s="1"/>
  <c r="F1176" i="8"/>
  <c r="G1176" i="8" s="1"/>
  <c r="H1176" i="8" s="1"/>
  <c r="F1086" i="8"/>
  <c r="G1086" i="8" s="1"/>
  <c r="H1086" i="8" s="1"/>
  <c r="F969" i="8"/>
  <c r="G969" i="8" s="1"/>
  <c r="H969" i="8" s="1"/>
  <c r="F827" i="8"/>
  <c r="G827" i="8" s="1"/>
  <c r="H827" i="8" s="1"/>
  <c r="F328" i="8"/>
  <c r="G328" i="8" s="1"/>
  <c r="H328" i="8" s="1"/>
  <c r="F281" i="8"/>
  <c r="G281" i="8" s="1"/>
  <c r="H281" i="8" s="1"/>
  <c r="F134" i="8"/>
  <c r="G134" i="8" s="1"/>
  <c r="H134" i="8" s="1"/>
  <c r="F2056" i="8"/>
  <c r="G2056" i="8" s="1"/>
  <c r="H2056" i="8" s="1"/>
  <c r="F1984" i="8"/>
  <c r="G1984" i="8" s="1"/>
  <c r="H1984" i="8" s="1"/>
  <c r="F1921" i="8"/>
  <c r="G1921" i="8" s="1"/>
  <c r="H1921" i="8" s="1"/>
  <c r="F1850" i="8"/>
  <c r="G1850" i="8" s="1"/>
  <c r="H1850" i="8" s="1"/>
  <c r="F1825" i="8"/>
  <c r="G1825" i="8" s="1"/>
  <c r="H1825" i="8" s="1"/>
  <c r="F1777" i="8"/>
  <c r="G1777" i="8" s="1"/>
  <c r="H1777" i="8" s="1"/>
  <c r="F1578" i="8"/>
  <c r="G1578" i="8" s="1"/>
  <c r="H1578" i="8" s="1"/>
  <c r="F1414" i="8"/>
  <c r="G1414" i="8" s="1"/>
  <c r="H1414" i="8" s="1"/>
  <c r="F1333" i="8"/>
  <c r="G1333" i="8" s="1"/>
  <c r="H1333" i="8" s="1"/>
  <c r="F1312" i="8"/>
  <c r="G1312" i="8" s="1"/>
  <c r="H1312" i="8" s="1"/>
  <c r="F1166" i="8"/>
  <c r="G1166" i="8" s="1"/>
  <c r="H1166" i="8" s="1"/>
  <c r="F1160" i="8"/>
  <c r="G1160" i="8" s="1"/>
  <c r="H1160" i="8" s="1"/>
  <c r="F958" i="8"/>
  <c r="G958" i="8" s="1"/>
  <c r="H958" i="8" s="1"/>
  <c r="F626" i="8"/>
  <c r="G626" i="8" s="1"/>
  <c r="H626" i="8" s="1"/>
  <c r="F390" i="8"/>
  <c r="G390" i="8" s="1"/>
  <c r="H390" i="8" s="1"/>
  <c r="F118" i="8"/>
  <c r="G118" i="8" s="1"/>
  <c r="H118" i="8" s="1"/>
  <c r="F102" i="8"/>
  <c r="G102" i="8" s="1"/>
  <c r="H102" i="8" s="1"/>
  <c r="F61" i="8"/>
  <c r="G61" i="8" s="1"/>
  <c r="H61" i="8" s="1"/>
  <c r="F1564" i="8"/>
  <c r="G1564" i="8" s="1"/>
  <c r="H1564" i="8" s="1"/>
  <c r="F1550" i="8"/>
  <c r="G1550" i="8" s="1"/>
  <c r="H1550" i="8" s="1"/>
  <c r="F1474" i="8"/>
  <c r="G1474" i="8" s="1"/>
  <c r="H1474" i="8" s="1"/>
  <c r="F1418" i="8"/>
  <c r="G1418" i="8" s="1"/>
  <c r="H1418" i="8" s="1"/>
  <c r="F1398" i="8"/>
  <c r="G1398" i="8" s="1"/>
  <c r="H1398" i="8" s="1"/>
  <c r="F1368" i="8"/>
  <c r="G1368" i="8" s="1"/>
  <c r="H1368" i="8" s="1"/>
  <c r="F1345" i="8"/>
  <c r="G1345" i="8" s="1"/>
  <c r="H1345" i="8" s="1"/>
  <c r="F1254" i="8"/>
  <c r="G1254" i="8" s="1"/>
  <c r="H1254" i="8" s="1"/>
  <c r="F1244" i="8"/>
  <c r="G1244" i="8" s="1"/>
  <c r="H1244" i="8" s="1"/>
  <c r="F1163" i="8"/>
  <c r="G1163" i="8" s="1"/>
  <c r="H1163" i="8" s="1"/>
  <c r="F996" i="8"/>
  <c r="G996" i="8" s="1"/>
  <c r="H996" i="8" s="1"/>
  <c r="F971" i="8"/>
  <c r="G971" i="8" s="1"/>
  <c r="H971" i="8" s="1"/>
  <c r="F826" i="8"/>
  <c r="G826" i="8" s="1"/>
  <c r="H826" i="8" s="1"/>
  <c r="F764" i="8"/>
  <c r="G764" i="8" s="1"/>
  <c r="H764" i="8" s="1"/>
  <c r="F731" i="8"/>
  <c r="G731" i="8" s="1"/>
  <c r="H731" i="8" s="1"/>
  <c r="F716" i="8"/>
  <c r="G716" i="8" s="1"/>
  <c r="H716" i="8" s="1"/>
  <c r="F683" i="8"/>
  <c r="G683" i="8" s="1"/>
  <c r="H683" i="8" s="1"/>
  <c r="F667" i="8"/>
  <c r="G667" i="8" s="1"/>
  <c r="H667" i="8" s="1"/>
  <c r="F598" i="8"/>
  <c r="G598" i="8" s="1"/>
  <c r="H598" i="8" s="1"/>
  <c r="F442" i="8"/>
  <c r="G442" i="8" s="1"/>
  <c r="H442" i="8" s="1"/>
  <c r="F213" i="8"/>
  <c r="G213" i="8" s="1"/>
  <c r="H213" i="8" s="1"/>
  <c r="F148" i="8"/>
  <c r="G148" i="8" s="1"/>
  <c r="H148" i="8" s="1"/>
  <c r="F137" i="8"/>
  <c r="G137" i="8" s="1"/>
  <c r="H137" i="8" s="1"/>
  <c r="F122" i="8"/>
  <c r="G122" i="8" s="1"/>
  <c r="H122" i="8" s="1"/>
  <c r="F56" i="8"/>
  <c r="G56" i="8" s="1"/>
  <c r="H56" i="8" s="1"/>
  <c r="F2062" i="8"/>
  <c r="G2062" i="8" s="1"/>
  <c r="H2062" i="8" s="1"/>
  <c r="F2054" i="8"/>
  <c r="G2054" i="8" s="1"/>
  <c r="H2054" i="8" s="1"/>
  <c r="F1988" i="8"/>
  <c r="G1988" i="8" s="1"/>
  <c r="H1988" i="8" s="1"/>
  <c r="F1976" i="8"/>
  <c r="G1976" i="8" s="1"/>
  <c r="H1976" i="8" s="1"/>
  <c r="F1608" i="8"/>
  <c r="G1608" i="8" s="1"/>
  <c r="H1608" i="8" s="1"/>
  <c r="F1011" i="8"/>
  <c r="G1011" i="8" s="1"/>
  <c r="H1011" i="8" s="1"/>
  <c r="F878" i="8"/>
  <c r="G878" i="8" s="1"/>
  <c r="H878" i="8" s="1"/>
  <c r="F730" i="8"/>
  <c r="G730" i="8" s="1"/>
  <c r="H730" i="8" s="1"/>
  <c r="F715" i="8"/>
  <c r="G715" i="8" s="1"/>
  <c r="H715" i="8" s="1"/>
  <c r="F688" i="8"/>
  <c r="G688" i="8" s="1"/>
  <c r="H688" i="8" s="1"/>
  <c r="F489" i="8"/>
  <c r="G489" i="8" s="1"/>
  <c r="H489" i="8" s="1"/>
  <c r="F2108" i="8"/>
  <c r="G2108" i="8" s="1"/>
  <c r="H2108" i="8" s="1"/>
  <c r="F2066" i="8"/>
  <c r="G2066" i="8" s="1"/>
  <c r="H2066" i="8" s="1"/>
  <c r="F2036" i="8"/>
  <c r="G2036" i="8" s="1"/>
  <c r="H2036" i="8" s="1"/>
  <c r="F1964" i="8"/>
  <c r="G1964" i="8" s="1"/>
  <c r="H1964" i="8" s="1"/>
  <c r="F1941" i="8"/>
  <c r="G1941" i="8" s="1"/>
  <c r="H1941" i="8" s="1"/>
  <c r="F1904" i="8"/>
  <c r="G1904" i="8" s="1"/>
  <c r="H1904" i="8" s="1"/>
  <c r="F1878" i="8"/>
  <c r="G1878" i="8" s="1"/>
  <c r="H1878" i="8" s="1"/>
  <c r="F1874" i="8"/>
  <c r="G1874" i="8" s="1"/>
  <c r="H1874" i="8" s="1"/>
  <c r="F1820" i="8"/>
  <c r="G1820" i="8" s="1"/>
  <c r="H1820" i="8" s="1"/>
  <c r="F1750" i="8"/>
  <c r="G1750" i="8" s="1"/>
  <c r="H1750" i="8" s="1"/>
  <c r="F1692" i="8"/>
  <c r="G1692" i="8" s="1"/>
  <c r="H1692" i="8" s="1"/>
  <c r="F1654" i="8"/>
  <c r="G1654" i="8" s="1"/>
  <c r="H1654" i="8" s="1"/>
  <c r="F1646" i="8"/>
  <c r="G1646" i="8" s="1"/>
  <c r="H1646" i="8" s="1"/>
  <c r="F1599" i="8"/>
  <c r="G1599" i="8" s="1"/>
  <c r="H1599" i="8" s="1"/>
  <c r="F1573" i="8"/>
  <c r="G1573" i="8" s="1"/>
  <c r="H1573" i="8" s="1"/>
  <c r="F1465" i="8"/>
  <c r="G1465" i="8" s="1"/>
  <c r="H1465" i="8" s="1"/>
  <c r="F1372" i="8"/>
  <c r="G1372" i="8" s="1"/>
  <c r="H1372" i="8" s="1"/>
  <c r="F1296" i="8"/>
  <c r="G1296" i="8" s="1"/>
  <c r="H1296" i="8" s="1"/>
  <c r="F1074" i="8"/>
  <c r="G1074" i="8" s="1"/>
  <c r="H1074" i="8" s="1"/>
  <c r="F618" i="8"/>
  <c r="G618" i="8" s="1"/>
  <c r="H618" i="8" s="1"/>
  <c r="F607" i="8"/>
  <c r="G607" i="8" s="1"/>
  <c r="H607" i="8" s="1"/>
  <c r="F504" i="8"/>
  <c r="G504" i="8" s="1"/>
  <c r="H504" i="8" s="1"/>
  <c r="F436" i="8"/>
  <c r="G436" i="8" s="1"/>
  <c r="H436" i="8" s="1"/>
  <c r="F410" i="8"/>
  <c r="G410" i="8" s="1"/>
  <c r="H410" i="8" s="1"/>
  <c r="F380" i="8"/>
  <c r="G380" i="8" s="1"/>
  <c r="H380" i="8" s="1"/>
  <c r="F212" i="8"/>
  <c r="G212" i="8" s="1"/>
  <c r="H212" i="8" s="1"/>
  <c r="F168" i="8"/>
  <c r="G168" i="8" s="1"/>
  <c r="H168" i="8" s="1"/>
  <c r="F1898" i="8"/>
  <c r="G1898" i="8" s="1"/>
  <c r="H1898" i="8" s="1"/>
  <c r="F1806" i="8"/>
  <c r="G1806" i="8" s="1"/>
  <c r="H1806" i="8" s="1"/>
  <c r="F1729" i="8"/>
  <c r="G1729" i="8" s="1"/>
  <c r="H1729" i="8" s="1"/>
  <c r="F1495" i="8"/>
  <c r="G1495" i="8" s="1"/>
  <c r="H1495" i="8" s="1"/>
  <c r="F1366" i="8"/>
  <c r="G1366" i="8" s="1"/>
  <c r="H1366" i="8" s="1"/>
  <c r="F1247" i="8"/>
  <c r="G1247" i="8" s="1"/>
  <c r="H1247" i="8" s="1"/>
  <c r="F1172" i="8"/>
  <c r="G1172" i="8" s="1"/>
  <c r="H1172" i="8" s="1"/>
  <c r="F1078" i="8"/>
  <c r="G1078" i="8" s="1"/>
  <c r="H1078" i="8" s="1"/>
  <c r="F1069" i="8"/>
  <c r="G1069" i="8" s="1"/>
  <c r="H1069" i="8" s="1"/>
  <c r="F918" i="8"/>
  <c r="G918" i="8" s="1"/>
  <c r="H918" i="8" s="1"/>
  <c r="F773" i="8"/>
  <c r="G773" i="8" s="1"/>
  <c r="H773" i="8" s="1"/>
  <c r="F724" i="8"/>
  <c r="G724" i="8" s="1"/>
  <c r="H724" i="8" s="1"/>
  <c r="F430" i="8"/>
  <c r="G430" i="8" s="1"/>
  <c r="H430" i="8" s="1"/>
  <c r="F293" i="8"/>
  <c r="G293" i="8" s="1"/>
  <c r="H293" i="8" s="1"/>
  <c r="F120" i="8"/>
  <c r="G120" i="8" s="1"/>
  <c r="H120" i="8" s="1"/>
  <c r="F79" i="8"/>
  <c r="G79" i="8" s="1"/>
  <c r="H79" i="8" s="1"/>
  <c r="F49" i="8"/>
  <c r="G49" i="8" s="1"/>
  <c r="H49" i="8" s="1"/>
  <c r="F1640" i="8"/>
  <c r="G1640" i="8" s="1"/>
  <c r="H1640" i="8" s="1"/>
  <c r="F1616" i="8"/>
  <c r="G1616" i="8" s="1"/>
  <c r="H1616" i="8" s="1"/>
  <c r="F1586" i="8"/>
  <c r="G1586" i="8" s="1"/>
  <c r="H1586" i="8" s="1"/>
  <c r="F1576" i="8"/>
  <c r="G1576" i="8" s="1"/>
  <c r="H1576" i="8" s="1"/>
  <c r="F1567" i="8"/>
  <c r="G1567" i="8" s="1"/>
  <c r="H1567" i="8" s="1"/>
  <c r="F1548" i="8"/>
  <c r="G1548" i="8" s="1"/>
  <c r="H1548" i="8" s="1"/>
  <c r="F1526" i="8"/>
  <c r="G1526" i="8" s="1"/>
  <c r="H1526" i="8" s="1"/>
  <c r="F1490" i="8"/>
  <c r="G1490" i="8" s="1"/>
  <c r="H1490" i="8" s="1"/>
  <c r="F1435" i="8"/>
  <c r="G1435" i="8" s="1"/>
  <c r="H1435" i="8" s="1"/>
  <c r="F1382" i="8"/>
  <c r="G1382" i="8" s="1"/>
  <c r="H1382" i="8" s="1"/>
  <c r="F1200" i="8"/>
  <c r="G1200" i="8" s="1"/>
  <c r="H1200" i="8" s="1"/>
  <c r="F944" i="8"/>
  <c r="G944" i="8" s="1"/>
  <c r="H944" i="8" s="1"/>
  <c r="F882" i="8"/>
  <c r="G882" i="8" s="1"/>
  <c r="H882" i="8" s="1"/>
  <c r="F247" i="8"/>
  <c r="G247" i="8" s="1"/>
  <c r="H247" i="8" s="1"/>
  <c r="F211" i="8"/>
  <c r="G211" i="8" s="1"/>
  <c r="H211" i="8" s="1"/>
  <c r="F104" i="8"/>
  <c r="G104" i="8" s="1"/>
  <c r="H104" i="8" s="1"/>
  <c r="F1724" i="8"/>
  <c r="G1724" i="8" s="1"/>
  <c r="H1724" i="8" s="1"/>
  <c r="F1712" i="8"/>
  <c r="G1712" i="8" s="1"/>
  <c r="H1712" i="8" s="1"/>
  <c r="F1700" i="8"/>
  <c r="G1700" i="8" s="1"/>
  <c r="H1700" i="8" s="1"/>
  <c r="F1632" i="8"/>
  <c r="G1632" i="8" s="1"/>
  <c r="H1632" i="8" s="1"/>
  <c r="F1614" i="8"/>
  <c r="G1614" i="8" s="1"/>
  <c r="H1614" i="8" s="1"/>
  <c r="F1482" i="8"/>
  <c r="G1482" i="8" s="1"/>
  <c r="H1482" i="8" s="1"/>
  <c r="F1404" i="8"/>
  <c r="G1404" i="8" s="1"/>
  <c r="H1404" i="8" s="1"/>
  <c r="F1210" i="8"/>
  <c r="G1210" i="8" s="1"/>
  <c r="H1210" i="8" s="1"/>
  <c r="F1196" i="8"/>
  <c r="G1196" i="8" s="1"/>
  <c r="H1196" i="8" s="1"/>
  <c r="F1124" i="8"/>
  <c r="G1124" i="8" s="1"/>
  <c r="H1124" i="8" s="1"/>
  <c r="F1065" i="8"/>
  <c r="G1065" i="8" s="1"/>
  <c r="H1065" i="8" s="1"/>
  <c r="F1026" i="8"/>
  <c r="G1026" i="8" s="1"/>
  <c r="H1026" i="8" s="1"/>
  <c r="F952" i="8"/>
  <c r="G952" i="8" s="1"/>
  <c r="H952" i="8" s="1"/>
  <c r="F916" i="8"/>
  <c r="G916" i="8" s="1"/>
  <c r="H916" i="8" s="1"/>
  <c r="F895" i="8"/>
  <c r="G895" i="8" s="1"/>
  <c r="H895" i="8" s="1"/>
  <c r="F816" i="8"/>
  <c r="G816" i="8" s="1"/>
  <c r="H816" i="8" s="1"/>
  <c r="F796" i="8"/>
  <c r="G796" i="8" s="1"/>
  <c r="H796" i="8" s="1"/>
  <c r="F634" i="8"/>
  <c r="G634" i="8" s="1"/>
  <c r="H634" i="8" s="1"/>
  <c r="F588" i="8"/>
  <c r="G588" i="8" s="1"/>
  <c r="H588" i="8" s="1"/>
  <c r="F548" i="8"/>
  <c r="G548" i="8" s="1"/>
  <c r="H548" i="8" s="1"/>
  <c r="F384" i="8"/>
  <c r="G384" i="8" s="1"/>
  <c r="H384" i="8" s="1"/>
  <c r="F305" i="8"/>
  <c r="G305" i="8" s="1"/>
  <c r="H305" i="8" s="1"/>
  <c r="F167" i="8"/>
  <c r="G167" i="8" s="1"/>
  <c r="H167" i="8" s="1"/>
  <c r="F132" i="8"/>
  <c r="G132" i="8" s="1"/>
  <c r="H132" i="8" s="1"/>
  <c r="F53" i="8"/>
  <c r="G53" i="8" s="1"/>
  <c r="H53" i="8" s="1"/>
  <c r="F28" i="8"/>
  <c r="G28" i="8" s="1"/>
  <c r="H28" i="8" s="1"/>
  <c r="F157" i="8"/>
  <c r="G157" i="8" s="1"/>
  <c r="H157" i="8" s="1"/>
  <c r="F253" i="8"/>
  <c r="G253" i="8" s="1"/>
  <c r="H253" i="8" s="1"/>
  <c r="F248" i="8"/>
  <c r="G248" i="8" s="1"/>
  <c r="H248" i="8" s="1"/>
  <c r="F1594" i="8"/>
  <c r="G1594" i="8" s="1"/>
  <c r="H1594" i="8" s="1"/>
  <c r="F1425" i="8"/>
  <c r="G1425" i="8" s="1"/>
  <c r="H1425" i="8" s="1"/>
  <c r="F1420" i="8"/>
  <c r="G1420" i="8" s="1"/>
  <c r="H1420" i="8" s="1"/>
  <c r="F1412" i="8"/>
  <c r="G1412" i="8" s="1"/>
  <c r="H1412" i="8" s="1"/>
  <c r="F1302" i="8"/>
  <c r="G1302" i="8" s="1"/>
  <c r="H1302" i="8" s="1"/>
  <c r="F1293" i="8"/>
  <c r="G1293" i="8" s="1"/>
  <c r="H1293" i="8" s="1"/>
  <c r="F1233" i="8"/>
  <c r="G1233" i="8" s="1"/>
  <c r="H1233" i="8" s="1"/>
  <c r="F1118" i="8"/>
  <c r="G1118" i="8" s="1"/>
  <c r="H1118" i="8" s="1"/>
  <c r="F1104" i="8"/>
  <c r="G1104" i="8" s="1"/>
  <c r="H1104" i="8" s="1"/>
  <c r="F1033" i="8"/>
  <c r="G1033" i="8" s="1"/>
  <c r="H1033" i="8" s="1"/>
  <c r="F995" i="8"/>
  <c r="G995" i="8" s="1"/>
  <c r="H995" i="8" s="1"/>
  <c r="F967" i="8"/>
  <c r="G967" i="8" s="1"/>
  <c r="H967" i="8" s="1"/>
  <c r="F956" i="8"/>
  <c r="G956" i="8" s="1"/>
  <c r="H956" i="8" s="1"/>
  <c r="F931" i="8"/>
  <c r="G931" i="8" s="1"/>
  <c r="H931" i="8" s="1"/>
  <c r="F921" i="8"/>
  <c r="G921" i="8" s="1"/>
  <c r="H921" i="8" s="1"/>
  <c r="F896" i="8"/>
  <c r="G896" i="8" s="1"/>
  <c r="H896" i="8" s="1"/>
  <c r="F814" i="8"/>
  <c r="G814" i="8" s="1"/>
  <c r="H814" i="8" s="1"/>
  <c r="F630" i="8"/>
  <c r="G630" i="8" s="1"/>
  <c r="H630" i="8" s="1"/>
  <c r="F625" i="8"/>
  <c r="G625" i="8" s="1"/>
  <c r="H625" i="8" s="1"/>
  <c r="F586" i="8"/>
  <c r="G586" i="8" s="1"/>
  <c r="H586" i="8" s="1"/>
  <c r="F449" i="8"/>
  <c r="G449" i="8" s="1"/>
  <c r="H449" i="8" s="1"/>
  <c r="F444" i="8"/>
  <c r="G444" i="8" s="1"/>
  <c r="H444" i="8" s="1"/>
  <c r="F400" i="8"/>
  <c r="G400" i="8" s="1"/>
  <c r="H400" i="8" s="1"/>
  <c r="F367" i="8"/>
  <c r="G367" i="8" s="1"/>
  <c r="H367" i="8" s="1"/>
  <c r="F346" i="8"/>
  <c r="G346" i="8" s="1"/>
  <c r="H346" i="8" s="1"/>
  <c r="F341" i="8"/>
  <c r="G341" i="8" s="1"/>
  <c r="H341" i="8" s="1"/>
  <c r="F319" i="8"/>
  <c r="G319" i="8" s="1"/>
  <c r="H319" i="8" s="1"/>
  <c r="F294" i="8"/>
  <c r="G294" i="8" s="1"/>
  <c r="H294" i="8" s="1"/>
  <c r="F275" i="8"/>
  <c r="G275" i="8" s="1"/>
  <c r="H275" i="8" s="1"/>
  <c r="F131" i="8"/>
  <c r="G131" i="8" s="1"/>
  <c r="H131" i="8" s="1"/>
  <c r="F36" i="8"/>
  <c r="G36" i="8" s="1"/>
  <c r="H36" i="8" s="1"/>
  <c r="F218" i="8"/>
  <c r="G218" i="8" s="1"/>
  <c r="H218" i="8" s="1"/>
  <c r="F126" i="8"/>
  <c r="G126" i="8" s="1"/>
  <c r="H126" i="8" s="1"/>
  <c r="F46" i="8"/>
  <c r="G46" i="8" s="1"/>
  <c r="H46" i="8" s="1"/>
  <c r="F702" i="8"/>
  <c r="G702" i="8" s="1"/>
  <c r="H702" i="8" s="1"/>
  <c r="F697" i="8"/>
  <c r="G697" i="8" s="1"/>
  <c r="H697" i="8" s="1"/>
  <c r="F670" i="8"/>
  <c r="G670" i="8" s="1"/>
  <c r="H670" i="8" s="1"/>
  <c r="F453" i="8"/>
  <c r="G453" i="8" s="1"/>
  <c r="H453" i="8" s="1"/>
  <c r="F329" i="8"/>
  <c r="G329" i="8" s="1"/>
  <c r="H329" i="8" s="1"/>
  <c r="F244" i="8"/>
  <c r="G244" i="8" s="1"/>
  <c r="H244" i="8" s="1"/>
  <c r="F85" i="8"/>
  <c r="G85" i="8" s="1"/>
  <c r="H85" i="8" s="1"/>
  <c r="F81" i="8"/>
  <c r="G81" i="8" s="1"/>
  <c r="H81" i="8" s="1"/>
  <c r="F50" i="8"/>
  <c r="G50" i="8" s="1"/>
  <c r="H50" i="8" s="1"/>
  <c r="F40" i="8"/>
  <c r="G40" i="8" s="1"/>
  <c r="H40" i="8" s="1"/>
  <c r="F1428" i="8"/>
  <c r="G1428" i="8" s="1"/>
  <c r="H1428" i="8" s="1"/>
  <c r="F1323" i="8"/>
  <c r="G1323" i="8" s="1"/>
  <c r="H1323" i="8" s="1"/>
  <c r="F1278" i="8"/>
  <c r="G1278" i="8" s="1"/>
  <c r="H1278" i="8" s="1"/>
  <c r="F1260" i="8"/>
  <c r="G1260" i="8" s="1"/>
  <c r="H1260" i="8" s="1"/>
  <c r="F1250" i="8"/>
  <c r="G1250" i="8" s="1"/>
  <c r="H1250" i="8" s="1"/>
  <c r="F1083" i="8"/>
  <c r="G1083" i="8" s="1"/>
  <c r="H1083" i="8" s="1"/>
  <c r="F875" i="8"/>
  <c r="G875" i="8" s="1"/>
  <c r="H875" i="8" s="1"/>
  <c r="F846" i="8"/>
  <c r="G846" i="8" s="1"/>
  <c r="H846" i="8" s="1"/>
  <c r="F793" i="8"/>
  <c r="G793" i="8" s="1"/>
  <c r="H793" i="8" s="1"/>
  <c r="F752" i="8"/>
  <c r="G752" i="8" s="1"/>
  <c r="H752" i="8" s="1"/>
  <c r="F742" i="8"/>
  <c r="G742" i="8" s="1"/>
  <c r="H742" i="8" s="1"/>
  <c r="F675" i="8"/>
  <c r="G675" i="8" s="1"/>
  <c r="H675" i="8" s="1"/>
  <c r="F619" i="8"/>
  <c r="G619" i="8" s="1"/>
  <c r="H619" i="8" s="1"/>
  <c r="F615" i="8"/>
  <c r="G615" i="8" s="1"/>
  <c r="H615" i="8" s="1"/>
  <c r="F609" i="8"/>
  <c r="G609" i="8" s="1"/>
  <c r="H609" i="8" s="1"/>
  <c r="F535" i="8"/>
  <c r="G535" i="8" s="1"/>
  <c r="H535" i="8" s="1"/>
  <c r="F500" i="8"/>
  <c r="G500" i="8" s="1"/>
  <c r="H500" i="8" s="1"/>
  <c r="F495" i="8"/>
  <c r="G495" i="8" s="1"/>
  <c r="H495" i="8" s="1"/>
  <c r="F458" i="8"/>
  <c r="G458" i="8" s="1"/>
  <c r="H458" i="8" s="1"/>
  <c r="F404" i="8"/>
  <c r="G404" i="8" s="1"/>
  <c r="H404" i="8" s="1"/>
  <c r="F360" i="8"/>
  <c r="G360" i="8" s="1"/>
  <c r="H360" i="8" s="1"/>
  <c r="F323" i="8"/>
  <c r="G323" i="8" s="1"/>
  <c r="H323" i="8" s="1"/>
  <c r="F258" i="8"/>
  <c r="G258" i="8" s="1"/>
  <c r="H258" i="8" s="1"/>
  <c r="F217" i="8"/>
  <c r="G217" i="8" s="1"/>
  <c r="H217" i="8" s="1"/>
  <c r="F72" i="8"/>
  <c r="G72" i="8" s="1"/>
  <c r="H72" i="8" s="1"/>
  <c r="F45" i="8"/>
  <c r="G45" i="8" s="1"/>
  <c r="H45" i="8" s="1"/>
  <c r="F2048" i="8"/>
  <c r="G2048" i="8" s="1"/>
  <c r="H2048" i="8" s="1"/>
  <c r="F1925" i="8"/>
  <c r="G1925" i="8" s="1"/>
  <c r="H1925" i="8" s="1"/>
  <c r="F1631" i="8"/>
  <c r="G1631" i="8" s="1"/>
  <c r="H1631" i="8" s="1"/>
  <c r="F1989" i="8"/>
  <c r="G1989" i="8" s="1"/>
  <c r="H1989" i="8" s="1"/>
  <c r="F1845" i="8"/>
  <c r="G1845" i="8" s="1"/>
  <c r="H1845" i="8" s="1"/>
  <c r="F1030" i="8"/>
  <c r="G1030" i="8" s="1"/>
  <c r="H1030" i="8" s="1"/>
  <c r="F2074" i="8"/>
  <c r="G2074" i="8" s="1"/>
  <c r="H2074" i="8" s="1"/>
  <c r="F2002" i="8"/>
  <c r="G2002" i="8" s="1"/>
  <c r="H2002" i="8" s="1"/>
  <c r="F1797" i="8"/>
  <c r="G1797" i="8" s="1"/>
  <c r="H1797" i="8" s="1"/>
  <c r="F1572" i="8"/>
  <c r="G1572" i="8" s="1"/>
  <c r="H1572" i="8" s="1"/>
  <c r="F2116" i="8"/>
  <c r="G2116" i="8" s="1"/>
  <c r="H2116" i="8" s="1"/>
  <c r="F2044" i="8"/>
  <c r="G2044" i="8" s="1"/>
  <c r="H2044" i="8" s="1"/>
  <c r="F1749" i="8"/>
  <c r="G1749" i="8" s="1"/>
  <c r="H1749" i="8" s="1"/>
  <c r="F2082" i="8"/>
  <c r="G2082" i="8" s="1"/>
  <c r="H2082" i="8" s="1"/>
  <c r="F2010" i="8"/>
  <c r="G2010" i="8" s="1"/>
  <c r="H2010" i="8" s="1"/>
  <c r="F1328" i="8"/>
  <c r="G1328" i="8" s="1"/>
  <c r="H1328" i="8" s="1"/>
  <c r="F1378" i="8"/>
  <c r="G1378" i="8" s="1"/>
  <c r="H1378" i="8" s="1"/>
  <c r="F886" i="8"/>
  <c r="G886" i="8" s="1"/>
  <c r="H886" i="8" s="1"/>
  <c r="F1181" i="8"/>
  <c r="G1181" i="8" s="1"/>
  <c r="H1181" i="8" s="1"/>
  <c r="F1070" i="8"/>
  <c r="G1070" i="8" s="1"/>
  <c r="H1070" i="8" s="1"/>
  <c r="F1317" i="8"/>
  <c r="G1317" i="8" s="1"/>
  <c r="H1317" i="8" s="1"/>
  <c r="F1987" i="8"/>
  <c r="G1987" i="8" s="1"/>
  <c r="H1987" i="8" s="1"/>
  <c r="F1795" i="8"/>
  <c r="G1795" i="8" s="1"/>
  <c r="H1795" i="8" s="1"/>
  <c r="F24" i="8"/>
  <c r="G24" i="8" s="1"/>
  <c r="H24" i="8" s="1"/>
  <c r="F1453" i="8"/>
  <c r="G1453" i="8" s="1"/>
  <c r="H1453" i="8" s="1"/>
  <c r="F1239" i="8"/>
  <c r="G1239" i="8" s="1"/>
  <c r="H1239" i="8" s="1"/>
  <c r="F1804" i="8"/>
  <c r="G1804" i="8" s="1"/>
  <c r="H1804" i="8" s="1"/>
  <c r="F1778" i="8"/>
  <c r="G1778" i="8" s="1"/>
  <c r="H1778" i="8" s="1"/>
  <c r="F1306" i="8"/>
  <c r="G1306" i="8" s="1"/>
  <c r="H1306" i="8" s="1"/>
  <c r="F464" i="8"/>
  <c r="G464" i="8" s="1"/>
  <c r="H464" i="8" s="1"/>
  <c r="F1052" i="8"/>
  <c r="G1052" i="8" s="1"/>
  <c r="H1052" i="8" s="1"/>
  <c r="F915" i="8"/>
  <c r="G915" i="8" s="1"/>
  <c r="H915" i="8" s="1"/>
  <c r="F900" i="8"/>
  <c r="G900" i="8" s="1"/>
  <c r="H900" i="8" s="1"/>
  <c r="F682" i="8"/>
  <c r="G682" i="8" s="1"/>
  <c r="H682" i="8" s="1"/>
  <c r="F602" i="8"/>
  <c r="G602" i="8" s="1"/>
  <c r="H602" i="8" s="1"/>
  <c r="F397" i="8"/>
  <c r="G397" i="8" s="1"/>
  <c r="H397" i="8" s="1"/>
  <c r="F1706" i="8"/>
  <c r="G1706" i="8" s="1"/>
  <c r="H1706" i="8" s="1"/>
  <c r="F1521" i="8"/>
  <c r="G1521" i="8" s="1"/>
  <c r="H1521" i="8" s="1"/>
  <c r="F1309" i="8"/>
  <c r="G1309" i="8" s="1"/>
  <c r="H1309" i="8" s="1"/>
  <c r="F1271" i="8"/>
  <c r="G1271" i="8" s="1"/>
  <c r="H1271" i="8" s="1"/>
  <c r="F1263" i="8"/>
  <c r="G1263" i="8" s="1"/>
  <c r="H1263" i="8" s="1"/>
  <c r="F1113" i="8"/>
  <c r="G1113" i="8" s="1"/>
  <c r="H1113" i="8" s="1"/>
  <c r="F978" i="8"/>
  <c r="G978" i="8" s="1"/>
  <c r="H978" i="8" s="1"/>
  <c r="F1939" i="8"/>
  <c r="G1939" i="8" s="1"/>
  <c r="H1939" i="8" s="1"/>
  <c r="F1843" i="8"/>
  <c r="G1843" i="8" s="1"/>
  <c r="H1843" i="8" s="1"/>
  <c r="F1529" i="8"/>
  <c r="G1529" i="8" s="1"/>
  <c r="H1529" i="8" s="1"/>
  <c r="F1513" i="8"/>
  <c r="G1513" i="8" s="1"/>
  <c r="H1513" i="8" s="1"/>
  <c r="F1436" i="8"/>
  <c r="G1436" i="8" s="1"/>
  <c r="H1436" i="8" s="1"/>
  <c r="F1185" i="8"/>
  <c r="G1185" i="8" s="1"/>
  <c r="H1185" i="8" s="1"/>
  <c r="F611" i="8"/>
  <c r="G611" i="8" s="1"/>
  <c r="H611" i="8" s="1"/>
  <c r="F194" i="8"/>
  <c r="G194" i="8" s="1"/>
  <c r="H194" i="8" s="1"/>
  <c r="F1891" i="8"/>
  <c r="G1891" i="8" s="1"/>
  <c r="H1891" i="8" s="1"/>
  <c r="F1432" i="8"/>
  <c r="G1432" i="8" s="1"/>
  <c r="H1432" i="8" s="1"/>
  <c r="F1275" i="8"/>
  <c r="G1275" i="8" s="1"/>
  <c r="H1275" i="8" s="1"/>
  <c r="F1220" i="8"/>
  <c r="G1220" i="8" s="1"/>
  <c r="H1220" i="8" s="1"/>
  <c r="F1597" i="8"/>
  <c r="G1597" i="8" s="1"/>
  <c r="H1597" i="8" s="1"/>
  <c r="F1279" i="8"/>
  <c r="G1279" i="8" s="1"/>
  <c r="H1279" i="8" s="1"/>
  <c r="F1552" i="8"/>
  <c r="G1552" i="8" s="1"/>
  <c r="H1552" i="8" s="1"/>
  <c r="F1354" i="8"/>
  <c r="G1354" i="8" s="1"/>
  <c r="H1354" i="8" s="1"/>
  <c r="F1295" i="8"/>
  <c r="G1295" i="8" s="1"/>
  <c r="H1295" i="8" s="1"/>
  <c r="F1157" i="8"/>
  <c r="G1157" i="8" s="1"/>
  <c r="H1157" i="8" s="1"/>
  <c r="F184" i="8"/>
  <c r="G184" i="8" s="1"/>
  <c r="H184" i="8" s="1"/>
  <c r="F1068" i="8"/>
  <c r="G1068" i="8" s="1"/>
  <c r="H1068" i="8" s="1"/>
  <c r="F732" i="8"/>
  <c r="G732" i="8" s="1"/>
  <c r="H732" i="8" s="1"/>
  <c r="F679" i="8"/>
  <c r="G679" i="8" s="1"/>
  <c r="H679" i="8" s="1"/>
  <c r="F1998" i="8"/>
  <c r="G1998" i="8" s="1"/>
  <c r="H1998" i="8" s="1"/>
  <c r="F1900" i="8"/>
  <c r="G1900" i="8" s="1"/>
  <c r="H1900" i="8" s="1"/>
  <c r="F1800" i="8"/>
  <c r="G1800" i="8" s="1"/>
  <c r="H1800" i="8" s="1"/>
  <c r="F1752" i="8"/>
  <c r="G1752" i="8" s="1"/>
  <c r="H1752" i="8" s="1"/>
  <c r="F1675" i="8"/>
  <c r="G1675" i="8" s="1"/>
  <c r="H1675" i="8" s="1"/>
  <c r="F1115" i="8"/>
  <c r="G1115" i="8" s="1"/>
  <c r="H1115" i="8" s="1"/>
  <c r="F1098" i="8"/>
  <c r="G1098" i="8" s="1"/>
  <c r="H1098" i="8" s="1"/>
  <c r="F1089" i="8"/>
  <c r="G1089" i="8" s="1"/>
  <c r="H1089" i="8" s="1"/>
  <c r="F1035" i="8"/>
  <c r="G1035" i="8" s="1"/>
  <c r="H1035" i="8" s="1"/>
  <c r="F858" i="8"/>
  <c r="G858" i="8" s="1"/>
  <c r="H858" i="8" s="1"/>
  <c r="F2070" i="8"/>
  <c r="G2070" i="8" s="1"/>
  <c r="H2070" i="8" s="1"/>
  <c r="F1896" i="8"/>
  <c r="G1896" i="8" s="1"/>
  <c r="H1896" i="8" s="1"/>
  <c r="F1848" i="8"/>
  <c r="G1848" i="8" s="1"/>
  <c r="H1848" i="8" s="1"/>
  <c r="F1666" i="8"/>
  <c r="G1666" i="8" s="1"/>
  <c r="H1666" i="8" s="1"/>
  <c r="F1510" i="8"/>
  <c r="G1510" i="8" s="1"/>
  <c r="H1510" i="8" s="1"/>
  <c r="F1502" i="8"/>
  <c r="G1502" i="8" s="1"/>
  <c r="H1502" i="8" s="1"/>
  <c r="F1340" i="8"/>
  <c r="G1340" i="8" s="1"/>
  <c r="H1340" i="8" s="1"/>
  <c r="F1273" i="8"/>
  <c r="G1273" i="8" s="1"/>
  <c r="H1273" i="8" s="1"/>
  <c r="F1256" i="8"/>
  <c r="G1256" i="8" s="1"/>
  <c r="H1256" i="8" s="1"/>
  <c r="F1044" i="8"/>
  <c r="G1044" i="8" s="1"/>
  <c r="H1044" i="8" s="1"/>
  <c r="F848" i="8"/>
  <c r="G848" i="8" s="1"/>
  <c r="H848" i="8" s="1"/>
  <c r="F828" i="8"/>
  <c r="G828" i="8" s="1"/>
  <c r="H828" i="8" s="1"/>
  <c r="F822" i="8"/>
  <c r="G822" i="8" s="1"/>
  <c r="H822" i="8" s="1"/>
  <c r="F812" i="8"/>
  <c r="G812" i="8" s="1"/>
  <c r="H812" i="8" s="1"/>
  <c r="F530" i="8"/>
  <c r="G530" i="8" s="1"/>
  <c r="H530" i="8" s="1"/>
  <c r="F232" i="8"/>
  <c r="G232" i="8" s="1"/>
  <c r="H232" i="8" s="1"/>
  <c r="F204" i="8"/>
  <c r="G204" i="8" s="1"/>
  <c r="H204" i="8" s="1"/>
  <c r="G1530" i="8"/>
  <c r="H1530" i="8" s="1"/>
  <c r="F1202" i="8"/>
  <c r="G1202" i="8" s="1"/>
  <c r="H1202" i="8" s="1"/>
  <c r="F1056" i="8"/>
  <c r="G1056" i="8" s="1"/>
  <c r="H1056" i="8" s="1"/>
  <c r="F1282" i="8"/>
  <c r="G1282" i="8" s="1"/>
  <c r="H1282" i="8" s="1"/>
  <c r="F1205" i="8"/>
  <c r="G1205" i="8" s="1"/>
  <c r="H1205" i="8" s="1"/>
  <c r="F2104" i="8"/>
  <c r="G2104" i="8" s="1"/>
  <c r="H2104" i="8" s="1"/>
  <c r="F2032" i="8"/>
  <c r="G2032" i="8" s="1"/>
  <c r="H2032" i="8" s="1"/>
  <c r="F1994" i="8"/>
  <c r="G1994" i="8" s="1"/>
  <c r="H1994" i="8" s="1"/>
  <c r="F1829" i="8"/>
  <c r="G1829" i="8" s="1"/>
  <c r="H1829" i="8" s="1"/>
  <c r="F1774" i="8"/>
  <c r="G1774" i="8" s="1"/>
  <c r="H1774" i="8" s="1"/>
  <c r="F1714" i="8"/>
  <c r="G1714" i="8" s="1"/>
  <c r="H1714" i="8" s="1"/>
  <c r="F1702" i="8"/>
  <c r="G1702" i="8" s="1"/>
  <c r="H1702" i="8" s="1"/>
  <c r="F1678" i="8"/>
  <c r="G1678" i="8" s="1"/>
  <c r="H1678" i="8" s="1"/>
  <c r="F1588" i="8"/>
  <c r="G1588" i="8" s="1"/>
  <c r="H1588" i="8" s="1"/>
  <c r="F1558" i="8"/>
  <c r="G1558" i="8" s="1"/>
  <c r="H1558" i="8" s="1"/>
  <c r="F1527" i="8"/>
  <c r="G1527" i="8" s="1"/>
  <c r="H1527" i="8" s="1"/>
  <c r="F1498" i="8"/>
  <c r="G1498" i="8" s="1"/>
  <c r="H1498" i="8" s="1"/>
  <c r="F1416" i="8"/>
  <c r="G1416" i="8" s="1"/>
  <c r="H1416" i="8" s="1"/>
  <c r="F1310" i="8"/>
  <c r="G1310" i="8" s="1"/>
  <c r="H1310" i="8" s="1"/>
  <c r="F1208" i="8"/>
  <c r="G1208" i="8" s="1"/>
  <c r="H1208" i="8" s="1"/>
  <c r="F1012" i="8"/>
  <c r="G1012" i="8" s="1"/>
  <c r="H1012" i="8" s="1"/>
  <c r="F930" i="8"/>
  <c r="G930" i="8" s="1"/>
  <c r="H930" i="8" s="1"/>
  <c r="F876" i="8"/>
  <c r="G876" i="8" s="1"/>
  <c r="H876" i="8" s="1"/>
  <c r="F746" i="8"/>
  <c r="G746" i="8" s="1"/>
  <c r="H746" i="8" s="1"/>
  <c r="F706" i="8"/>
  <c r="G706" i="8" s="1"/>
  <c r="H706" i="8" s="1"/>
  <c r="F473" i="8"/>
  <c r="G473" i="8" s="1"/>
  <c r="H473" i="8" s="1"/>
  <c r="F146" i="8"/>
  <c r="G146" i="8" s="1"/>
  <c r="H146" i="8" s="1"/>
  <c r="F71" i="8"/>
  <c r="G71" i="8" s="1"/>
  <c r="H71" i="8" s="1"/>
  <c r="F1054" i="8"/>
  <c r="G1054" i="8" s="1"/>
  <c r="H1054" i="8" s="1"/>
  <c r="F994" i="8"/>
  <c r="G994" i="8" s="1"/>
  <c r="H994" i="8" s="1"/>
  <c r="F933" i="8"/>
  <c r="G933" i="8" s="1"/>
  <c r="H933" i="8" s="1"/>
  <c r="F888" i="8"/>
  <c r="G888" i="8" s="1"/>
  <c r="H888" i="8" s="1"/>
  <c r="F864" i="8"/>
  <c r="G864" i="8" s="1"/>
  <c r="H864" i="8" s="1"/>
  <c r="F825" i="8"/>
  <c r="G825" i="8" s="1"/>
  <c r="H825" i="8" s="1"/>
  <c r="F810" i="8"/>
  <c r="G810" i="8" s="1"/>
  <c r="H810" i="8" s="1"/>
  <c r="F723" i="8"/>
  <c r="G723" i="8" s="1"/>
  <c r="H723" i="8" s="1"/>
  <c r="F663" i="8"/>
  <c r="G663" i="8" s="1"/>
  <c r="H663" i="8" s="1"/>
  <c r="F658" i="8"/>
  <c r="G658" i="8" s="1"/>
  <c r="H658" i="8" s="1"/>
  <c r="F528" i="8"/>
  <c r="G528" i="8" s="1"/>
  <c r="H528" i="8" s="1"/>
  <c r="F514" i="8"/>
  <c r="G514" i="8" s="1"/>
  <c r="H514" i="8" s="1"/>
  <c r="F462" i="8"/>
  <c r="G462" i="8" s="1"/>
  <c r="H462" i="8" s="1"/>
  <c r="F318" i="8"/>
  <c r="G318" i="8" s="1"/>
  <c r="H318" i="8" s="1"/>
  <c r="F300" i="8"/>
  <c r="G300" i="8" s="1"/>
  <c r="H300" i="8" s="1"/>
  <c r="F268" i="8"/>
  <c r="G268" i="8" s="1"/>
  <c r="H268" i="8" s="1"/>
  <c r="F239" i="8"/>
  <c r="G239" i="8" s="1"/>
  <c r="H239" i="8" s="1"/>
  <c r="F195" i="8"/>
  <c r="G195" i="8" s="1"/>
  <c r="H195" i="8" s="1"/>
  <c r="F129" i="8"/>
  <c r="G129" i="8" s="1"/>
  <c r="H129" i="8" s="1"/>
  <c r="F109" i="8"/>
  <c r="G109" i="8" s="1"/>
  <c r="H109" i="8" s="1"/>
  <c r="F58" i="8"/>
  <c r="G58" i="8" s="1"/>
  <c r="H58" i="8" s="1"/>
  <c r="F27" i="8"/>
  <c r="G27" i="8" s="1"/>
  <c r="H27" i="8" s="1"/>
  <c r="F1634" i="8"/>
  <c r="G1634" i="8" s="1"/>
  <c r="H1634" i="8" s="1"/>
  <c r="F1623" i="8"/>
  <c r="G1623" i="8" s="1"/>
  <c r="H1623" i="8" s="1"/>
  <c r="F1615" i="8"/>
  <c r="G1615" i="8" s="1"/>
  <c r="H1615" i="8" s="1"/>
  <c r="F1421" i="8"/>
  <c r="G1421" i="8" s="1"/>
  <c r="H1421" i="8" s="1"/>
  <c r="F1388" i="8"/>
  <c r="G1388" i="8" s="1"/>
  <c r="H1388" i="8" s="1"/>
  <c r="F1363" i="8"/>
  <c r="G1363" i="8" s="1"/>
  <c r="H1363" i="8" s="1"/>
  <c r="F1356" i="8"/>
  <c r="G1356" i="8" s="1"/>
  <c r="H1356" i="8" s="1"/>
  <c r="F1252" i="8"/>
  <c r="G1252" i="8" s="1"/>
  <c r="H1252" i="8" s="1"/>
  <c r="F1138" i="8"/>
  <c r="G1138" i="8" s="1"/>
  <c r="H1138" i="8" s="1"/>
  <c r="F1120" i="8"/>
  <c r="G1120" i="8" s="1"/>
  <c r="H1120" i="8" s="1"/>
  <c r="F1053" i="8"/>
  <c r="G1053" i="8" s="1"/>
  <c r="H1053" i="8" s="1"/>
  <c r="F671" i="8"/>
  <c r="G671" i="8" s="1"/>
  <c r="H671" i="8" s="1"/>
  <c r="F577" i="8"/>
  <c r="G577" i="8" s="1"/>
  <c r="H577" i="8" s="1"/>
  <c r="F567" i="8"/>
  <c r="G567" i="8" s="1"/>
  <c r="H567" i="8" s="1"/>
  <c r="F499" i="8"/>
  <c r="G499" i="8" s="1"/>
  <c r="H499" i="8" s="1"/>
  <c r="F441" i="8"/>
  <c r="G441" i="8" s="1"/>
  <c r="H441" i="8" s="1"/>
  <c r="F304" i="8"/>
  <c r="G304" i="8" s="1"/>
  <c r="H304" i="8" s="1"/>
  <c r="F233" i="8"/>
  <c r="G233" i="8" s="1"/>
  <c r="H233" i="8" s="1"/>
  <c r="F1944" i="8"/>
  <c r="G1944" i="8" s="1"/>
  <c r="H1944" i="8" s="1"/>
  <c r="F1922" i="8"/>
  <c r="G1922" i="8" s="1"/>
  <c r="H1922" i="8" s="1"/>
  <c r="F1812" i="8"/>
  <c r="G1812" i="8" s="1"/>
  <c r="H1812" i="8" s="1"/>
  <c r="F1664" i="8"/>
  <c r="G1664" i="8" s="1"/>
  <c r="H1664" i="8" s="1"/>
  <c r="F1626" i="8"/>
  <c r="G1626" i="8" s="1"/>
  <c r="H1626" i="8" s="1"/>
  <c r="F1607" i="8"/>
  <c r="G1607" i="8" s="1"/>
  <c r="H1607" i="8" s="1"/>
  <c r="F1534" i="8"/>
  <c r="G1534" i="8" s="1"/>
  <c r="H1534" i="8" s="1"/>
  <c r="F1458" i="8"/>
  <c r="G1458" i="8" s="1"/>
  <c r="H1458" i="8" s="1"/>
  <c r="F1375" i="8"/>
  <c r="G1375" i="8" s="1"/>
  <c r="H1375" i="8" s="1"/>
  <c r="F1352" i="8"/>
  <c r="G1352" i="8" s="1"/>
  <c r="H1352" i="8" s="1"/>
  <c r="F1304" i="8"/>
  <c r="G1304" i="8" s="1"/>
  <c r="H1304" i="8" s="1"/>
  <c r="F1057" i="8"/>
  <c r="G1057" i="8" s="1"/>
  <c r="H1057" i="8" s="1"/>
  <c r="F988" i="8"/>
  <c r="G988" i="8" s="1"/>
  <c r="H988" i="8" s="1"/>
  <c r="F961" i="8"/>
  <c r="G961" i="8" s="1"/>
  <c r="H961" i="8" s="1"/>
  <c r="F904" i="8"/>
  <c r="G904" i="8" s="1"/>
  <c r="H904" i="8" s="1"/>
  <c r="F834" i="8"/>
  <c r="G834" i="8" s="1"/>
  <c r="H834" i="8" s="1"/>
  <c r="F808" i="8"/>
  <c r="G808" i="8" s="1"/>
  <c r="H808" i="8" s="1"/>
  <c r="F760" i="8"/>
  <c r="G760" i="8" s="1"/>
  <c r="H760" i="8" s="1"/>
  <c r="F740" i="8"/>
  <c r="G740" i="8" s="1"/>
  <c r="H740" i="8" s="1"/>
  <c r="F542" i="8"/>
  <c r="G542" i="8" s="1"/>
  <c r="H542" i="8" s="1"/>
  <c r="F537" i="8"/>
  <c r="G537" i="8" s="1"/>
  <c r="H537" i="8" s="1"/>
  <c r="F494" i="8"/>
  <c r="G494" i="8" s="1"/>
  <c r="H494" i="8" s="1"/>
  <c r="F394" i="8"/>
  <c r="G394" i="8" s="1"/>
  <c r="H394" i="8" s="1"/>
  <c r="F342" i="8"/>
  <c r="G342" i="8" s="1"/>
  <c r="H342" i="8" s="1"/>
  <c r="F185" i="8"/>
  <c r="G185" i="8" s="1"/>
  <c r="H185" i="8" s="1"/>
  <c r="F155" i="8"/>
  <c r="G155" i="8" s="1"/>
  <c r="H155" i="8" s="1"/>
  <c r="F136" i="8"/>
  <c r="G136" i="8" s="1"/>
  <c r="H136" i="8" s="1"/>
  <c r="F119" i="8"/>
  <c r="G119" i="8" s="1"/>
  <c r="H119" i="8" s="1"/>
  <c r="F1970" i="8"/>
  <c r="G1970" i="8" s="1"/>
  <c r="H1970" i="8" s="1"/>
  <c r="F1916" i="8"/>
  <c r="G1916" i="8" s="1"/>
  <c r="H1916" i="8" s="1"/>
  <c r="F1892" i="8"/>
  <c r="G1892" i="8" s="1"/>
  <c r="H1892" i="8" s="1"/>
  <c r="F1704" i="8"/>
  <c r="G1704" i="8" s="1"/>
  <c r="H1704" i="8" s="1"/>
  <c r="F1644" i="8"/>
  <c r="G1644" i="8" s="1"/>
  <c r="H1644" i="8" s="1"/>
  <c r="F1444" i="8"/>
  <c r="G1444" i="8" s="1"/>
  <c r="H1444" i="8" s="1"/>
  <c r="F1238" i="8"/>
  <c r="G1238" i="8" s="1"/>
  <c r="H1238" i="8" s="1"/>
  <c r="F1222" i="8"/>
  <c r="G1222" i="8" s="1"/>
  <c r="H1222" i="8" s="1"/>
  <c r="F1130" i="8"/>
  <c r="G1130" i="8" s="1"/>
  <c r="H1130" i="8" s="1"/>
  <c r="F1084" i="8"/>
  <c r="G1084" i="8" s="1"/>
  <c r="H1084" i="8" s="1"/>
  <c r="F1017" i="8"/>
  <c r="G1017" i="8" s="1"/>
  <c r="H1017" i="8" s="1"/>
  <c r="F1004" i="8"/>
  <c r="G1004" i="8" s="1"/>
  <c r="H1004" i="8" s="1"/>
  <c r="F898" i="8"/>
  <c r="G898" i="8" s="1"/>
  <c r="H898" i="8" s="1"/>
  <c r="F870" i="8"/>
  <c r="G870" i="8" s="1"/>
  <c r="H870" i="8" s="1"/>
  <c r="F854" i="8"/>
  <c r="G854" i="8" s="1"/>
  <c r="H854" i="8" s="1"/>
  <c r="F840" i="8"/>
  <c r="G840" i="8" s="1"/>
  <c r="H840" i="8" s="1"/>
  <c r="F824" i="8"/>
  <c r="G824" i="8" s="1"/>
  <c r="H824" i="8" s="1"/>
  <c r="F768" i="8"/>
  <c r="G768" i="8" s="1"/>
  <c r="H768" i="8" s="1"/>
  <c r="F707" i="8"/>
  <c r="G707" i="8" s="1"/>
  <c r="H707" i="8" s="1"/>
  <c r="F703" i="8"/>
  <c r="G703" i="8" s="1"/>
  <c r="H703" i="8" s="1"/>
  <c r="F631" i="8"/>
  <c r="G631" i="8" s="1"/>
  <c r="H631" i="8" s="1"/>
  <c r="F608" i="8"/>
  <c r="G608" i="8" s="1"/>
  <c r="H608" i="8" s="1"/>
  <c r="F585" i="8"/>
  <c r="G585" i="8" s="1"/>
  <c r="H585" i="8" s="1"/>
  <c r="F477" i="8"/>
  <c r="G477" i="8" s="1"/>
  <c r="H477" i="8" s="1"/>
  <c r="F460" i="8"/>
  <c r="G460" i="8" s="1"/>
  <c r="H460" i="8" s="1"/>
  <c r="F349" i="8"/>
  <c r="G349" i="8" s="1"/>
  <c r="H349" i="8" s="1"/>
  <c r="F288" i="8"/>
  <c r="G288" i="8" s="1"/>
  <c r="H288" i="8" s="1"/>
  <c r="F160" i="8"/>
  <c r="G160" i="8" s="1"/>
  <c r="H160" i="8" s="1"/>
  <c r="F143" i="8"/>
  <c r="G143" i="8" s="1"/>
  <c r="H143" i="8" s="1"/>
  <c r="F108" i="8"/>
  <c r="G108" i="8" s="1"/>
  <c r="H108" i="8" s="1"/>
  <c r="F1186" i="8"/>
  <c r="G1186" i="8" s="1"/>
  <c r="H1186" i="8" s="1"/>
  <c r="F1116" i="8"/>
  <c r="G1116" i="8" s="1"/>
  <c r="H1116" i="8" s="1"/>
  <c r="F1100" i="8"/>
  <c r="G1100" i="8" s="1"/>
  <c r="H1100" i="8" s="1"/>
  <c r="F974" i="8"/>
  <c r="G974" i="8" s="1"/>
  <c r="H974" i="8" s="1"/>
  <c r="F902" i="8"/>
  <c r="G902" i="8" s="1"/>
  <c r="H902" i="8" s="1"/>
  <c r="F795" i="8"/>
  <c r="G795" i="8" s="1"/>
  <c r="H795" i="8" s="1"/>
  <c r="F776" i="8"/>
  <c r="G776" i="8" s="1"/>
  <c r="H776" i="8" s="1"/>
  <c r="F729" i="8"/>
  <c r="G729" i="8" s="1"/>
  <c r="H729" i="8" s="1"/>
  <c r="F720" i="8"/>
  <c r="G720" i="8" s="1"/>
  <c r="H720" i="8" s="1"/>
  <c r="F358" i="8"/>
  <c r="G358" i="8" s="1"/>
  <c r="H358" i="8" s="1"/>
  <c r="F338" i="8"/>
  <c r="G338" i="8" s="1"/>
  <c r="H338" i="8" s="1"/>
  <c r="F181" i="8"/>
  <c r="G181" i="8" s="1"/>
  <c r="H181" i="8" s="1"/>
  <c r="F177" i="8"/>
  <c r="G177" i="8" s="1"/>
  <c r="H177" i="8" s="1"/>
  <c r="F164" i="8"/>
  <c r="G164" i="8" s="1"/>
  <c r="H164" i="8" s="1"/>
  <c r="F138" i="8"/>
  <c r="G138" i="8" s="1"/>
  <c r="H138" i="8" s="1"/>
  <c r="F130" i="8"/>
  <c r="G130" i="8" s="1"/>
  <c r="H130" i="8" s="1"/>
  <c r="F1108" i="8"/>
  <c r="G1108" i="8" s="1"/>
  <c r="H1108" i="8" s="1"/>
  <c r="F1092" i="8"/>
  <c r="G1092" i="8" s="1"/>
  <c r="H1092" i="8" s="1"/>
  <c r="F1080" i="8"/>
  <c r="G1080" i="8" s="1"/>
  <c r="H1080" i="8" s="1"/>
  <c r="F1031" i="8"/>
  <c r="G1031" i="8" s="1"/>
  <c r="H1031" i="8" s="1"/>
  <c r="F836" i="8"/>
  <c r="G836" i="8" s="1"/>
  <c r="H836" i="8" s="1"/>
  <c r="F766" i="8"/>
  <c r="G766" i="8" s="1"/>
  <c r="H766" i="8" s="1"/>
  <c r="F756" i="8"/>
  <c r="G756" i="8" s="1"/>
  <c r="H756" i="8" s="1"/>
  <c r="F700" i="8"/>
  <c r="G700" i="8" s="1"/>
  <c r="H700" i="8" s="1"/>
  <c r="F656" i="8"/>
  <c r="G656" i="8" s="1"/>
  <c r="H656" i="8" s="1"/>
  <c r="F452" i="8"/>
  <c r="G452" i="8" s="1"/>
  <c r="H452" i="8" s="1"/>
  <c r="F432" i="8"/>
  <c r="G432" i="8" s="1"/>
  <c r="H432" i="8" s="1"/>
  <c r="F322" i="8"/>
  <c r="G322" i="8" s="1"/>
  <c r="H322" i="8" s="1"/>
  <c r="F314" i="8"/>
  <c r="G314" i="8" s="1"/>
  <c r="H314" i="8" s="1"/>
  <c r="F254" i="8"/>
  <c r="G254" i="8" s="1"/>
  <c r="H254" i="8" s="1"/>
  <c r="F206" i="8"/>
  <c r="G206" i="8" s="1"/>
  <c r="H206" i="8" s="1"/>
  <c r="F162" i="8"/>
  <c r="G162" i="8" s="1"/>
  <c r="H162" i="8" s="1"/>
  <c r="F154" i="8"/>
  <c r="G154" i="8" s="1"/>
  <c r="H154" i="8" s="1"/>
  <c r="F89" i="8"/>
  <c r="G89" i="8" s="1"/>
  <c r="H89" i="8" s="1"/>
  <c r="F69" i="8"/>
  <c r="G69" i="8" s="1"/>
  <c r="H69" i="8" s="1"/>
  <c r="F950" i="8"/>
  <c r="G950" i="8" s="1"/>
  <c r="H950" i="8" s="1"/>
  <c r="F373" i="8"/>
  <c r="G373" i="8" s="1"/>
  <c r="H373" i="8" s="1"/>
  <c r="F354" i="8"/>
  <c r="G354" i="8" s="1"/>
  <c r="H354" i="8" s="1"/>
  <c r="F198" i="8"/>
  <c r="G198" i="8" s="1"/>
  <c r="H198" i="8" s="1"/>
  <c r="F182" i="8"/>
  <c r="G182" i="8" s="1"/>
  <c r="H182" i="8" s="1"/>
  <c r="F178" i="8"/>
  <c r="G178" i="8" s="1"/>
  <c r="H178" i="8" s="1"/>
  <c r="F117" i="8"/>
  <c r="G117" i="8" s="1"/>
  <c r="H117" i="8" s="1"/>
  <c r="F113" i="8"/>
  <c r="G113" i="8" s="1"/>
  <c r="H113" i="8" s="1"/>
  <c r="F947" i="8"/>
  <c r="G947" i="8" s="1"/>
  <c r="H947" i="8" s="1"/>
  <c r="F942" i="8"/>
  <c r="G942" i="8" s="1"/>
  <c r="H942" i="8" s="1"/>
  <c r="F778" i="8"/>
  <c r="G778" i="8" s="1"/>
  <c r="H778" i="8" s="1"/>
  <c r="F666" i="8"/>
  <c r="G666" i="8" s="1"/>
  <c r="H666" i="8" s="1"/>
  <c r="F644" i="8"/>
  <c r="G644" i="8" s="1"/>
  <c r="H644" i="8" s="1"/>
  <c r="F636" i="8"/>
  <c r="G636" i="8" s="1"/>
  <c r="H636" i="8" s="1"/>
  <c r="F616" i="8"/>
  <c r="G616" i="8" s="1"/>
  <c r="H616" i="8" s="1"/>
  <c r="F364" i="8"/>
  <c r="G364" i="8" s="1"/>
  <c r="H364" i="8" s="1"/>
  <c r="F153" i="8"/>
  <c r="G153" i="8" s="1"/>
  <c r="H153" i="8" s="1"/>
  <c r="F141" i="8"/>
  <c r="G141" i="8" s="1"/>
  <c r="H141" i="8" s="1"/>
  <c r="F107" i="8"/>
  <c r="G107" i="8" s="1"/>
  <c r="H107" i="8" s="1"/>
  <c r="F99" i="8"/>
  <c r="G99" i="8" s="1"/>
  <c r="H99" i="8" s="1"/>
  <c r="F34" i="8"/>
  <c r="G34" i="8" s="1"/>
  <c r="H34" i="8" s="1"/>
  <c r="F832" i="8"/>
  <c r="G832" i="8" s="1"/>
  <c r="H832" i="8" s="1"/>
  <c r="F774" i="8"/>
  <c r="G774" i="8" s="1"/>
  <c r="H774" i="8" s="1"/>
  <c r="F738" i="8"/>
  <c r="G738" i="8" s="1"/>
  <c r="H738" i="8" s="1"/>
  <c r="F712" i="8"/>
  <c r="G712" i="8" s="1"/>
  <c r="H712" i="8" s="1"/>
  <c r="F686" i="8"/>
  <c r="G686" i="8" s="1"/>
  <c r="H686" i="8" s="1"/>
  <c r="F640" i="8"/>
  <c r="G640" i="8" s="1"/>
  <c r="H640" i="8" s="1"/>
  <c r="F496" i="8"/>
  <c r="G496" i="8" s="1"/>
  <c r="H496" i="8" s="1"/>
  <c r="F488" i="8"/>
  <c r="G488" i="8" s="1"/>
  <c r="H488" i="8" s="1"/>
  <c r="F446" i="8"/>
  <c r="G446" i="8" s="1"/>
  <c r="H446" i="8" s="1"/>
  <c r="F398" i="8"/>
  <c r="G398" i="8" s="1"/>
  <c r="H398" i="8" s="1"/>
  <c r="F336" i="8"/>
  <c r="G336" i="8" s="1"/>
  <c r="H336" i="8" s="1"/>
  <c r="F236" i="8"/>
  <c r="G236" i="8" s="1"/>
  <c r="H236" i="8" s="1"/>
  <c r="F192" i="8"/>
  <c r="G192" i="8" s="1"/>
  <c r="H192" i="8" s="1"/>
  <c r="F172" i="8"/>
  <c r="G172" i="8" s="1"/>
  <c r="H172" i="8" s="1"/>
  <c r="F103" i="8"/>
  <c r="G103" i="8" s="1"/>
  <c r="H103" i="8" s="1"/>
  <c r="F95" i="8"/>
  <c r="G95" i="8" s="1"/>
  <c r="H95" i="8" s="1"/>
  <c r="F76" i="8"/>
  <c r="G76" i="8" s="1"/>
  <c r="H76" i="8" s="1"/>
  <c r="F59" i="8"/>
  <c r="G59" i="8" s="1"/>
  <c r="H59" i="8" s="1"/>
  <c r="F51" i="8"/>
  <c r="G51" i="8" s="1"/>
  <c r="H51" i="8" s="1"/>
  <c r="F38" i="8"/>
  <c r="G38" i="8" s="1"/>
  <c r="H38" i="8" s="1"/>
  <c r="F21" i="8"/>
  <c r="G21" i="8" s="1"/>
  <c r="H21" i="8" s="1"/>
  <c r="F1697" i="8"/>
  <c r="G1697" i="8" s="1"/>
  <c r="H1697" i="8" s="1"/>
  <c r="F1685" i="8"/>
  <c r="G1685" i="8" s="1"/>
  <c r="H1685" i="8" s="1"/>
  <c r="F1637" i="8"/>
  <c r="G1637" i="8" s="1"/>
  <c r="H1637" i="8" s="1"/>
  <c r="F1621" i="8"/>
  <c r="G1621" i="8" s="1"/>
  <c r="H1621" i="8" s="1"/>
  <c r="F2087" i="8"/>
  <c r="G2087" i="8" s="1"/>
  <c r="H2087" i="8" s="1"/>
  <c r="F2039" i="8"/>
  <c r="G2039" i="8" s="1"/>
  <c r="H2039" i="8" s="1"/>
  <c r="F2015" i="8"/>
  <c r="G2015" i="8" s="1"/>
  <c r="H2015" i="8" s="1"/>
  <c r="F1835" i="8"/>
  <c r="G1835" i="8" s="1"/>
  <c r="H1835" i="8" s="1"/>
  <c r="F1809" i="8"/>
  <c r="G1809" i="8" s="1"/>
  <c r="H1809" i="8" s="1"/>
  <c r="F1691" i="8"/>
  <c r="G1691" i="8" s="1"/>
  <c r="H1691" i="8" s="1"/>
  <c r="F1277" i="8"/>
  <c r="G1277" i="8" s="1"/>
  <c r="H1277" i="8" s="1"/>
  <c r="F2083" i="8"/>
  <c r="G2083" i="8" s="1"/>
  <c r="H2083" i="8" s="1"/>
  <c r="F2059" i="8"/>
  <c r="G2059" i="8" s="1"/>
  <c r="H2059" i="8" s="1"/>
  <c r="F2035" i="8"/>
  <c r="G2035" i="8" s="1"/>
  <c r="H2035" i="8" s="1"/>
  <c r="F1522" i="8"/>
  <c r="G1522" i="8" s="1"/>
  <c r="H1522" i="8" s="1"/>
  <c r="F1477" i="8"/>
  <c r="G1477" i="8" s="1"/>
  <c r="H1477" i="8" s="1"/>
  <c r="F1153" i="8"/>
  <c r="G1153" i="8" s="1"/>
  <c r="H1153" i="8" s="1"/>
  <c r="F116" i="8"/>
  <c r="G116" i="8" s="1"/>
  <c r="H116" i="8" s="1"/>
  <c r="F2079" i="8"/>
  <c r="G2079" i="8" s="1"/>
  <c r="H2079" i="8" s="1"/>
  <c r="F2031" i="8"/>
  <c r="G2031" i="8" s="1"/>
  <c r="H2031" i="8" s="1"/>
  <c r="F2007" i="8"/>
  <c r="G2007" i="8" s="1"/>
  <c r="H2007" i="8" s="1"/>
  <c r="F1875" i="8"/>
  <c r="G1875" i="8" s="1"/>
  <c r="H1875" i="8" s="1"/>
  <c r="F1827" i="8"/>
  <c r="G1827" i="8" s="1"/>
  <c r="H1827" i="8" s="1"/>
  <c r="F1673" i="8"/>
  <c r="G1673" i="8" s="1"/>
  <c r="H1673" i="8" s="1"/>
  <c r="F1659" i="8"/>
  <c r="G1659" i="8" s="1"/>
  <c r="H1659" i="8" s="1"/>
  <c r="F1532" i="8"/>
  <c r="G1532" i="8" s="1"/>
  <c r="H1532" i="8" s="1"/>
  <c r="F1499" i="8"/>
  <c r="G1499" i="8" s="1"/>
  <c r="H1499" i="8" s="1"/>
  <c r="F1487" i="8"/>
  <c r="G1487" i="8" s="1"/>
  <c r="H1487" i="8" s="1"/>
  <c r="F1203" i="8"/>
  <c r="G1203" i="8" s="1"/>
  <c r="H1203" i="8" s="1"/>
  <c r="F1179" i="8"/>
  <c r="G1179" i="8" s="1"/>
  <c r="H1179" i="8" s="1"/>
  <c r="F2113" i="8"/>
  <c r="G2113" i="8" s="1"/>
  <c r="H2113" i="8" s="1"/>
  <c r="F2065" i="8"/>
  <c r="G2065" i="8" s="1"/>
  <c r="H2065" i="8" s="1"/>
  <c r="F2041" i="8"/>
  <c r="G2041" i="8" s="1"/>
  <c r="H2041" i="8" s="1"/>
  <c r="F2017" i="8"/>
  <c r="G2017" i="8" s="1"/>
  <c r="H2017" i="8" s="1"/>
  <c r="F1981" i="8"/>
  <c r="G1981" i="8" s="1"/>
  <c r="H1981" i="8" s="1"/>
  <c r="F1933" i="8"/>
  <c r="G1933" i="8" s="1"/>
  <c r="H1933" i="8" s="1"/>
  <c r="F1885" i="8"/>
  <c r="G1885" i="8" s="1"/>
  <c r="H1885" i="8" s="1"/>
  <c r="F1837" i="8"/>
  <c r="G1837" i="8" s="1"/>
  <c r="H1837" i="8" s="1"/>
  <c r="F1789" i="8"/>
  <c r="G1789" i="8" s="1"/>
  <c r="H1789" i="8" s="1"/>
  <c r="F1741" i="8"/>
  <c r="G1741" i="8" s="1"/>
  <c r="H1741" i="8" s="1"/>
  <c r="F1669" i="8"/>
  <c r="G1669" i="8" s="1"/>
  <c r="H1669" i="8" s="1"/>
  <c r="F1619" i="8"/>
  <c r="G1619" i="8" s="1"/>
  <c r="H1619" i="8" s="1"/>
  <c r="F1540" i="8"/>
  <c r="G1540" i="8" s="1"/>
  <c r="H1540" i="8" s="1"/>
  <c r="F1509" i="8"/>
  <c r="G1509" i="8" s="1"/>
  <c r="H1509" i="8" s="1"/>
  <c r="F1460" i="8"/>
  <c r="G1460" i="8" s="1"/>
  <c r="H1460" i="8" s="1"/>
  <c r="F1374" i="8"/>
  <c r="G1374" i="8" s="1"/>
  <c r="H1374" i="8" s="1"/>
  <c r="F1359" i="8"/>
  <c r="G1359" i="8" s="1"/>
  <c r="H1359" i="8" s="1"/>
  <c r="F1242" i="8"/>
  <c r="G1242" i="8" s="1"/>
  <c r="H1242" i="8" s="1"/>
  <c r="F807" i="8"/>
  <c r="G807" i="8" s="1"/>
  <c r="H807" i="8" s="1"/>
  <c r="F1879" i="8"/>
  <c r="G1879" i="8" s="1"/>
  <c r="H1879" i="8" s="1"/>
  <c r="F1745" i="8"/>
  <c r="G1745" i="8" s="1"/>
  <c r="H1745" i="8" s="1"/>
  <c r="F1705" i="8"/>
  <c r="G1705" i="8" s="1"/>
  <c r="H1705" i="8" s="1"/>
  <c r="F1605" i="8"/>
  <c r="G1605" i="8" s="1"/>
  <c r="H1605" i="8" s="1"/>
  <c r="F1370" i="8"/>
  <c r="G1370" i="8" s="1"/>
  <c r="H1370" i="8" s="1"/>
  <c r="F1491" i="8"/>
  <c r="G1491" i="8" s="1"/>
  <c r="H1491" i="8" s="1"/>
  <c r="F1417" i="8"/>
  <c r="G1417" i="8" s="1"/>
  <c r="H1417" i="8" s="1"/>
  <c r="F1188" i="8"/>
  <c r="G1188" i="8" s="1"/>
  <c r="H1188" i="8" s="1"/>
  <c r="F2103" i="8"/>
  <c r="G2103" i="8" s="1"/>
  <c r="H2103" i="8" s="1"/>
  <c r="F2055" i="8"/>
  <c r="G2055" i="8" s="1"/>
  <c r="H2055" i="8" s="1"/>
  <c r="F1971" i="8"/>
  <c r="G1971" i="8" s="1"/>
  <c r="H1971" i="8" s="1"/>
  <c r="F1923" i="8"/>
  <c r="G1923" i="8" s="1"/>
  <c r="H1923" i="8" s="1"/>
  <c r="F1779" i="8"/>
  <c r="G1779" i="8" s="1"/>
  <c r="H1779" i="8" s="1"/>
  <c r="F1731" i="8"/>
  <c r="G1731" i="8" s="1"/>
  <c r="H1731" i="8" s="1"/>
  <c r="F1655" i="8"/>
  <c r="G1655" i="8" s="1"/>
  <c r="H1655" i="8" s="1"/>
  <c r="F1386" i="8"/>
  <c r="G1386" i="8" s="1"/>
  <c r="H1386" i="8" s="1"/>
  <c r="F1344" i="8"/>
  <c r="G1344" i="8" s="1"/>
  <c r="H1344" i="8" s="1"/>
  <c r="F2089" i="8"/>
  <c r="G2089" i="8" s="1"/>
  <c r="H2089" i="8" s="1"/>
  <c r="F2099" i="8"/>
  <c r="G2099" i="8" s="1"/>
  <c r="H2099" i="8" s="1"/>
  <c r="F2075" i="8"/>
  <c r="G2075" i="8" s="1"/>
  <c r="H2075" i="8" s="1"/>
  <c r="F2051" i="8"/>
  <c r="G2051" i="8" s="1"/>
  <c r="H2051" i="8" s="1"/>
  <c r="F2027" i="8"/>
  <c r="G2027" i="8" s="1"/>
  <c r="H2027" i="8" s="1"/>
  <c r="F2003" i="8"/>
  <c r="G2003" i="8" s="1"/>
  <c r="H2003" i="8" s="1"/>
  <c r="F1955" i="8"/>
  <c r="G1955" i="8" s="1"/>
  <c r="H1955" i="8" s="1"/>
  <c r="F1907" i="8"/>
  <c r="G1907" i="8" s="1"/>
  <c r="H1907" i="8" s="1"/>
  <c r="F1859" i="8"/>
  <c r="G1859" i="8" s="1"/>
  <c r="H1859" i="8" s="1"/>
  <c r="F1811" i="8"/>
  <c r="G1811" i="8" s="1"/>
  <c r="H1811" i="8" s="1"/>
  <c r="F1763" i="8"/>
  <c r="G1763" i="8" s="1"/>
  <c r="H1763" i="8" s="1"/>
  <c r="F1683" i="8"/>
  <c r="G1683" i="8" s="1"/>
  <c r="H1683" i="8" s="1"/>
  <c r="F1679" i="8"/>
  <c r="G1679" i="8" s="1"/>
  <c r="H1679" i="8" s="1"/>
  <c r="F1668" i="8"/>
  <c r="G1668" i="8" s="1"/>
  <c r="H1668" i="8" s="1"/>
  <c r="F1633" i="8"/>
  <c r="G1633" i="8" s="1"/>
  <c r="H1633" i="8" s="1"/>
  <c r="F1618" i="8"/>
  <c r="G1618" i="8" s="1"/>
  <c r="H1618" i="8" s="1"/>
  <c r="F1553" i="8"/>
  <c r="G1553" i="8" s="1"/>
  <c r="H1553" i="8" s="1"/>
  <c r="F1531" i="8"/>
  <c r="G1531" i="8" s="1"/>
  <c r="H1531" i="8" s="1"/>
  <c r="F1468" i="8"/>
  <c r="G1468" i="8" s="1"/>
  <c r="H1468" i="8" s="1"/>
  <c r="F1313" i="8"/>
  <c r="G1313" i="8" s="1"/>
  <c r="H1313" i="8" s="1"/>
  <c r="F1167" i="8"/>
  <c r="G1167" i="8" s="1"/>
  <c r="H1167" i="8" s="1"/>
  <c r="F1136" i="8"/>
  <c r="G1136" i="8" s="1"/>
  <c r="H1136" i="8" s="1"/>
  <c r="F1931" i="8"/>
  <c r="G1931" i="8" s="1"/>
  <c r="H1931" i="8" s="1"/>
  <c r="F2025" i="8"/>
  <c r="G2025" i="8" s="1"/>
  <c r="H2025" i="8" s="1"/>
  <c r="F1953" i="8"/>
  <c r="G1953" i="8" s="1"/>
  <c r="H1953" i="8" s="1"/>
  <c r="F1761" i="8"/>
  <c r="G1761" i="8" s="1"/>
  <c r="H1761" i="8" s="1"/>
  <c r="F1985" i="8"/>
  <c r="G1985" i="8" s="1"/>
  <c r="H1985" i="8" s="1"/>
  <c r="F1889" i="8"/>
  <c r="G1889" i="8" s="1"/>
  <c r="H1889" i="8" s="1"/>
  <c r="F1793" i="8"/>
  <c r="G1793" i="8" s="1"/>
  <c r="H1793" i="8" s="1"/>
  <c r="F1537" i="8"/>
  <c r="G1537" i="8" s="1"/>
  <c r="H1537" i="8" s="1"/>
  <c r="F1719" i="8"/>
  <c r="G1719" i="8" s="1"/>
  <c r="H1719" i="8" s="1"/>
  <c r="F1951" i="8"/>
  <c r="G1951" i="8" s="1"/>
  <c r="H1951" i="8" s="1"/>
  <c r="F1881" i="8"/>
  <c r="G1881" i="8" s="1"/>
  <c r="H1881" i="8" s="1"/>
  <c r="F2071" i="8"/>
  <c r="G2071" i="8" s="1"/>
  <c r="H2071" i="8" s="1"/>
  <c r="F2047" i="8"/>
  <c r="G2047" i="8" s="1"/>
  <c r="H2047" i="8" s="1"/>
  <c r="F2023" i="8"/>
  <c r="G2023" i="8" s="1"/>
  <c r="H2023" i="8" s="1"/>
  <c r="F1581" i="8"/>
  <c r="G1581" i="8" s="1"/>
  <c r="H1581" i="8" s="1"/>
  <c r="F1505" i="8"/>
  <c r="G1505" i="8" s="1"/>
  <c r="H1505" i="8" s="1"/>
  <c r="F1455" i="8"/>
  <c r="G1455" i="8" s="1"/>
  <c r="H1455" i="8" s="1"/>
  <c r="F1143" i="8"/>
  <c r="G1143" i="8" s="1"/>
  <c r="H1143" i="8" s="1"/>
  <c r="F2057" i="8"/>
  <c r="G2057" i="8" s="1"/>
  <c r="H2057" i="8" s="1"/>
  <c r="F2033" i="8"/>
  <c r="G2033" i="8" s="1"/>
  <c r="H2033" i="8" s="1"/>
  <c r="F1935" i="8"/>
  <c r="G1935" i="8" s="1"/>
  <c r="H1935" i="8" s="1"/>
  <c r="F1887" i="8"/>
  <c r="G1887" i="8" s="1"/>
  <c r="H1887" i="8" s="1"/>
  <c r="F1743" i="8"/>
  <c r="G1743" i="8" s="1"/>
  <c r="H1743" i="8" s="1"/>
  <c r="F1717" i="8"/>
  <c r="G1717" i="8" s="1"/>
  <c r="H1717" i="8" s="1"/>
  <c r="F1545" i="8"/>
  <c r="G1545" i="8" s="1"/>
  <c r="H1545" i="8" s="1"/>
  <c r="F1450" i="8"/>
  <c r="G1450" i="8" s="1"/>
  <c r="H1450" i="8" s="1"/>
  <c r="F1393" i="8"/>
  <c r="G1393" i="8" s="1"/>
  <c r="H1393" i="8" s="1"/>
  <c r="F1298" i="8"/>
  <c r="G1298" i="8" s="1"/>
  <c r="H1298" i="8" s="1"/>
  <c r="F1290" i="8"/>
  <c r="G1290" i="8" s="1"/>
  <c r="H1290" i="8" s="1"/>
  <c r="F1206" i="8"/>
  <c r="G1206" i="8" s="1"/>
  <c r="H1206" i="8" s="1"/>
  <c r="F1201" i="8"/>
  <c r="G1201" i="8" s="1"/>
  <c r="H1201" i="8" s="1"/>
  <c r="F1177" i="8"/>
  <c r="G1177" i="8" s="1"/>
  <c r="H1177" i="8" s="1"/>
  <c r="F1087" i="8"/>
  <c r="G1087" i="8" s="1"/>
  <c r="H1087" i="8" s="1"/>
  <c r="F986" i="8"/>
  <c r="G986" i="8" s="1"/>
  <c r="H986" i="8" s="1"/>
  <c r="F894" i="8"/>
  <c r="G894" i="8" s="1"/>
  <c r="H894" i="8" s="1"/>
  <c r="F1979" i="8"/>
  <c r="G1979" i="8" s="1"/>
  <c r="H1979" i="8" s="1"/>
  <c r="F1883" i="8"/>
  <c r="G1883" i="8" s="1"/>
  <c r="H1883" i="8" s="1"/>
  <c r="F1787" i="8"/>
  <c r="G1787" i="8" s="1"/>
  <c r="H1787" i="8" s="1"/>
  <c r="F1739" i="8"/>
  <c r="G1739" i="8" s="1"/>
  <c r="H1739" i="8" s="1"/>
  <c r="F1613" i="8"/>
  <c r="G1613" i="8" s="1"/>
  <c r="H1613" i="8" s="1"/>
  <c r="F1609" i="8"/>
  <c r="G1609" i="8" s="1"/>
  <c r="H1609" i="8" s="1"/>
  <c r="F1563" i="8"/>
  <c r="G1563" i="8" s="1"/>
  <c r="H1563" i="8" s="1"/>
  <c r="F1515" i="8"/>
  <c r="G1515" i="8" s="1"/>
  <c r="H1515" i="8" s="1"/>
  <c r="F1442" i="8"/>
  <c r="G1442" i="8" s="1"/>
  <c r="H1442" i="8" s="1"/>
  <c r="F1371" i="8"/>
  <c r="G1371" i="8" s="1"/>
  <c r="H1371" i="8" s="1"/>
  <c r="F1034" i="8"/>
  <c r="G1034" i="8" s="1"/>
  <c r="H1034" i="8" s="1"/>
  <c r="F863" i="8"/>
  <c r="G863" i="8" s="1"/>
  <c r="H863" i="8" s="1"/>
  <c r="F859" i="8"/>
  <c r="G859" i="8" s="1"/>
  <c r="H859" i="8" s="1"/>
  <c r="F2097" i="8"/>
  <c r="G2097" i="8" s="1"/>
  <c r="H2097" i="8" s="1"/>
  <c r="F2001" i="8"/>
  <c r="G2001" i="8" s="1"/>
  <c r="H2001" i="8" s="1"/>
  <c r="F1975" i="8"/>
  <c r="G1975" i="8" s="1"/>
  <c r="H1975" i="8" s="1"/>
  <c r="F1927" i="8"/>
  <c r="G1927" i="8" s="1"/>
  <c r="H1927" i="8" s="1"/>
  <c r="F1905" i="8"/>
  <c r="G1905" i="8" s="1"/>
  <c r="H1905" i="8" s="1"/>
  <c r="F1857" i="8"/>
  <c r="G1857" i="8" s="1"/>
  <c r="H1857" i="8" s="1"/>
  <c r="F1831" i="8"/>
  <c r="G1831" i="8" s="1"/>
  <c r="H1831" i="8" s="1"/>
  <c r="F1783" i="8"/>
  <c r="G1783" i="8" s="1"/>
  <c r="H1783" i="8" s="1"/>
  <c r="F1735" i="8"/>
  <c r="G1735" i="8" s="1"/>
  <c r="H1735" i="8" s="1"/>
  <c r="F1695" i="8"/>
  <c r="G1695" i="8" s="1"/>
  <c r="H1695" i="8" s="1"/>
  <c r="F1473" i="8"/>
  <c r="G1473" i="8" s="1"/>
  <c r="H1473" i="8" s="1"/>
  <c r="F1430" i="8"/>
  <c r="G1430" i="8" s="1"/>
  <c r="H1430" i="8" s="1"/>
  <c r="F1396" i="8"/>
  <c r="G1396" i="8" s="1"/>
  <c r="H1396" i="8" s="1"/>
  <c r="F1341" i="8"/>
  <c r="G1341" i="8" s="1"/>
  <c r="H1341" i="8" s="1"/>
  <c r="F1236" i="8"/>
  <c r="G1236" i="8" s="1"/>
  <c r="H1236" i="8" s="1"/>
  <c r="F1209" i="8"/>
  <c r="G1209" i="8" s="1"/>
  <c r="H1209" i="8" s="1"/>
  <c r="F1114" i="8"/>
  <c r="G1114" i="8" s="1"/>
  <c r="H1114" i="8" s="1"/>
  <c r="F1090" i="8"/>
  <c r="G1090" i="8" s="1"/>
  <c r="H1090" i="8" s="1"/>
  <c r="F1082" i="8"/>
  <c r="G1082" i="8" s="1"/>
  <c r="H1082" i="8" s="1"/>
  <c r="F791" i="8"/>
  <c r="G791" i="8" s="1"/>
  <c r="H791" i="8" s="1"/>
  <c r="F735" i="8"/>
  <c r="G735" i="8" s="1"/>
  <c r="H735" i="8" s="1"/>
  <c r="F2107" i="8"/>
  <c r="G2107" i="8" s="1"/>
  <c r="H2107" i="8" s="1"/>
  <c r="F2011" i="8"/>
  <c r="G2011" i="8" s="1"/>
  <c r="H2011" i="8" s="1"/>
  <c r="F1649" i="8"/>
  <c r="G1649" i="8" s="1"/>
  <c r="H1649" i="8" s="1"/>
  <c r="F1575" i="8"/>
  <c r="G1575" i="8" s="1"/>
  <c r="H1575" i="8" s="1"/>
  <c r="F1507" i="8"/>
  <c r="G1507" i="8" s="1"/>
  <c r="H1507" i="8" s="1"/>
  <c r="F1403" i="8"/>
  <c r="G1403" i="8" s="1"/>
  <c r="H1403" i="8" s="1"/>
  <c r="F1285" i="8"/>
  <c r="G1285" i="8" s="1"/>
  <c r="H1285" i="8" s="1"/>
  <c r="F1075" i="8"/>
  <c r="G1075" i="8" s="1"/>
  <c r="H1075" i="8" s="1"/>
  <c r="F771" i="8"/>
  <c r="G771" i="8" s="1"/>
  <c r="H771" i="8" s="1"/>
  <c r="F739" i="8"/>
  <c r="G739" i="8" s="1"/>
  <c r="H739" i="8" s="1"/>
  <c r="F94" i="8"/>
  <c r="G94" i="8" s="1"/>
  <c r="H94" i="8" s="1"/>
  <c r="F2045" i="8"/>
  <c r="G2045" i="8" s="1"/>
  <c r="H2045" i="8" s="1"/>
  <c r="F2021" i="8"/>
  <c r="G2021" i="8" s="1"/>
  <c r="H2021" i="8" s="1"/>
  <c r="F1911" i="8"/>
  <c r="G1911" i="8" s="1"/>
  <c r="H1911" i="8" s="1"/>
  <c r="F1715" i="8"/>
  <c r="G1715" i="8" s="1"/>
  <c r="H1715" i="8" s="1"/>
  <c r="F1627" i="8"/>
  <c r="G1627" i="8" s="1"/>
  <c r="H1627" i="8" s="1"/>
  <c r="F1579" i="8"/>
  <c r="G1579" i="8" s="1"/>
  <c r="H1579" i="8" s="1"/>
  <c r="F2037" i="8"/>
  <c r="G2037" i="8" s="1"/>
  <c r="H2037" i="8" s="1"/>
  <c r="F2013" i="8"/>
  <c r="G2013" i="8" s="1"/>
  <c r="H2013" i="8" s="1"/>
  <c r="F1999" i="8"/>
  <c r="G1999" i="8" s="1"/>
  <c r="H1999" i="8" s="1"/>
  <c r="F1977" i="8"/>
  <c r="G1977" i="8" s="1"/>
  <c r="H1977" i="8" s="1"/>
  <c r="F1929" i="8"/>
  <c r="G1929" i="8" s="1"/>
  <c r="H1929" i="8" s="1"/>
  <c r="F1855" i="8"/>
  <c r="G1855" i="8" s="1"/>
  <c r="H1855" i="8" s="1"/>
  <c r="F1833" i="8"/>
  <c r="G1833" i="8" s="1"/>
  <c r="H1833" i="8" s="1"/>
  <c r="F1807" i="8"/>
  <c r="G1807" i="8" s="1"/>
  <c r="H1807" i="8" s="1"/>
  <c r="F1785" i="8"/>
  <c r="G1785" i="8" s="1"/>
  <c r="H1785" i="8" s="1"/>
  <c r="F1737" i="8"/>
  <c r="G1737" i="8" s="1"/>
  <c r="H1737" i="8" s="1"/>
  <c r="F1693" i="8"/>
  <c r="G1693" i="8" s="1"/>
  <c r="H1693" i="8" s="1"/>
  <c r="F1611" i="8"/>
  <c r="G1611" i="8" s="1"/>
  <c r="H1611" i="8" s="1"/>
  <c r="F1546" i="8"/>
  <c r="G1546" i="8" s="1"/>
  <c r="H1546" i="8" s="1"/>
  <c r="F1535" i="8"/>
  <c r="G1535" i="8" s="1"/>
  <c r="H1535" i="8" s="1"/>
  <c r="F1525" i="8"/>
  <c r="G1525" i="8" s="1"/>
  <c r="H1525" i="8" s="1"/>
  <c r="F1405" i="8"/>
  <c r="G1405" i="8" s="1"/>
  <c r="H1405" i="8" s="1"/>
  <c r="F1373" i="8"/>
  <c r="G1373" i="8" s="1"/>
  <c r="H1373" i="8" s="1"/>
  <c r="F1332" i="8"/>
  <c r="G1332" i="8" s="1"/>
  <c r="H1332" i="8" s="1"/>
  <c r="F1234" i="8"/>
  <c r="G1234" i="8" s="1"/>
  <c r="H1234" i="8" s="1"/>
  <c r="F1215" i="8"/>
  <c r="G1215" i="8" s="1"/>
  <c r="H1215" i="8" s="1"/>
  <c r="F1191" i="8"/>
  <c r="G1191" i="8" s="1"/>
  <c r="H1191" i="8" s="1"/>
  <c r="F979" i="8"/>
  <c r="G979" i="8" s="1"/>
  <c r="H979" i="8" s="1"/>
  <c r="F923" i="8"/>
  <c r="G923" i="8" s="1"/>
  <c r="H923" i="8" s="1"/>
  <c r="F651" i="8"/>
  <c r="G651" i="8" s="1"/>
  <c r="H651" i="8" s="1"/>
  <c r="F1961" i="8"/>
  <c r="G1961" i="8" s="1"/>
  <c r="H1961" i="8" s="1"/>
  <c r="F1913" i="8"/>
  <c r="G1913" i="8" s="1"/>
  <c r="H1913" i="8" s="1"/>
  <c r="F1865" i="8"/>
  <c r="G1865" i="8" s="1"/>
  <c r="H1865" i="8" s="1"/>
  <c r="F1817" i="8"/>
  <c r="G1817" i="8" s="1"/>
  <c r="H1817" i="8" s="1"/>
  <c r="F1769" i="8"/>
  <c r="G1769" i="8" s="1"/>
  <c r="H1769" i="8" s="1"/>
  <c r="F1721" i="8"/>
  <c r="G1721" i="8" s="1"/>
  <c r="H1721" i="8" s="1"/>
  <c r="F1707" i="8"/>
  <c r="G1707" i="8" s="1"/>
  <c r="H1707" i="8" s="1"/>
  <c r="F1703" i="8"/>
  <c r="G1703" i="8" s="1"/>
  <c r="H1703" i="8" s="1"/>
  <c r="F1643" i="8"/>
  <c r="G1643" i="8" s="1"/>
  <c r="H1643" i="8" s="1"/>
  <c r="F1629" i="8"/>
  <c r="G1629" i="8" s="1"/>
  <c r="H1629" i="8" s="1"/>
  <c r="F1625" i="8"/>
  <c r="G1625" i="8" s="1"/>
  <c r="H1625" i="8" s="1"/>
  <c r="F1439" i="8"/>
  <c r="G1439" i="8" s="1"/>
  <c r="H1439" i="8" s="1"/>
  <c r="F1389" i="8"/>
  <c r="G1389" i="8" s="1"/>
  <c r="H1389" i="8" s="1"/>
  <c r="F939" i="8"/>
  <c r="G939" i="8" s="1"/>
  <c r="H939" i="8" s="1"/>
  <c r="F2105" i="8"/>
  <c r="G2105" i="8" s="1"/>
  <c r="H2105" i="8" s="1"/>
  <c r="F2081" i="8"/>
  <c r="G2081" i="8" s="1"/>
  <c r="H2081" i="8" s="1"/>
  <c r="F2009" i="8"/>
  <c r="G2009" i="8" s="1"/>
  <c r="H2009" i="8" s="1"/>
  <c r="F1983" i="8"/>
  <c r="G1983" i="8" s="1"/>
  <c r="H1983" i="8" s="1"/>
  <c r="F1839" i="8"/>
  <c r="G1839" i="8" s="1"/>
  <c r="H1839" i="8" s="1"/>
  <c r="F1791" i="8"/>
  <c r="G1791" i="8" s="1"/>
  <c r="H1791" i="8" s="1"/>
  <c r="F1661" i="8"/>
  <c r="G1661" i="8" s="1"/>
  <c r="H1661" i="8" s="1"/>
  <c r="F1647" i="8"/>
  <c r="G1647" i="8" s="1"/>
  <c r="H1647" i="8" s="1"/>
  <c r="F1603" i="8"/>
  <c r="G1603" i="8" s="1"/>
  <c r="H1603" i="8" s="1"/>
  <c r="F1556" i="8"/>
  <c r="G1556" i="8" s="1"/>
  <c r="H1556" i="8" s="1"/>
  <c r="F1485" i="8"/>
  <c r="G1485" i="8" s="1"/>
  <c r="H1485" i="8" s="1"/>
  <c r="F1481" i="8"/>
  <c r="G1481" i="8" s="1"/>
  <c r="H1481" i="8" s="1"/>
  <c r="F2115" i="8"/>
  <c r="G2115" i="8" s="1"/>
  <c r="H2115" i="8" s="1"/>
  <c r="F2091" i="8"/>
  <c r="G2091" i="8" s="1"/>
  <c r="H2091" i="8" s="1"/>
  <c r="F2067" i="8"/>
  <c r="G2067" i="8" s="1"/>
  <c r="H2067" i="8" s="1"/>
  <c r="F2043" i="8"/>
  <c r="G2043" i="8" s="1"/>
  <c r="H2043" i="8" s="1"/>
  <c r="F2019" i="8"/>
  <c r="G2019" i="8" s="1"/>
  <c r="H2019" i="8" s="1"/>
  <c r="F1995" i="8"/>
  <c r="G1995" i="8" s="1"/>
  <c r="H1995" i="8" s="1"/>
  <c r="F1947" i="8"/>
  <c r="G1947" i="8" s="1"/>
  <c r="H1947" i="8" s="1"/>
  <c r="F1899" i="8"/>
  <c r="G1899" i="8" s="1"/>
  <c r="H1899" i="8" s="1"/>
  <c r="F1851" i="8"/>
  <c r="G1851" i="8" s="1"/>
  <c r="H1851" i="8" s="1"/>
  <c r="F1803" i="8"/>
  <c r="G1803" i="8" s="1"/>
  <c r="H1803" i="8" s="1"/>
  <c r="F1755" i="8"/>
  <c r="G1755" i="8" s="1"/>
  <c r="H1755" i="8" s="1"/>
  <c r="F1716" i="8"/>
  <c r="G1716" i="8" s="1"/>
  <c r="H1716" i="8" s="1"/>
  <c r="F1657" i="8"/>
  <c r="G1657" i="8" s="1"/>
  <c r="H1657" i="8" s="1"/>
  <c r="F1617" i="8"/>
  <c r="G1617" i="8" s="1"/>
  <c r="H1617" i="8" s="1"/>
  <c r="F1602" i="8"/>
  <c r="G1602" i="8" s="1"/>
  <c r="H1602" i="8" s="1"/>
  <c r="F1591" i="8"/>
  <c r="G1591" i="8" s="1"/>
  <c r="H1591" i="8" s="1"/>
  <c r="F1570" i="8"/>
  <c r="G1570" i="8" s="1"/>
  <c r="H1570" i="8" s="1"/>
  <c r="F1559" i="8"/>
  <c r="G1559" i="8" s="1"/>
  <c r="H1559" i="8" s="1"/>
  <c r="F1504" i="8"/>
  <c r="G1504" i="8" s="1"/>
  <c r="H1504" i="8" s="1"/>
  <c r="F1470" i="8"/>
  <c r="G1470" i="8" s="1"/>
  <c r="H1470" i="8" s="1"/>
  <c r="F1463" i="8"/>
  <c r="G1463" i="8" s="1"/>
  <c r="H1463" i="8" s="1"/>
  <c r="F1377" i="8"/>
  <c r="G1377" i="8" s="1"/>
  <c r="H1377" i="8" s="1"/>
  <c r="F1350" i="8"/>
  <c r="G1350" i="8" s="1"/>
  <c r="H1350" i="8" s="1"/>
  <c r="F1320" i="8"/>
  <c r="G1320" i="8" s="1"/>
  <c r="H1320" i="8" s="1"/>
  <c r="F1316" i="8"/>
  <c r="G1316" i="8" s="1"/>
  <c r="H1316" i="8" s="1"/>
  <c r="F1123" i="8"/>
  <c r="G1123" i="8" s="1"/>
  <c r="H1123" i="8" s="1"/>
  <c r="F1119" i="8"/>
  <c r="G1119" i="8" s="1"/>
  <c r="H1119" i="8" s="1"/>
  <c r="F1103" i="8"/>
  <c r="G1103" i="8" s="1"/>
  <c r="H1103" i="8" s="1"/>
  <c r="F856" i="8"/>
  <c r="G856" i="8" s="1"/>
  <c r="H856" i="8" s="1"/>
  <c r="F668" i="8"/>
  <c r="G668" i="8" s="1"/>
  <c r="H668" i="8" s="1"/>
  <c r="F521" i="8"/>
  <c r="G521" i="8" s="1"/>
  <c r="H521" i="8" s="1"/>
  <c r="F2111" i="8"/>
  <c r="G2111" i="8" s="1"/>
  <c r="H2111" i="8" s="1"/>
  <c r="F2063" i="8"/>
  <c r="G2063" i="8" s="1"/>
  <c r="H2063" i="8" s="1"/>
  <c r="F1681" i="8"/>
  <c r="G1681" i="8" s="1"/>
  <c r="H1681" i="8" s="1"/>
  <c r="F2073" i="8"/>
  <c r="G2073" i="8" s="1"/>
  <c r="H2073" i="8" s="1"/>
  <c r="F2049" i="8"/>
  <c r="G2049" i="8" s="1"/>
  <c r="H2049" i="8" s="1"/>
  <c r="F1709" i="8"/>
  <c r="G1709" i="8" s="1"/>
  <c r="H1709" i="8" s="1"/>
  <c r="F1635" i="8"/>
  <c r="G1635" i="8" s="1"/>
  <c r="H1635" i="8" s="1"/>
  <c r="F1937" i="8"/>
  <c r="G1937" i="8" s="1"/>
  <c r="H1937" i="8" s="1"/>
  <c r="F1841" i="8"/>
  <c r="G1841" i="8" s="1"/>
  <c r="H1841" i="8" s="1"/>
  <c r="F1601" i="8"/>
  <c r="G1601" i="8" s="1"/>
  <c r="H1601" i="8" s="1"/>
  <c r="F2093" i="8"/>
  <c r="G2093" i="8" s="1"/>
  <c r="H2093" i="8" s="1"/>
  <c r="F2069" i="8"/>
  <c r="G2069" i="8" s="1"/>
  <c r="H2069" i="8" s="1"/>
  <c r="F1959" i="8"/>
  <c r="G1959" i="8" s="1"/>
  <c r="H1959" i="8" s="1"/>
  <c r="F1863" i="8"/>
  <c r="G1863" i="8" s="1"/>
  <c r="H1863" i="8" s="1"/>
  <c r="F1815" i="8"/>
  <c r="G1815" i="8" s="1"/>
  <c r="H1815" i="8" s="1"/>
  <c r="F1767" i="8"/>
  <c r="G1767" i="8" s="1"/>
  <c r="H1767" i="8" s="1"/>
  <c r="F1645" i="8"/>
  <c r="G1645" i="8" s="1"/>
  <c r="H1645" i="8" s="1"/>
  <c r="F2109" i="8"/>
  <c r="G2109" i="8" s="1"/>
  <c r="H2109" i="8" s="1"/>
  <c r="F2085" i="8"/>
  <c r="G2085" i="8" s="1"/>
  <c r="H2085" i="8" s="1"/>
  <c r="F2061" i="8"/>
  <c r="G2061" i="8" s="1"/>
  <c r="H2061" i="8" s="1"/>
  <c r="F1903" i="8"/>
  <c r="G1903" i="8" s="1"/>
  <c r="H1903" i="8" s="1"/>
  <c r="F1759" i="8"/>
  <c r="G1759" i="8" s="1"/>
  <c r="H1759" i="8" s="1"/>
  <c r="F2095" i="8"/>
  <c r="G2095" i="8" s="1"/>
  <c r="H2095" i="8" s="1"/>
  <c r="F2101" i="8"/>
  <c r="G2101" i="8" s="1"/>
  <c r="H2101" i="8" s="1"/>
  <c r="F2077" i="8"/>
  <c r="G2077" i="8" s="1"/>
  <c r="H2077" i="8" s="1"/>
  <c r="F2053" i="8"/>
  <c r="G2053" i="8" s="1"/>
  <c r="H2053" i="8" s="1"/>
  <c r="F2029" i="8"/>
  <c r="G2029" i="8" s="1"/>
  <c r="H2029" i="8" s="1"/>
  <c r="F2005" i="8"/>
  <c r="G2005" i="8" s="1"/>
  <c r="H2005" i="8" s="1"/>
  <c r="F1972" i="8"/>
  <c r="G1972" i="8" s="1"/>
  <c r="H1972" i="8" s="1"/>
  <c r="F1963" i="8"/>
  <c r="G1963" i="8" s="1"/>
  <c r="H1963" i="8" s="1"/>
  <c r="F1957" i="8"/>
  <c r="G1957" i="8" s="1"/>
  <c r="H1957" i="8" s="1"/>
  <c r="F1924" i="8"/>
  <c r="G1924" i="8" s="1"/>
  <c r="H1924" i="8" s="1"/>
  <c r="F1915" i="8"/>
  <c r="G1915" i="8" s="1"/>
  <c r="H1915" i="8" s="1"/>
  <c r="F1909" i="8"/>
  <c r="G1909" i="8" s="1"/>
  <c r="H1909" i="8" s="1"/>
  <c r="F1876" i="8"/>
  <c r="G1876" i="8" s="1"/>
  <c r="H1876" i="8" s="1"/>
  <c r="F1867" i="8"/>
  <c r="G1867" i="8" s="1"/>
  <c r="H1867" i="8" s="1"/>
  <c r="F1861" i="8"/>
  <c r="G1861" i="8" s="1"/>
  <c r="H1861" i="8" s="1"/>
  <c r="F1828" i="8"/>
  <c r="G1828" i="8" s="1"/>
  <c r="H1828" i="8" s="1"/>
  <c r="F1819" i="8"/>
  <c r="G1819" i="8" s="1"/>
  <c r="H1819" i="8" s="1"/>
  <c r="F1813" i="8"/>
  <c r="G1813" i="8" s="1"/>
  <c r="H1813" i="8" s="1"/>
  <c r="F1780" i="8"/>
  <c r="G1780" i="8" s="1"/>
  <c r="H1780" i="8" s="1"/>
  <c r="F1771" i="8"/>
  <c r="G1771" i="8" s="1"/>
  <c r="H1771" i="8" s="1"/>
  <c r="F1765" i="8"/>
  <c r="G1765" i="8" s="1"/>
  <c r="H1765" i="8" s="1"/>
  <c r="F1732" i="8"/>
  <c r="G1732" i="8" s="1"/>
  <c r="H1732" i="8" s="1"/>
  <c r="F1723" i="8"/>
  <c r="G1723" i="8" s="1"/>
  <c r="H1723" i="8" s="1"/>
  <c r="F1671" i="8"/>
  <c r="G1671" i="8" s="1"/>
  <c r="H1671" i="8" s="1"/>
  <c r="F1667" i="8"/>
  <c r="G1667" i="8" s="1"/>
  <c r="H1667" i="8" s="1"/>
  <c r="F1656" i="8"/>
  <c r="G1656" i="8" s="1"/>
  <c r="H1656" i="8" s="1"/>
  <c r="F1595" i="8"/>
  <c r="G1595" i="8" s="1"/>
  <c r="H1595" i="8" s="1"/>
  <c r="F1585" i="8"/>
  <c r="G1585" i="8" s="1"/>
  <c r="H1585" i="8" s="1"/>
  <c r="F1484" i="8"/>
  <c r="G1484" i="8" s="1"/>
  <c r="H1484" i="8" s="1"/>
  <c r="F1449" i="8"/>
  <c r="G1449" i="8" s="1"/>
  <c r="H1449" i="8" s="1"/>
  <c r="F1364" i="8"/>
  <c r="G1364" i="8" s="1"/>
  <c r="H1364" i="8" s="1"/>
  <c r="F1301" i="8"/>
  <c r="G1301" i="8" s="1"/>
  <c r="H1301" i="8" s="1"/>
  <c r="F1255" i="8"/>
  <c r="G1255" i="8" s="1"/>
  <c r="H1255" i="8" s="1"/>
  <c r="F1251" i="8"/>
  <c r="G1251" i="8" s="1"/>
  <c r="H1251" i="8" s="1"/>
  <c r="F1146" i="8"/>
  <c r="G1146" i="8" s="1"/>
  <c r="H1146" i="8" s="1"/>
  <c r="F1095" i="8"/>
  <c r="G1095" i="8" s="1"/>
  <c r="H1095" i="8" s="1"/>
  <c r="F1379" i="8"/>
  <c r="G1379" i="8" s="1"/>
  <c r="H1379" i="8" s="1"/>
  <c r="F1195" i="8"/>
  <c r="G1195" i="8" s="1"/>
  <c r="H1195" i="8" s="1"/>
  <c r="F1577" i="8"/>
  <c r="G1577" i="8" s="1"/>
  <c r="H1577" i="8" s="1"/>
  <c r="F1429" i="8"/>
  <c r="G1429" i="8" s="1"/>
  <c r="H1429" i="8" s="1"/>
  <c r="F1149" i="8"/>
  <c r="G1149" i="8" s="1"/>
  <c r="H1149" i="8" s="1"/>
  <c r="F708" i="8"/>
  <c r="G708" i="8" s="1"/>
  <c r="H708" i="8" s="1"/>
  <c r="F1555" i="8"/>
  <c r="G1555" i="8" s="1"/>
  <c r="H1555" i="8" s="1"/>
  <c r="F1145" i="8"/>
  <c r="G1145" i="8" s="1"/>
  <c r="H1145" i="8" s="1"/>
  <c r="F1598" i="8"/>
  <c r="G1598" i="8" s="1"/>
  <c r="H1598" i="8" s="1"/>
  <c r="F1336" i="8"/>
  <c r="G1336" i="8" s="1"/>
  <c r="H1336" i="8" s="1"/>
  <c r="F1330" i="8"/>
  <c r="G1330" i="8" s="1"/>
  <c r="H1330" i="8" s="1"/>
  <c r="F1308" i="8"/>
  <c r="G1308" i="8" s="1"/>
  <c r="H1308" i="8" s="1"/>
  <c r="F1283" i="8"/>
  <c r="G1283" i="8" s="1"/>
  <c r="H1283" i="8" s="1"/>
  <c r="F1213" i="8"/>
  <c r="G1213" i="8" s="1"/>
  <c r="H1213" i="8" s="1"/>
  <c r="F1165" i="8"/>
  <c r="G1165" i="8" s="1"/>
  <c r="H1165" i="8" s="1"/>
  <c r="F1134" i="8"/>
  <c r="G1134" i="8" s="1"/>
  <c r="H1134" i="8" s="1"/>
  <c r="F1117" i="8"/>
  <c r="G1117" i="8" s="1"/>
  <c r="H1117" i="8" s="1"/>
  <c r="F1096" i="8"/>
  <c r="G1096" i="8" s="1"/>
  <c r="H1096" i="8" s="1"/>
  <c r="F1064" i="8"/>
  <c r="G1064" i="8" s="1"/>
  <c r="H1064" i="8" s="1"/>
  <c r="F1025" i="8"/>
  <c r="G1025" i="8" s="1"/>
  <c r="H1025" i="8" s="1"/>
  <c r="F910" i="8"/>
  <c r="G910" i="8" s="1"/>
  <c r="H910" i="8" s="1"/>
  <c r="F906" i="8"/>
  <c r="G906" i="8" s="1"/>
  <c r="H906" i="8" s="1"/>
  <c r="F767" i="8"/>
  <c r="G767" i="8" s="1"/>
  <c r="H767" i="8" s="1"/>
  <c r="F613" i="8"/>
  <c r="G613" i="8" s="1"/>
  <c r="H613" i="8" s="1"/>
  <c r="F592" i="8"/>
  <c r="G592" i="8" s="1"/>
  <c r="H592" i="8" s="1"/>
  <c r="F1297" i="8"/>
  <c r="G1297" i="8" s="1"/>
  <c r="H1297" i="8" s="1"/>
  <c r="F1187" i="8"/>
  <c r="G1187" i="8" s="1"/>
  <c r="H1187" i="8" s="1"/>
  <c r="F1037" i="8"/>
  <c r="G1037" i="8" s="1"/>
  <c r="H1037" i="8" s="1"/>
  <c r="F743" i="8"/>
  <c r="G743" i="8" s="1"/>
  <c r="H743" i="8" s="1"/>
  <c r="F728" i="8"/>
  <c r="G728" i="8" s="1"/>
  <c r="H728" i="8" s="1"/>
  <c r="F1561" i="8"/>
  <c r="G1561" i="8" s="1"/>
  <c r="H1561" i="8" s="1"/>
  <c r="F1547" i="8"/>
  <c r="G1547" i="8" s="1"/>
  <c r="H1547" i="8" s="1"/>
  <c r="F1369" i="8"/>
  <c r="G1369" i="8" s="1"/>
  <c r="H1369" i="8" s="1"/>
  <c r="F1331" i="8"/>
  <c r="G1331" i="8" s="1"/>
  <c r="H1331" i="8" s="1"/>
  <c r="F1280" i="8"/>
  <c r="G1280" i="8" s="1"/>
  <c r="H1280" i="8" s="1"/>
  <c r="F1051" i="8"/>
  <c r="G1051" i="8" s="1"/>
  <c r="H1051" i="8" s="1"/>
  <c r="F997" i="8"/>
  <c r="G997" i="8" s="1"/>
  <c r="H997" i="8" s="1"/>
  <c r="F887" i="8"/>
  <c r="G887" i="8" s="1"/>
  <c r="H887" i="8" s="1"/>
  <c r="F874" i="8"/>
  <c r="G874" i="8" s="1"/>
  <c r="H874" i="8" s="1"/>
  <c r="F701" i="8"/>
  <c r="G701" i="8" s="1"/>
  <c r="H701" i="8" s="1"/>
  <c r="F601" i="8"/>
  <c r="G601" i="8" s="1"/>
  <c r="H601" i="8" s="1"/>
  <c r="F549" i="8"/>
  <c r="G549" i="8" s="1"/>
  <c r="H549" i="8" s="1"/>
  <c r="F527" i="8"/>
  <c r="G527" i="8" s="1"/>
  <c r="H527" i="8" s="1"/>
  <c r="F1503" i="8"/>
  <c r="G1503" i="8" s="1"/>
  <c r="H1503" i="8" s="1"/>
  <c r="F1355" i="8"/>
  <c r="G1355" i="8" s="1"/>
  <c r="H1355" i="8" s="1"/>
  <c r="F1183" i="8"/>
  <c r="G1183" i="8" s="1"/>
  <c r="H1183" i="8" s="1"/>
  <c r="F1001" i="8"/>
  <c r="G1001" i="8" s="1"/>
  <c r="H1001" i="8" s="1"/>
  <c r="F938" i="8"/>
  <c r="G938" i="8" s="1"/>
  <c r="H938" i="8" s="1"/>
  <c r="F819" i="8"/>
  <c r="G819" i="8" s="1"/>
  <c r="H819" i="8" s="1"/>
  <c r="F802" i="8"/>
  <c r="G802" i="8" s="1"/>
  <c r="H802" i="8" s="1"/>
  <c r="F531" i="8"/>
  <c r="G531" i="8" s="1"/>
  <c r="H531" i="8" s="1"/>
  <c r="F1443" i="8"/>
  <c r="G1443" i="8" s="1"/>
  <c r="H1443" i="8" s="1"/>
  <c r="F1321" i="8"/>
  <c r="G1321" i="8" s="1"/>
  <c r="H1321" i="8" s="1"/>
  <c r="F1269" i="8"/>
  <c r="G1269" i="8" s="1"/>
  <c r="H1269" i="8" s="1"/>
  <c r="F1253" i="8"/>
  <c r="G1253" i="8" s="1"/>
  <c r="H1253" i="8" s="1"/>
  <c r="F1097" i="8"/>
  <c r="G1097" i="8" s="1"/>
  <c r="H1097" i="8" s="1"/>
  <c r="F823" i="8"/>
  <c r="G823" i="8" s="1"/>
  <c r="H823" i="8" s="1"/>
  <c r="F691" i="8"/>
  <c r="G691" i="8" s="1"/>
  <c r="H691" i="8" s="1"/>
  <c r="F654" i="8"/>
  <c r="G654" i="8" s="1"/>
  <c r="H654" i="8" s="1"/>
  <c r="F574" i="8"/>
  <c r="G574" i="8" s="1"/>
  <c r="H574" i="8" s="1"/>
  <c r="F1571" i="8"/>
  <c r="G1571" i="8" s="1"/>
  <c r="H1571" i="8" s="1"/>
  <c r="F1568" i="8"/>
  <c r="G1568" i="8" s="1"/>
  <c r="H1568" i="8" s="1"/>
  <c r="F1406" i="8"/>
  <c r="G1406" i="8" s="1"/>
  <c r="H1406" i="8" s="1"/>
  <c r="F1387" i="8"/>
  <c r="G1387" i="8" s="1"/>
  <c r="H1387" i="8" s="1"/>
  <c r="F1357" i="8"/>
  <c r="G1357" i="8" s="1"/>
  <c r="H1357" i="8" s="1"/>
  <c r="F1324" i="8"/>
  <c r="G1324" i="8" s="1"/>
  <c r="H1324" i="8" s="1"/>
  <c r="F1272" i="8"/>
  <c r="G1272" i="8" s="1"/>
  <c r="H1272" i="8" s="1"/>
  <c r="F1223" i="8"/>
  <c r="G1223" i="8" s="1"/>
  <c r="H1223" i="8" s="1"/>
  <c r="F1189" i="8"/>
  <c r="G1189" i="8" s="1"/>
  <c r="H1189" i="8" s="1"/>
  <c r="F1182" i="8"/>
  <c r="G1182" i="8" s="1"/>
  <c r="H1182" i="8" s="1"/>
  <c r="F1067" i="8"/>
  <c r="G1067" i="8" s="1"/>
  <c r="H1067" i="8" s="1"/>
  <c r="F977" i="8"/>
  <c r="G977" i="8" s="1"/>
  <c r="H977" i="8" s="1"/>
  <c r="F945" i="8"/>
  <c r="G945" i="8" s="1"/>
  <c r="H945" i="8" s="1"/>
  <c r="F845" i="8"/>
  <c r="G845" i="8" s="1"/>
  <c r="H845" i="8" s="1"/>
  <c r="F841" i="8"/>
  <c r="G841" i="8" s="1"/>
  <c r="H841" i="8" s="1"/>
  <c r="F809" i="8"/>
  <c r="G809" i="8" s="1"/>
  <c r="H809" i="8" s="1"/>
  <c r="F754" i="8"/>
  <c r="G754" i="8" s="1"/>
  <c r="H754" i="8" s="1"/>
  <c r="F621" i="8"/>
  <c r="G621" i="8" s="1"/>
  <c r="H621" i="8" s="1"/>
  <c r="F617" i="8"/>
  <c r="G617" i="8" s="1"/>
  <c r="H617" i="8" s="1"/>
  <c r="F209" i="8"/>
  <c r="G209" i="8" s="1"/>
  <c r="H209" i="8" s="1"/>
  <c r="F1584" i="8"/>
  <c r="G1584" i="8" s="1"/>
  <c r="H1584" i="8" s="1"/>
  <c r="F1493" i="8"/>
  <c r="G1493" i="8" s="1"/>
  <c r="H1493" i="8" s="1"/>
  <c r="F1348" i="8"/>
  <c r="G1348" i="8" s="1"/>
  <c r="H1348" i="8" s="1"/>
  <c r="F1140" i="8"/>
  <c r="G1140" i="8" s="1"/>
  <c r="H1140" i="8" s="1"/>
  <c r="F976" i="8"/>
  <c r="G976" i="8" s="1"/>
  <c r="H976" i="8" s="1"/>
  <c r="F970" i="8"/>
  <c r="G970" i="8" s="1"/>
  <c r="H970" i="8" s="1"/>
  <c r="F949" i="8"/>
  <c r="G949" i="8" s="1"/>
  <c r="H949" i="8" s="1"/>
  <c r="F849" i="8"/>
  <c r="G849" i="8" s="1"/>
  <c r="H849" i="8" s="1"/>
  <c r="F782" i="8"/>
  <c r="G782" i="8" s="1"/>
  <c r="H782" i="8" s="1"/>
  <c r="F758" i="8"/>
  <c r="G758" i="8" s="1"/>
  <c r="H758" i="8" s="1"/>
  <c r="F699" i="8"/>
  <c r="G699" i="8" s="1"/>
  <c r="H699" i="8" s="1"/>
  <c r="F695" i="8"/>
  <c r="G695" i="8" s="1"/>
  <c r="H695" i="8" s="1"/>
  <c r="F632" i="8"/>
  <c r="G632" i="8" s="1"/>
  <c r="H632" i="8" s="1"/>
  <c r="F396" i="8"/>
  <c r="G396" i="8" s="1"/>
  <c r="H396" i="8" s="1"/>
  <c r="F1523" i="8"/>
  <c r="G1523" i="8" s="1"/>
  <c r="H1523" i="8" s="1"/>
  <c r="F1385" i="8"/>
  <c r="G1385" i="8" s="1"/>
  <c r="H1385" i="8" s="1"/>
  <c r="F815" i="8"/>
  <c r="G815" i="8" s="1"/>
  <c r="H815" i="8" s="1"/>
  <c r="F558" i="8"/>
  <c r="G558" i="8" s="1"/>
  <c r="H558" i="8" s="1"/>
  <c r="F1467" i="8"/>
  <c r="G1467" i="8" s="1"/>
  <c r="H1467" i="8" s="1"/>
  <c r="F1135" i="8"/>
  <c r="G1135" i="8" s="1"/>
  <c r="H1135" i="8" s="1"/>
  <c r="F692" i="8"/>
  <c r="G692" i="8" s="1"/>
  <c r="H692" i="8" s="1"/>
  <c r="F1349" i="8"/>
  <c r="G1349" i="8" s="1"/>
  <c r="H1349" i="8" s="1"/>
  <c r="F605" i="8"/>
  <c r="G605" i="8" s="1"/>
  <c r="H605" i="8" s="1"/>
  <c r="F1539" i="8"/>
  <c r="G1539" i="8" s="1"/>
  <c r="H1539" i="8" s="1"/>
  <c r="F1511" i="8"/>
  <c r="G1511" i="8" s="1"/>
  <c r="H1511" i="8" s="1"/>
  <c r="F1337" i="8"/>
  <c r="G1337" i="8" s="1"/>
  <c r="H1337" i="8" s="1"/>
  <c r="F1538" i="8"/>
  <c r="G1538" i="8" s="1"/>
  <c r="H1538" i="8" s="1"/>
  <c r="G1942" i="8"/>
  <c r="H1942" i="8" s="1"/>
  <c r="F1592" i="8"/>
  <c r="G1592" i="8" s="1"/>
  <c r="H1592" i="8" s="1"/>
  <c r="F1516" i="8"/>
  <c r="G1516" i="8" s="1"/>
  <c r="H1516" i="8" s="1"/>
  <c r="F1424" i="8"/>
  <c r="G1424" i="8" s="1"/>
  <c r="H1424" i="8" s="1"/>
  <c r="F1248" i="8"/>
  <c r="G1248" i="8" s="1"/>
  <c r="H1248" i="8" s="1"/>
  <c r="F1216" i="8"/>
  <c r="G1216" i="8" s="1"/>
  <c r="H1216" i="8" s="1"/>
  <c r="F1063" i="8"/>
  <c r="G1063" i="8" s="1"/>
  <c r="H1063" i="8" s="1"/>
  <c r="F1059" i="8"/>
  <c r="G1059" i="8" s="1"/>
  <c r="H1059" i="8" s="1"/>
  <c r="F983" i="8"/>
  <c r="G983" i="8" s="1"/>
  <c r="H983" i="8" s="1"/>
  <c r="F980" i="8"/>
  <c r="G980" i="8" s="1"/>
  <c r="H980" i="8" s="1"/>
  <c r="F963" i="8"/>
  <c r="G963" i="8" s="1"/>
  <c r="H963" i="8" s="1"/>
  <c r="F913" i="8"/>
  <c r="G913" i="8" s="1"/>
  <c r="H913" i="8" s="1"/>
  <c r="F901" i="8"/>
  <c r="G901" i="8" s="1"/>
  <c r="H901" i="8" s="1"/>
  <c r="F857" i="8"/>
  <c r="G857" i="8" s="1"/>
  <c r="H857" i="8" s="1"/>
  <c r="F835" i="8"/>
  <c r="G835" i="8" s="1"/>
  <c r="H835" i="8" s="1"/>
  <c r="F831" i="8"/>
  <c r="G831" i="8" s="1"/>
  <c r="H831" i="8" s="1"/>
  <c r="F813" i="8"/>
  <c r="G813" i="8" s="1"/>
  <c r="H813" i="8" s="1"/>
  <c r="F789" i="8"/>
  <c r="G789" i="8" s="1"/>
  <c r="H789" i="8" s="1"/>
  <c r="F722" i="8"/>
  <c r="G722" i="8" s="1"/>
  <c r="H722" i="8" s="1"/>
  <c r="F485" i="8"/>
  <c r="G485" i="8" s="1"/>
  <c r="H485" i="8" s="1"/>
  <c r="F1264" i="8"/>
  <c r="G1264" i="8" s="1"/>
  <c r="H1264" i="8" s="1"/>
  <c r="F1173" i="8"/>
  <c r="G1173" i="8" s="1"/>
  <c r="H1173" i="8" s="1"/>
  <c r="F989" i="8"/>
  <c r="G989" i="8" s="1"/>
  <c r="H989" i="8" s="1"/>
  <c r="F1489" i="8"/>
  <c r="G1489" i="8" s="1"/>
  <c r="H1489" i="8" s="1"/>
  <c r="F1475" i="8"/>
  <c r="G1475" i="8" s="1"/>
  <c r="H1475" i="8" s="1"/>
  <c r="F1451" i="8"/>
  <c r="G1451" i="8" s="1"/>
  <c r="H1451" i="8" s="1"/>
  <c r="F1419" i="8"/>
  <c r="G1419" i="8" s="1"/>
  <c r="H1419" i="8" s="1"/>
  <c r="F1462" i="8"/>
  <c r="G1462" i="8" s="1"/>
  <c r="H1462" i="8" s="1"/>
  <c r="F1459" i="8"/>
  <c r="G1459" i="8" s="1"/>
  <c r="H1459" i="8" s="1"/>
  <c r="F1447" i="8"/>
  <c r="G1447" i="8" s="1"/>
  <c r="H1447" i="8" s="1"/>
  <c r="F1433" i="8"/>
  <c r="G1433" i="8" s="1"/>
  <c r="H1433" i="8" s="1"/>
  <c r="F1427" i="8"/>
  <c r="G1427" i="8" s="1"/>
  <c r="H1427" i="8" s="1"/>
  <c r="F1326" i="8"/>
  <c r="G1326" i="8" s="1"/>
  <c r="H1326" i="8" s="1"/>
  <c r="F1291" i="8"/>
  <c r="G1291" i="8" s="1"/>
  <c r="H1291" i="8" s="1"/>
  <c r="F1245" i="8"/>
  <c r="G1245" i="8" s="1"/>
  <c r="H1245" i="8" s="1"/>
  <c r="F1219" i="8"/>
  <c r="G1219" i="8" s="1"/>
  <c r="H1219" i="8" s="1"/>
  <c r="F1192" i="8"/>
  <c r="G1192" i="8" s="1"/>
  <c r="H1192" i="8" s="1"/>
  <c r="F1174" i="8"/>
  <c r="G1174" i="8" s="1"/>
  <c r="H1174" i="8" s="1"/>
  <c r="F1133" i="8"/>
  <c r="G1133" i="8" s="1"/>
  <c r="H1133" i="8" s="1"/>
  <c r="F1099" i="8"/>
  <c r="G1099" i="8" s="1"/>
  <c r="H1099" i="8" s="1"/>
  <c r="F1066" i="8"/>
  <c r="G1066" i="8" s="1"/>
  <c r="H1066" i="8" s="1"/>
  <c r="F1010" i="8"/>
  <c r="G1010" i="8" s="1"/>
  <c r="H1010" i="8" s="1"/>
  <c r="F991" i="8"/>
  <c r="G991" i="8" s="1"/>
  <c r="H991" i="8" s="1"/>
  <c r="F973" i="8"/>
  <c r="G973" i="8" s="1"/>
  <c r="H973" i="8" s="1"/>
  <c r="F955" i="8"/>
  <c r="G955" i="8" s="1"/>
  <c r="H955" i="8" s="1"/>
  <c r="F893" i="8"/>
  <c r="G893" i="8" s="1"/>
  <c r="H893" i="8" s="1"/>
  <c r="F711" i="8"/>
  <c r="G711" i="8" s="1"/>
  <c r="H711" i="8" s="1"/>
  <c r="F620" i="8"/>
  <c r="G620" i="8" s="1"/>
  <c r="H620" i="8" s="1"/>
  <c r="F1231" i="8"/>
  <c r="G1231" i="8" s="1"/>
  <c r="H1231" i="8" s="1"/>
  <c r="F862" i="8"/>
  <c r="G862" i="8" s="1"/>
  <c r="H862" i="8" s="1"/>
  <c r="F1562" i="8"/>
  <c r="G1562" i="8" s="1"/>
  <c r="H1562" i="8" s="1"/>
  <c r="F1476" i="8"/>
  <c r="G1476" i="8" s="1"/>
  <c r="H1476" i="8" s="1"/>
  <c r="F1411" i="8"/>
  <c r="G1411" i="8" s="1"/>
  <c r="H1411" i="8" s="1"/>
  <c r="F1383" i="8"/>
  <c r="G1383" i="8" s="1"/>
  <c r="H1383" i="8" s="1"/>
  <c r="F1353" i="8"/>
  <c r="G1353" i="8" s="1"/>
  <c r="H1353" i="8" s="1"/>
  <c r="F1307" i="8"/>
  <c r="G1307" i="8" s="1"/>
  <c r="H1307" i="8" s="1"/>
  <c r="F1129" i="8"/>
  <c r="G1129" i="8" s="1"/>
  <c r="H1129" i="8" s="1"/>
  <c r="F1106" i="8"/>
  <c r="G1106" i="8" s="1"/>
  <c r="H1106" i="8" s="1"/>
  <c r="F1042" i="8"/>
  <c r="G1042" i="8" s="1"/>
  <c r="H1042" i="8" s="1"/>
  <c r="F1038" i="8"/>
  <c r="G1038" i="8" s="1"/>
  <c r="H1038" i="8" s="1"/>
  <c r="F1013" i="8"/>
  <c r="G1013" i="8" s="1"/>
  <c r="H1013" i="8" s="1"/>
  <c r="F935" i="8"/>
  <c r="G935" i="8" s="1"/>
  <c r="H935" i="8" s="1"/>
  <c r="F860" i="8"/>
  <c r="G860" i="8" s="1"/>
  <c r="H860" i="8" s="1"/>
  <c r="F839" i="8"/>
  <c r="G839" i="8" s="1"/>
  <c r="H839" i="8" s="1"/>
  <c r="F830" i="8"/>
  <c r="G830" i="8" s="1"/>
  <c r="H830" i="8" s="1"/>
  <c r="F785" i="8"/>
  <c r="G785" i="8" s="1"/>
  <c r="H785" i="8" s="1"/>
  <c r="F781" i="8"/>
  <c r="G781" i="8" s="1"/>
  <c r="H781" i="8" s="1"/>
  <c r="F736" i="8"/>
  <c r="G736" i="8" s="1"/>
  <c r="H736" i="8" s="1"/>
  <c r="F725" i="8"/>
  <c r="G725" i="8" s="1"/>
  <c r="H725" i="8" s="1"/>
  <c r="F639" i="8"/>
  <c r="G639" i="8" s="1"/>
  <c r="H639" i="8" s="1"/>
  <c r="F501" i="8"/>
  <c r="G501" i="8" s="1"/>
  <c r="H501" i="8" s="1"/>
  <c r="F493" i="8"/>
  <c r="G493" i="8" s="1"/>
  <c r="H493" i="8" s="1"/>
  <c r="F1454" i="8"/>
  <c r="G1454" i="8" s="1"/>
  <c r="H1454" i="8" s="1"/>
  <c r="F1438" i="8"/>
  <c r="G1438" i="8" s="1"/>
  <c r="H1438" i="8" s="1"/>
  <c r="F1360" i="8"/>
  <c r="G1360" i="8" s="1"/>
  <c r="H1360" i="8" s="1"/>
  <c r="F1241" i="8"/>
  <c r="G1241" i="8" s="1"/>
  <c r="H1241" i="8" s="1"/>
  <c r="F1199" i="8"/>
  <c r="G1199" i="8" s="1"/>
  <c r="H1199" i="8" s="1"/>
  <c r="F1122" i="8"/>
  <c r="G1122" i="8" s="1"/>
  <c r="H1122" i="8" s="1"/>
  <c r="F1110" i="8"/>
  <c r="G1110" i="8" s="1"/>
  <c r="H1110" i="8" s="1"/>
  <c r="F1040" i="8"/>
  <c r="G1040" i="8" s="1"/>
  <c r="H1040" i="8" s="1"/>
  <c r="F1016" i="8"/>
  <c r="G1016" i="8" s="1"/>
  <c r="H1016" i="8" s="1"/>
  <c r="F937" i="8"/>
  <c r="G937" i="8" s="1"/>
  <c r="H937" i="8" s="1"/>
  <c r="F897" i="8"/>
  <c r="G897" i="8" s="1"/>
  <c r="H897" i="8" s="1"/>
  <c r="F780" i="8"/>
  <c r="G780" i="8" s="1"/>
  <c r="H780" i="8" s="1"/>
  <c r="F745" i="8"/>
  <c r="G745" i="8" s="1"/>
  <c r="H745" i="8" s="1"/>
  <c r="F687" i="8"/>
  <c r="G687" i="8" s="1"/>
  <c r="H687" i="8" s="1"/>
  <c r="F646" i="8"/>
  <c r="G646" i="8" s="1"/>
  <c r="H646" i="8" s="1"/>
  <c r="F638" i="8"/>
  <c r="G638" i="8" s="1"/>
  <c r="H638" i="8" s="1"/>
  <c r="F627" i="8"/>
  <c r="G627" i="8" s="1"/>
  <c r="H627" i="8" s="1"/>
  <c r="F561" i="8"/>
  <c r="G561" i="8" s="1"/>
  <c r="H561" i="8" s="1"/>
  <c r="F361" i="8"/>
  <c r="G361" i="8" s="1"/>
  <c r="H361" i="8" s="1"/>
  <c r="F343" i="8"/>
  <c r="G343" i="8" s="1"/>
  <c r="H343" i="8" s="1"/>
  <c r="F259" i="8"/>
  <c r="G259" i="8" s="1"/>
  <c r="H259" i="8" s="1"/>
  <c r="F1314" i="8"/>
  <c r="G1314" i="8" s="1"/>
  <c r="H1314" i="8" s="1"/>
  <c r="F1281" i="8"/>
  <c r="G1281" i="8" s="1"/>
  <c r="H1281" i="8" s="1"/>
  <c r="F1229" i="8"/>
  <c r="G1229" i="8" s="1"/>
  <c r="H1229" i="8" s="1"/>
  <c r="F1217" i="8"/>
  <c r="G1217" i="8" s="1"/>
  <c r="H1217" i="8" s="1"/>
  <c r="F1178" i="8"/>
  <c r="G1178" i="8" s="1"/>
  <c r="H1178" i="8" s="1"/>
  <c r="F1169" i="8"/>
  <c r="G1169" i="8" s="1"/>
  <c r="H1169" i="8" s="1"/>
  <c r="F1151" i="8"/>
  <c r="G1151" i="8" s="1"/>
  <c r="H1151" i="8" s="1"/>
  <c r="F1071" i="8"/>
  <c r="G1071" i="8" s="1"/>
  <c r="H1071" i="8" s="1"/>
  <c r="F992" i="8"/>
  <c r="G992" i="8" s="1"/>
  <c r="H992" i="8" s="1"/>
  <c r="F829" i="8"/>
  <c r="G829" i="8" s="1"/>
  <c r="H829" i="8" s="1"/>
  <c r="F698" i="8"/>
  <c r="G698" i="8" s="1"/>
  <c r="H698" i="8" s="1"/>
  <c r="F573" i="8"/>
  <c r="G573" i="8" s="1"/>
  <c r="H573" i="8" s="1"/>
  <c r="F569" i="8"/>
  <c r="G569" i="8" s="1"/>
  <c r="H569" i="8" s="1"/>
  <c r="F403" i="8"/>
  <c r="G403" i="8" s="1"/>
  <c r="H403" i="8" s="1"/>
  <c r="F1249" i="8"/>
  <c r="G1249" i="8" s="1"/>
  <c r="H1249" i="8" s="1"/>
  <c r="F1043" i="8"/>
  <c r="G1043" i="8" s="1"/>
  <c r="H1043" i="8" s="1"/>
  <c r="F965" i="8"/>
  <c r="G965" i="8" s="1"/>
  <c r="H965" i="8" s="1"/>
  <c r="F879" i="8"/>
  <c r="G879" i="8" s="1"/>
  <c r="H879" i="8" s="1"/>
  <c r="F833" i="8"/>
  <c r="G833" i="8" s="1"/>
  <c r="H833" i="8" s="1"/>
  <c r="F761" i="8"/>
  <c r="G761" i="8" s="1"/>
  <c r="H761" i="8" s="1"/>
  <c r="F518" i="8"/>
  <c r="G518" i="8" s="1"/>
  <c r="H518" i="8" s="1"/>
  <c r="F498" i="8"/>
  <c r="G498" i="8" s="1"/>
  <c r="H498" i="8" s="1"/>
  <c r="F481" i="8"/>
  <c r="G481" i="8" s="1"/>
  <c r="H481" i="8" s="1"/>
  <c r="F469" i="8"/>
  <c r="G469" i="8" s="1"/>
  <c r="H469" i="8" s="1"/>
  <c r="F421" i="8"/>
  <c r="G421" i="8" s="1"/>
  <c r="H421" i="8" s="1"/>
  <c r="F313" i="8"/>
  <c r="G313" i="8" s="1"/>
  <c r="H313" i="8" s="1"/>
  <c r="F1582" i="8"/>
  <c r="G1582" i="8" s="1"/>
  <c r="H1582" i="8" s="1"/>
  <c r="F1496" i="8"/>
  <c r="G1496" i="8" s="1"/>
  <c r="H1496" i="8" s="1"/>
  <c r="F1486" i="8"/>
  <c r="G1486" i="8" s="1"/>
  <c r="H1486" i="8" s="1"/>
  <c r="F1311" i="8"/>
  <c r="G1311" i="8" s="1"/>
  <c r="H1311" i="8" s="1"/>
  <c r="F1228" i="8"/>
  <c r="G1228" i="8" s="1"/>
  <c r="H1228" i="8" s="1"/>
  <c r="F1225" i="8"/>
  <c r="G1225" i="8" s="1"/>
  <c r="H1225" i="8" s="1"/>
  <c r="F1150" i="8"/>
  <c r="G1150" i="8" s="1"/>
  <c r="H1150" i="8" s="1"/>
  <c r="F1147" i="8"/>
  <c r="G1147" i="8" s="1"/>
  <c r="H1147" i="8" s="1"/>
  <c r="F1132" i="8"/>
  <c r="G1132" i="8" s="1"/>
  <c r="H1132" i="8" s="1"/>
  <c r="F1121" i="8"/>
  <c r="G1121" i="8" s="1"/>
  <c r="H1121" i="8" s="1"/>
  <c r="F1091" i="8"/>
  <c r="G1091" i="8" s="1"/>
  <c r="H1091" i="8" s="1"/>
  <c r="F1015" i="8"/>
  <c r="G1015" i="8" s="1"/>
  <c r="H1015" i="8" s="1"/>
  <c r="F883" i="8"/>
  <c r="G883" i="8" s="1"/>
  <c r="H883" i="8" s="1"/>
  <c r="F865" i="8"/>
  <c r="G865" i="8" s="1"/>
  <c r="H865" i="8" s="1"/>
  <c r="F685" i="8"/>
  <c r="G685" i="8" s="1"/>
  <c r="H685" i="8" s="1"/>
  <c r="F673" i="8"/>
  <c r="G673" i="8" s="1"/>
  <c r="H673" i="8" s="1"/>
  <c r="F645" i="8"/>
  <c r="G645" i="8" s="1"/>
  <c r="H645" i="8" s="1"/>
  <c r="F606" i="8"/>
  <c r="G606" i="8" s="1"/>
  <c r="H606" i="8" s="1"/>
  <c r="F568" i="8"/>
  <c r="G568" i="8" s="1"/>
  <c r="H568" i="8" s="1"/>
  <c r="F534" i="8"/>
  <c r="G534" i="8" s="1"/>
  <c r="H534" i="8" s="1"/>
  <c r="F1466" i="8"/>
  <c r="G1466" i="8" s="1"/>
  <c r="H1466" i="8" s="1"/>
  <c r="F1294" i="8"/>
  <c r="G1294" i="8" s="1"/>
  <c r="H1294" i="8" s="1"/>
  <c r="F1288" i="8"/>
  <c r="G1288" i="8" s="1"/>
  <c r="H1288" i="8" s="1"/>
  <c r="F1274" i="8"/>
  <c r="G1274" i="8" s="1"/>
  <c r="H1274" i="8" s="1"/>
  <c r="F1261" i="8"/>
  <c r="G1261" i="8" s="1"/>
  <c r="H1261" i="8" s="1"/>
  <c r="F1073" i="8"/>
  <c r="G1073" i="8" s="1"/>
  <c r="H1073" i="8" s="1"/>
  <c r="F1039" i="8"/>
  <c r="G1039" i="8" s="1"/>
  <c r="H1039" i="8" s="1"/>
  <c r="F1029" i="8"/>
  <c r="G1029" i="8" s="1"/>
  <c r="H1029" i="8" s="1"/>
  <c r="F964" i="8"/>
  <c r="G964" i="8" s="1"/>
  <c r="H964" i="8" s="1"/>
  <c r="F903" i="8"/>
  <c r="G903" i="8" s="1"/>
  <c r="H903" i="8" s="1"/>
  <c r="F747" i="8"/>
  <c r="G747" i="8" s="1"/>
  <c r="H747" i="8" s="1"/>
  <c r="F509" i="8"/>
  <c r="G509" i="8" s="1"/>
  <c r="H509" i="8" s="1"/>
  <c r="F1027" i="8"/>
  <c r="G1027" i="8" s="1"/>
  <c r="H1027" i="8" s="1"/>
  <c r="F1024" i="8"/>
  <c r="G1024" i="8" s="1"/>
  <c r="H1024" i="8" s="1"/>
  <c r="F1018" i="8"/>
  <c r="G1018" i="8" s="1"/>
  <c r="H1018" i="8" s="1"/>
  <c r="F1006" i="8"/>
  <c r="G1006" i="8" s="1"/>
  <c r="H1006" i="8" s="1"/>
  <c r="F1003" i="8"/>
  <c r="G1003" i="8" s="1"/>
  <c r="H1003" i="8" s="1"/>
  <c r="F869" i="8"/>
  <c r="G869" i="8" s="1"/>
  <c r="H869" i="8" s="1"/>
  <c r="F855" i="8"/>
  <c r="G855" i="8" s="1"/>
  <c r="H855" i="8" s="1"/>
  <c r="F804" i="8"/>
  <c r="G804" i="8" s="1"/>
  <c r="H804" i="8" s="1"/>
  <c r="F784" i="8"/>
  <c r="G784" i="8" s="1"/>
  <c r="H784" i="8" s="1"/>
  <c r="F777" i="8"/>
  <c r="G777" i="8" s="1"/>
  <c r="H777" i="8" s="1"/>
  <c r="F690" i="8"/>
  <c r="G690" i="8" s="1"/>
  <c r="H690" i="8" s="1"/>
  <c r="F665" i="8"/>
  <c r="G665" i="8" s="1"/>
  <c r="H665" i="8" s="1"/>
  <c r="F661" i="8"/>
  <c r="G661" i="8" s="1"/>
  <c r="H661" i="8" s="1"/>
  <c r="F649" i="8"/>
  <c r="G649" i="8" s="1"/>
  <c r="H649" i="8" s="1"/>
  <c r="F540" i="8"/>
  <c r="G540" i="8" s="1"/>
  <c r="H540" i="8" s="1"/>
  <c r="F524" i="8"/>
  <c r="G524" i="8" s="1"/>
  <c r="H524" i="8" s="1"/>
  <c r="F520" i="8"/>
  <c r="G520" i="8" s="1"/>
  <c r="H520" i="8" s="1"/>
  <c r="F512" i="8"/>
  <c r="G512" i="8" s="1"/>
  <c r="H512" i="8" s="1"/>
  <c r="F492" i="8"/>
  <c r="G492" i="8" s="1"/>
  <c r="H492" i="8" s="1"/>
  <c r="F262" i="8"/>
  <c r="G262" i="8" s="1"/>
  <c r="H262" i="8" s="1"/>
  <c r="F1390" i="8"/>
  <c r="G1390" i="8" s="1"/>
  <c r="H1390" i="8" s="1"/>
  <c r="F1232" i="8"/>
  <c r="G1232" i="8" s="1"/>
  <c r="H1232" i="8" s="1"/>
  <c r="F1148" i="8"/>
  <c r="G1148" i="8" s="1"/>
  <c r="H1148" i="8" s="1"/>
  <c r="F1107" i="8"/>
  <c r="G1107" i="8" s="1"/>
  <c r="H1107" i="8" s="1"/>
  <c r="F1060" i="8"/>
  <c r="G1060" i="8" s="1"/>
  <c r="H1060" i="8" s="1"/>
  <c r="F1014" i="8"/>
  <c r="G1014" i="8" s="1"/>
  <c r="H1014" i="8" s="1"/>
  <c r="F984" i="8"/>
  <c r="G984" i="8" s="1"/>
  <c r="H984" i="8" s="1"/>
  <c r="F966" i="8"/>
  <c r="G966" i="8" s="1"/>
  <c r="H966" i="8" s="1"/>
  <c r="F959" i="8"/>
  <c r="G959" i="8" s="1"/>
  <c r="H959" i="8" s="1"/>
  <c r="F940" i="8"/>
  <c r="G940" i="8" s="1"/>
  <c r="H940" i="8" s="1"/>
  <c r="F909" i="8"/>
  <c r="G909" i="8" s="1"/>
  <c r="H909" i="8" s="1"/>
  <c r="F885" i="8"/>
  <c r="G885" i="8" s="1"/>
  <c r="H885" i="8" s="1"/>
  <c r="F881" i="8"/>
  <c r="G881" i="8" s="1"/>
  <c r="H881" i="8" s="1"/>
  <c r="F868" i="8"/>
  <c r="G868" i="8" s="1"/>
  <c r="H868" i="8" s="1"/>
  <c r="F657" i="8"/>
  <c r="G657" i="8" s="1"/>
  <c r="H657" i="8" s="1"/>
  <c r="F603" i="8"/>
  <c r="G603" i="8" s="1"/>
  <c r="H603" i="8" s="1"/>
  <c r="F596" i="8"/>
  <c r="G596" i="8" s="1"/>
  <c r="H596" i="8" s="1"/>
  <c r="F515" i="8"/>
  <c r="G515" i="8" s="1"/>
  <c r="H515" i="8" s="1"/>
  <c r="F320" i="8"/>
  <c r="G320" i="8" s="1"/>
  <c r="H320" i="8" s="1"/>
  <c r="F250" i="8"/>
  <c r="G250" i="8" s="1"/>
  <c r="H250" i="8" s="1"/>
  <c r="F953" i="8"/>
  <c r="G953" i="8" s="1"/>
  <c r="H953" i="8" s="1"/>
  <c r="F847" i="8"/>
  <c r="G847" i="8" s="1"/>
  <c r="H847" i="8" s="1"/>
  <c r="F821" i="8"/>
  <c r="G821" i="8" s="1"/>
  <c r="H821" i="8" s="1"/>
  <c r="F817" i="8"/>
  <c r="G817" i="8" s="1"/>
  <c r="H817" i="8" s="1"/>
  <c r="F797" i="8"/>
  <c r="G797" i="8" s="1"/>
  <c r="H797" i="8" s="1"/>
  <c r="F741" i="8"/>
  <c r="G741" i="8" s="1"/>
  <c r="H741" i="8" s="1"/>
  <c r="F622" i="8"/>
  <c r="G622" i="8" s="1"/>
  <c r="H622" i="8" s="1"/>
  <c r="F543" i="8"/>
  <c r="G543" i="8" s="1"/>
  <c r="H543" i="8" s="1"/>
  <c r="F511" i="8"/>
  <c r="G511" i="8" s="1"/>
  <c r="H511" i="8" s="1"/>
  <c r="F368" i="8"/>
  <c r="G368" i="8" s="1"/>
  <c r="H368" i="8" s="1"/>
  <c r="F332" i="8"/>
  <c r="G332" i="8" s="1"/>
  <c r="H332" i="8" s="1"/>
  <c r="F1049" i="8"/>
  <c r="G1049" i="8" s="1"/>
  <c r="H1049" i="8" s="1"/>
  <c r="F1023" i="8"/>
  <c r="G1023" i="8" s="1"/>
  <c r="H1023" i="8" s="1"/>
  <c r="F1005" i="8"/>
  <c r="G1005" i="8" s="1"/>
  <c r="H1005" i="8" s="1"/>
  <c r="F962" i="8"/>
  <c r="G962" i="8" s="1"/>
  <c r="H962" i="8" s="1"/>
  <c r="F943" i="8"/>
  <c r="G943" i="8" s="1"/>
  <c r="H943" i="8" s="1"/>
  <c r="F905" i="8"/>
  <c r="G905" i="8" s="1"/>
  <c r="H905" i="8" s="1"/>
  <c r="F891" i="8"/>
  <c r="G891" i="8" s="1"/>
  <c r="H891" i="8" s="1"/>
  <c r="F820" i="8"/>
  <c r="G820" i="8" s="1"/>
  <c r="H820" i="8" s="1"/>
  <c r="F783" i="8"/>
  <c r="G783" i="8" s="1"/>
  <c r="H783" i="8" s="1"/>
  <c r="F779" i="8"/>
  <c r="G779" i="8" s="1"/>
  <c r="H779" i="8" s="1"/>
  <c r="F769" i="8"/>
  <c r="G769" i="8" s="1"/>
  <c r="H769" i="8" s="1"/>
  <c r="F765" i="8"/>
  <c r="G765" i="8" s="1"/>
  <c r="H765" i="8" s="1"/>
  <c r="F713" i="8"/>
  <c r="G713" i="8" s="1"/>
  <c r="H713" i="8" s="1"/>
  <c r="F693" i="8"/>
  <c r="G693" i="8" s="1"/>
  <c r="H693" i="8" s="1"/>
  <c r="F633" i="8"/>
  <c r="G633" i="8" s="1"/>
  <c r="H633" i="8" s="1"/>
  <c r="F614" i="8"/>
  <c r="G614" i="8" s="1"/>
  <c r="H614" i="8" s="1"/>
  <c r="F595" i="8"/>
  <c r="G595" i="8" s="1"/>
  <c r="H595" i="8" s="1"/>
  <c r="F587" i="8"/>
  <c r="G587" i="8" s="1"/>
  <c r="H587" i="8" s="1"/>
  <c r="F381" i="8"/>
  <c r="G381" i="8" s="1"/>
  <c r="H381" i="8" s="1"/>
  <c r="F1318" i="8"/>
  <c r="G1318" i="8" s="1"/>
  <c r="H1318" i="8" s="1"/>
  <c r="F1258" i="8"/>
  <c r="G1258" i="8" s="1"/>
  <c r="H1258" i="8" s="1"/>
  <c r="F1180" i="8"/>
  <c r="G1180" i="8" s="1"/>
  <c r="H1180" i="8" s="1"/>
  <c r="F1046" i="8"/>
  <c r="G1046" i="8" s="1"/>
  <c r="H1046" i="8" s="1"/>
  <c r="F998" i="8"/>
  <c r="G998" i="8" s="1"/>
  <c r="H998" i="8" s="1"/>
  <c r="F920" i="8"/>
  <c r="G920" i="8" s="1"/>
  <c r="H920" i="8" s="1"/>
  <c r="F911" i="8"/>
  <c r="G911" i="8" s="1"/>
  <c r="H911" i="8" s="1"/>
  <c r="F908" i="8"/>
  <c r="G908" i="8" s="1"/>
  <c r="H908" i="8" s="1"/>
  <c r="F880" i="8"/>
  <c r="G880" i="8" s="1"/>
  <c r="H880" i="8" s="1"/>
  <c r="F850" i="8"/>
  <c r="G850" i="8" s="1"/>
  <c r="H850" i="8" s="1"/>
  <c r="F843" i="8"/>
  <c r="G843" i="8" s="1"/>
  <c r="H843" i="8" s="1"/>
  <c r="F803" i="8"/>
  <c r="G803" i="8" s="1"/>
  <c r="H803" i="8" s="1"/>
  <c r="F786" i="8"/>
  <c r="G786" i="8" s="1"/>
  <c r="H786" i="8" s="1"/>
  <c r="F678" i="8"/>
  <c r="G678" i="8" s="1"/>
  <c r="H678" i="8" s="1"/>
  <c r="F610" i="8"/>
  <c r="G610" i="8" s="1"/>
  <c r="H610" i="8" s="1"/>
  <c r="F591" i="8"/>
  <c r="G591" i="8" s="1"/>
  <c r="H591" i="8" s="1"/>
  <c r="F571" i="8"/>
  <c r="G571" i="8" s="1"/>
  <c r="H571" i="8" s="1"/>
  <c r="F482" i="8"/>
  <c r="G482" i="8" s="1"/>
  <c r="H482" i="8" s="1"/>
  <c r="F447" i="8"/>
  <c r="G447" i="8" s="1"/>
  <c r="H447" i="8" s="1"/>
  <c r="F385" i="8"/>
  <c r="G385" i="8" s="1"/>
  <c r="H385" i="8" s="1"/>
  <c r="F376" i="8"/>
  <c r="G376" i="8" s="1"/>
  <c r="H376" i="8" s="1"/>
  <c r="F1268" i="8"/>
  <c r="G1268" i="8" s="1"/>
  <c r="H1268" i="8" s="1"/>
  <c r="F1193" i="8"/>
  <c r="G1193" i="8" s="1"/>
  <c r="H1193" i="8" s="1"/>
  <c r="F1062" i="8"/>
  <c r="G1062" i="8" s="1"/>
  <c r="H1062" i="8" s="1"/>
  <c r="F990" i="8"/>
  <c r="G990" i="8" s="1"/>
  <c r="H990" i="8" s="1"/>
  <c r="F960" i="8"/>
  <c r="G960" i="8" s="1"/>
  <c r="H960" i="8" s="1"/>
  <c r="F929" i="8"/>
  <c r="G929" i="8" s="1"/>
  <c r="H929" i="8" s="1"/>
  <c r="F926" i="8"/>
  <c r="G926" i="8" s="1"/>
  <c r="H926" i="8" s="1"/>
  <c r="F912" i="8"/>
  <c r="G912" i="8" s="1"/>
  <c r="H912" i="8" s="1"/>
  <c r="F794" i="8"/>
  <c r="G794" i="8" s="1"/>
  <c r="H794" i="8" s="1"/>
  <c r="F757" i="8"/>
  <c r="G757" i="8" s="1"/>
  <c r="H757" i="8" s="1"/>
  <c r="F684" i="8"/>
  <c r="G684" i="8" s="1"/>
  <c r="H684" i="8" s="1"/>
  <c r="F648" i="8"/>
  <c r="G648" i="8" s="1"/>
  <c r="H648" i="8" s="1"/>
  <c r="F553" i="8"/>
  <c r="G553" i="8" s="1"/>
  <c r="H553" i="8" s="1"/>
  <c r="F507" i="8"/>
  <c r="G507" i="8" s="1"/>
  <c r="H507" i="8" s="1"/>
  <c r="F440" i="8"/>
  <c r="G440" i="8" s="1"/>
  <c r="H440" i="8" s="1"/>
  <c r="F271" i="8"/>
  <c r="G271" i="8" s="1"/>
  <c r="H271" i="8" s="1"/>
  <c r="F365" i="8"/>
  <c r="G365" i="8" s="1"/>
  <c r="H365" i="8" s="1"/>
  <c r="F583" i="8"/>
  <c r="G583" i="8" s="1"/>
  <c r="H583" i="8" s="1"/>
  <c r="F450" i="8"/>
  <c r="G450" i="8" s="1"/>
  <c r="H450" i="8" s="1"/>
  <c r="F369" i="8"/>
  <c r="G369" i="8" s="1"/>
  <c r="H369" i="8" s="1"/>
  <c r="F347" i="8"/>
  <c r="G347" i="8" s="1"/>
  <c r="H347" i="8" s="1"/>
  <c r="F289" i="8"/>
  <c r="G289" i="8" s="1"/>
  <c r="H289" i="8" s="1"/>
  <c r="F1204" i="8"/>
  <c r="G1204" i="8" s="1"/>
  <c r="H1204" i="8" s="1"/>
  <c r="F1126" i="8"/>
  <c r="G1126" i="8" s="1"/>
  <c r="H1126" i="8" s="1"/>
  <c r="F948" i="8"/>
  <c r="G948" i="8" s="1"/>
  <c r="H948" i="8" s="1"/>
  <c r="F872" i="8"/>
  <c r="G872" i="8" s="1"/>
  <c r="H872" i="8" s="1"/>
  <c r="F818" i="8"/>
  <c r="G818" i="8" s="1"/>
  <c r="H818" i="8" s="1"/>
  <c r="F811" i="8"/>
  <c r="G811" i="8" s="1"/>
  <c r="H811" i="8" s="1"/>
  <c r="F753" i="8"/>
  <c r="G753" i="8" s="1"/>
  <c r="H753" i="8" s="1"/>
  <c r="F737" i="8"/>
  <c r="G737" i="8" s="1"/>
  <c r="H737" i="8" s="1"/>
  <c r="F662" i="8"/>
  <c r="G662" i="8" s="1"/>
  <c r="H662" i="8" s="1"/>
  <c r="F529" i="8"/>
  <c r="G529" i="8" s="1"/>
  <c r="H529" i="8" s="1"/>
  <c r="F491" i="8"/>
  <c r="G491" i="8" s="1"/>
  <c r="H491" i="8" s="1"/>
  <c r="F483" i="8"/>
  <c r="G483" i="8" s="1"/>
  <c r="H483" i="8" s="1"/>
  <c r="F472" i="8"/>
  <c r="G472" i="8" s="1"/>
  <c r="H472" i="8" s="1"/>
  <c r="F321" i="8"/>
  <c r="G321" i="8" s="1"/>
  <c r="H321" i="8" s="1"/>
  <c r="F277" i="8"/>
  <c r="G277" i="8" s="1"/>
  <c r="H277" i="8" s="1"/>
  <c r="F257" i="8"/>
  <c r="G257" i="8" s="1"/>
  <c r="H257" i="8" s="1"/>
  <c r="F925" i="8"/>
  <c r="G925" i="8" s="1"/>
  <c r="H925" i="8" s="1"/>
  <c r="F922" i="8"/>
  <c r="G922" i="8" s="1"/>
  <c r="H922" i="8" s="1"/>
  <c r="F805" i="8"/>
  <c r="G805" i="8" s="1"/>
  <c r="H805" i="8" s="1"/>
  <c r="F762" i="8"/>
  <c r="G762" i="8" s="1"/>
  <c r="H762" i="8" s="1"/>
  <c r="F689" i="8"/>
  <c r="G689" i="8" s="1"/>
  <c r="H689" i="8" s="1"/>
  <c r="F643" i="8"/>
  <c r="G643" i="8" s="1"/>
  <c r="H643" i="8" s="1"/>
  <c r="F590" i="8"/>
  <c r="G590" i="8" s="1"/>
  <c r="H590" i="8" s="1"/>
  <c r="F551" i="8"/>
  <c r="G551" i="8" s="1"/>
  <c r="H551" i="8" s="1"/>
  <c r="F478" i="8"/>
  <c r="G478" i="8" s="1"/>
  <c r="H478" i="8" s="1"/>
  <c r="F457" i="8"/>
  <c r="G457" i="8" s="1"/>
  <c r="H457" i="8" s="1"/>
  <c r="F435" i="8"/>
  <c r="G435" i="8" s="1"/>
  <c r="H435" i="8" s="1"/>
  <c r="F393" i="8"/>
  <c r="G393" i="8" s="1"/>
  <c r="H393" i="8" s="1"/>
  <c r="F389" i="8"/>
  <c r="G389" i="8" s="1"/>
  <c r="H389" i="8" s="1"/>
  <c r="F351" i="8"/>
  <c r="G351" i="8" s="1"/>
  <c r="H351" i="8" s="1"/>
  <c r="F265" i="8"/>
  <c r="G265" i="8" s="1"/>
  <c r="H265" i="8" s="1"/>
  <c r="F576" i="8"/>
  <c r="G576" i="8" s="1"/>
  <c r="H576" i="8" s="1"/>
  <c r="F559" i="8"/>
  <c r="G559" i="8" s="1"/>
  <c r="H559" i="8" s="1"/>
  <c r="F555" i="8"/>
  <c r="G555" i="8" s="1"/>
  <c r="H555" i="8" s="1"/>
  <c r="F538" i="8"/>
  <c r="G538" i="8" s="1"/>
  <c r="H538" i="8" s="1"/>
  <c r="F399" i="8"/>
  <c r="G399" i="8" s="1"/>
  <c r="H399" i="8" s="1"/>
  <c r="F339" i="8"/>
  <c r="G339" i="8" s="1"/>
  <c r="H339" i="8" s="1"/>
  <c r="F331" i="8"/>
  <c r="G331" i="8" s="1"/>
  <c r="H331" i="8" s="1"/>
  <c r="F1156" i="8"/>
  <c r="G1156" i="8" s="1"/>
  <c r="H1156" i="8" s="1"/>
  <c r="F914" i="8"/>
  <c r="G914" i="8" s="1"/>
  <c r="H914" i="8" s="1"/>
  <c r="F772" i="8"/>
  <c r="G772" i="8" s="1"/>
  <c r="H772" i="8" s="1"/>
  <c r="F721" i="8"/>
  <c r="G721" i="8" s="1"/>
  <c r="H721" i="8" s="1"/>
  <c r="F696" i="8"/>
  <c r="G696" i="8" s="1"/>
  <c r="H696" i="8" s="1"/>
  <c r="F672" i="8"/>
  <c r="G672" i="8" s="1"/>
  <c r="H672" i="8" s="1"/>
  <c r="F579" i="8"/>
  <c r="G579" i="8" s="1"/>
  <c r="H579" i="8" s="1"/>
  <c r="F572" i="8"/>
  <c r="G572" i="8" s="1"/>
  <c r="H572" i="8" s="1"/>
  <c r="F476" i="8"/>
  <c r="G476" i="8" s="1"/>
  <c r="H476" i="8" s="1"/>
  <c r="F459" i="8"/>
  <c r="G459" i="8" s="1"/>
  <c r="H459" i="8" s="1"/>
  <c r="F391" i="8"/>
  <c r="G391" i="8" s="1"/>
  <c r="H391" i="8" s="1"/>
  <c r="F334" i="8"/>
  <c r="G334" i="8" s="1"/>
  <c r="H334" i="8" s="1"/>
  <c r="F295" i="8"/>
  <c r="G295" i="8" s="1"/>
  <c r="H295" i="8" s="1"/>
  <c r="F241" i="8"/>
  <c r="G241" i="8" s="1"/>
  <c r="H241" i="8" s="1"/>
  <c r="F844" i="8"/>
  <c r="G844" i="8" s="1"/>
  <c r="H844" i="8" s="1"/>
  <c r="F806" i="8"/>
  <c r="G806" i="8" s="1"/>
  <c r="H806" i="8" s="1"/>
  <c r="F726" i="8"/>
  <c r="G726" i="8" s="1"/>
  <c r="H726" i="8" s="1"/>
  <c r="F681" i="8"/>
  <c r="G681" i="8" s="1"/>
  <c r="H681" i="8" s="1"/>
  <c r="F582" i="8"/>
  <c r="G582" i="8" s="1"/>
  <c r="H582" i="8" s="1"/>
  <c r="F554" i="8"/>
  <c r="G554" i="8" s="1"/>
  <c r="H554" i="8" s="1"/>
  <c r="F547" i="8"/>
  <c r="G547" i="8" s="1"/>
  <c r="H547" i="8" s="1"/>
  <c r="F533" i="8"/>
  <c r="G533" i="8" s="1"/>
  <c r="H533" i="8" s="1"/>
  <c r="F429" i="8"/>
  <c r="G429" i="8" s="1"/>
  <c r="H429" i="8" s="1"/>
  <c r="F226" i="8"/>
  <c r="G226" i="8" s="1"/>
  <c r="H226" i="8" s="1"/>
  <c r="F274" i="8"/>
  <c r="G274" i="8" s="1"/>
  <c r="H274" i="8" s="1"/>
  <c r="F936" i="8"/>
  <c r="G936" i="8" s="1"/>
  <c r="H936" i="8" s="1"/>
  <c r="F892" i="8"/>
  <c r="G892" i="8" s="1"/>
  <c r="H892" i="8" s="1"/>
  <c r="F792" i="8"/>
  <c r="G792" i="8" s="1"/>
  <c r="H792" i="8" s="1"/>
  <c r="F748" i="8"/>
  <c r="G748" i="8" s="1"/>
  <c r="H748" i="8" s="1"/>
  <c r="F660" i="8"/>
  <c r="G660" i="8" s="1"/>
  <c r="H660" i="8" s="1"/>
  <c r="F655" i="8"/>
  <c r="G655" i="8" s="1"/>
  <c r="H655" i="8" s="1"/>
  <c r="F652" i="8"/>
  <c r="G652" i="8" s="1"/>
  <c r="H652" i="8" s="1"/>
  <c r="F570" i="8"/>
  <c r="G570" i="8" s="1"/>
  <c r="H570" i="8" s="1"/>
  <c r="F510" i="8"/>
  <c r="G510" i="8" s="1"/>
  <c r="H510" i="8" s="1"/>
  <c r="F468" i="8"/>
  <c r="G468" i="8" s="1"/>
  <c r="H468" i="8" s="1"/>
  <c r="F417" i="8"/>
  <c r="G417" i="8" s="1"/>
  <c r="H417" i="8" s="1"/>
  <c r="F401" i="8"/>
  <c r="G401" i="8" s="1"/>
  <c r="H401" i="8" s="1"/>
  <c r="F383" i="8"/>
  <c r="G383" i="8" s="1"/>
  <c r="H383" i="8" s="1"/>
  <c r="F315" i="8"/>
  <c r="G315" i="8" s="1"/>
  <c r="H315" i="8" s="1"/>
  <c r="F303" i="8"/>
  <c r="G303" i="8" s="1"/>
  <c r="H303" i="8" s="1"/>
  <c r="F255" i="8"/>
  <c r="G255" i="8" s="1"/>
  <c r="H255" i="8" s="1"/>
  <c r="F26" i="8"/>
  <c r="G26" i="8" s="1"/>
  <c r="H26" i="8" s="1"/>
  <c r="F899" i="8"/>
  <c r="G899" i="8" s="1"/>
  <c r="H899" i="8" s="1"/>
  <c r="F853" i="8"/>
  <c r="G853" i="8" s="1"/>
  <c r="H853" i="8" s="1"/>
  <c r="F709" i="8"/>
  <c r="G709" i="8" s="1"/>
  <c r="H709" i="8" s="1"/>
  <c r="F628" i="8"/>
  <c r="G628" i="8" s="1"/>
  <c r="H628" i="8" s="1"/>
  <c r="F557" i="8"/>
  <c r="G557" i="8" s="1"/>
  <c r="H557" i="8" s="1"/>
  <c r="F545" i="8"/>
  <c r="G545" i="8" s="1"/>
  <c r="H545" i="8" s="1"/>
  <c r="F523" i="8"/>
  <c r="G523" i="8" s="1"/>
  <c r="H523" i="8" s="1"/>
  <c r="F519" i="8"/>
  <c r="G519" i="8" s="1"/>
  <c r="H519" i="8" s="1"/>
  <c r="F434" i="8"/>
  <c r="G434" i="8" s="1"/>
  <c r="H434" i="8" s="1"/>
  <c r="F375" i="8"/>
  <c r="G375" i="8" s="1"/>
  <c r="H375" i="8" s="1"/>
  <c r="F299" i="8"/>
  <c r="G299" i="8" s="1"/>
  <c r="H299" i="8" s="1"/>
  <c r="F273" i="8"/>
  <c r="G273" i="8" s="1"/>
  <c r="H273" i="8" s="1"/>
  <c r="F641" i="8"/>
  <c r="G641" i="8" s="1"/>
  <c r="H641" i="8" s="1"/>
  <c r="F544" i="8"/>
  <c r="G544" i="8" s="1"/>
  <c r="H544" i="8" s="1"/>
  <c r="F451" i="8"/>
  <c r="G451" i="8" s="1"/>
  <c r="H451" i="8" s="1"/>
  <c r="F437" i="8"/>
  <c r="G437" i="8" s="1"/>
  <c r="H437" i="8" s="1"/>
  <c r="F414" i="8"/>
  <c r="G414" i="8" s="1"/>
  <c r="H414" i="8" s="1"/>
  <c r="F378" i="8"/>
  <c r="G378" i="8" s="1"/>
  <c r="H378" i="8" s="1"/>
  <c r="F371" i="8"/>
  <c r="G371" i="8" s="1"/>
  <c r="H371" i="8" s="1"/>
  <c r="F344" i="8"/>
  <c r="G344" i="8" s="1"/>
  <c r="H344" i="8" s="1"/>
  <c r="F243" i="8"/>
  <c r="G243" i="8" s="1"/>
  <c r="H243" i="8" s="1"/>
  <c r="F877" i="8"/>
  <c r="G877" i="8" s="1"/>
  <c r="H877" i="8" s="1"/>
  <c r="F733" i="8"/>
  <c r="G733" i="8" s="1"/>
  <c r="H733" i="8" s="1"/>
  <c r="F581" i="8"/>
  <c r="G581" i="8" s="1"/>
  <c r="H581" i="8" s="1"/>
  <c r="F566" i="8"/>
  <c r="G566" i="8" s="1"/>
  <c r="H566" i="8" s="1"/>
  <c r="F556" i="8"/>
  <c r="G556" i="8" s="1"/>
  <c r="H556" i="8" s="1"/>
  <c r="F522" i="8"/>
  <c r="G522" i="8" s="1"/>
  <c r="H522" i="8" s="1"/>
  <c r="F422" i="8"/>
  <c r="G422" i="8" s="1"/>
  <c r="H422" i="8" s="1"/>
  <c r="F407" i="8"/>
  <c r="G407" i="8" s="1"/>
  <c r="H407" i="8" s="1"/>
  <c r="F363" i="8"/>
  <c r="G363" i="8" s="1"/>
  <c r="H363" i="8" s="1"/>
  <c r="F310" i="8"/>
  <c r="G310" i="8" s="1"/>
  <c r="H310" i="8" s="1"/>
  <c r="F306" i="8"/>
  <c r="G306" i="8" s="1"/>
  <c r="H306" i="8" s="1"/>
  <c r="F291" i="8"/>
  <c r="G291" i="8" s="1"/>
  <c r="H291" i="8" s="1"/>
  <c r="F234" i="8"/>
  <c r="G234" i="8" s="1"/>
  <c r="H234" i="8" s="1"/>
  <c r="F231" i="8"/>
  <c r="G231" i="8" s="1"/>
  <c r="H231" i="8" s="1"/>
  <c r="F196" i="8"/>
  <c r="G196" i="8" s="1"/>
  <c r="H196" i="8" s="1"/>
  <c r="F600" i="8"/>
  <c r="G600" i="8" s="1"/>
  <c r="H600" i="8" s="1"/>
  <c r="F584" i="8"/>
  <c r="G584" i="8" s="1"/>
  <c r="H584" i="8" s="1"/>
  <c r="F503" i="8"/>
  <c r="G503" i="8" s="1"/>
  <c r="H503" i="8" s="1"/>
  <c r="F413" i="8"/>
  <c r="G413" i="8" s="1"/>
  <c r="H413" i="8" s="1"/>
  <c r="F327" i="8"/>
  <c r="G327" i="8" s="1"/>
  <c r="H327" i="8" s="1"/>
  <c r="F286" i="8"/>
  <c r="G286" i="8" s="1"/>
  <c r="H286" i="8" s="1"/>
  <c r="F283" i="8"/>
  <c r="G283" i="8" s="1"/>
  <c r="H283" i="8" s="1"/>
  <c r="F266" i="8"/>
  <c r="G266" i="8" s="1"/>
  <c r="H266" i="8" s="1"/>
  <c r="F525" i="8"/>
  <c r="G525" i="8" s="1"/>
  <c r="H525" i="8" s="1"/>
  <c r="F497" i="8"/>
  <c r="G497" i="8" s="1"/>
  <c r="H497" i="8" s="1"/>
  <c r="F428" i="8"/>
  <c r="G428" i="8" s="1"/>
  <c r="H428" i="8" s="1"/>
  <c r="F387" i="8"/>
  <c r="G387" i="8" s="1"/>
  <c r="H387" i="8" s="1"/>
  <c r="F337" i="8"/>
  <c r="G337" i="8" s="1"/>
  <c r="H337" i="8" s="1"/>
  <c r="F297" i="8"/>
  <c r="G297" i="8" s="1"/>
  <c r="H297" i="8" s="1"/>
  <c r="F48" i="8"/>
  <c r="G48" i="8" s="1"/>
  <c r="H48" i="8" s="1"/>
  <c r="F676" i="8"/>
  <c r="G676" i="8" s="1"/>
  <c r="H676" i="8" s="1"/>
  <c r="F604" i="8"/>
  <c r="G604" i="8" s="1"/>
  <c r="H604" i="8" s="1"/>
  <c r="F560" i="8"/>
  <c r="G560" i="8" s="1"/>
  <c r="H560" i="8" s="1"/>
  <c r="F505" i="8"/>
  <c r="G505" i="8" s="1"/>
  <c r="H505" i="8" s="1"/>
  <c r="F484" i="8"/>
  <c r="G484" i="8" s="1"/>
  <c r="H484" i="8" s="1"/>
  <c r="F466" i="8"/>
  <c r="G466" i="8" s="1"/>
  <c r="H466" i="8" s="1"/>
  <c r="F456" i="8"/>
  <c r="G456" i="8" s="1"/>
  <c r="H456" i="8" s="1"/>
  <c r="F427" i="8"/>
  <c r="G427" i="8" s="1"/>
  <c r="H427" i="8" s="1"/>
  <c r="F402" i="8"/>
  <c r="G402" i="8" s="1"/>
  <c r="H402" i="8" s="1"/>
  <c r="F382" i="8"/>
  <c r="G382" i="8" s="1"/>
  <c r="H382" i="8" s="1"/>
  <c r="F350" i="8"/>
  <c r="G350" i="8" s="1"/>
  <c r="H350" i="8" s="1"/>
  <c r="F292" i="8"/>
  <c r="G292" i="8" s="1"/>
  <c r="H292" i="8" s="1"/>
  <c r="F264" i="8"/>
  <c r="G264" i="8" s="1"/>
  <c r="H264" i="8" s="1"/>
  <c r="F207" i="8"/>
  <c r="G207" i="8" s="1"/>
  <c r="H207" i="8" s="1"/>
  <c r="F203" i="8"/>
  <c r="G203" i="8" s="1"/>
  <c r="H203" i="8" s="1"/>
  <c r="F335" i="8"/>
  <c r="G335" i="8" s="1"/>
  <c r="H335" i="8" s="1"/>
  <c r="F301" i="8"/>
  <c r="G301" i="8" s="1"/>
  <c r="H301" i="8" s="1"/>
  <c r="F158" i="8"/>
  <c r="G158" i="8" s="1"/>
  <c r="H158" i="8" s="1"/>
  <c r="F147" i="8"/>
  <c r="G147" i="8" s="1"/>
  <c r="H147" i="8" s="1"/>
  <c r="F52" i="8"/>
  <c r="G52" i="8" s="1"/>
  <c r="H52" i="8" s="1"/>
  <c r="F307" i="8"/>
  <c r="G307" i="8" s="1"/>
  <c r="H307" i="8" s="1"/>
  <c r="F282" i="8"/>
  <c r="G282" i="8" s="1"/>
  <c r="H282" i="8" s="1"/>
  <c r="F70" i="8"/>
  <c r="G70" i="8" s="1"/>
  <c r="H70" i="8" s="1"/>
  <c r="F637" i="8"/>
  <c r="G637" i="8" s="1"/>
  <c r="H637" i="8" s="1"/>
  <c r="F593" i="8"/>
  <c r="G593" i="8" s="1"/>
  <c r="H593" i="8" s="1"/>
  <c r="F536" i="8"/>
  <c r="G536" i="8" s="1"/>
  <c r="H536" i="8" s="1"/>
  <c r="F423" i="8"/>
  <c r="G423" i="8" s="1"/>
  <c r="H423" i="8" s="1"/>
  <c r="F411" i="8"/>
  <c r="G411" i="8" s="1"/>
  <c r="H411" i="8" s="1"/>
  <c r="F379" i="8"/>
  <c r="G379" i="8" s="1"/>
  <c r="H379" i="8" s="1"/>
  <c r="F352" i="8"/>
  <c r="G352" i="8" s="1"/>
  <c r="H352" i="8" s="1"/>
  <c r="F330" i="8"/>
  <c r="G330" i="8" s="1"/>
  <c r="H330" i="8" s="1"/>
  <c r="F220" i="8"/>
  <c r="G220" i="8" s="1"/>
  <c r="H220" i="8" s="1"/>
  <c r="F508" i="8"/>
  <c r="G508" i="8" s="1"/>
  <c r="H508" i="8" s="1"/>
  <c r="F490" i="8"/>
  <c r="G490" i="8" s="1"/>
  <c r="H490" i="8" s="1"/>
  <c r="F372" i="8"/>
  <c r="G372" i="8" s="1"/>
  <c r="H372" i="8" s="1"/>
  <c r="F340" i="8"/>
  <c r="G340" i="8" s="1"/>
  <c r="H340" i="8" s="1"/>
  <c r="F326" i="8"/>
  <c r="G326" i="8" s="1"/>
  <c r="H326" i="8" s="1"/>
  <c r="F308" i="8"/>
  <c r="G308" i="8" s="1"/>
  <c r="H308" i="8" s="1"/>
  <c r="F302" i="8"/>
  <c r="G302" i="8" s="1"/>
  <c r="H302" i="8" s="1"/>
  <c r="F246" i="8"/>
  <c r="G246" i="8" s="1"/>
  <c r="H246" i="8" s="1"/>
  <c r="F191" i="8"/>
  <c r="G191" i="8" s="1"/>
  <c r="H191" i="8" s="1"/>
  <c r="F150" i="8"/>
  <c r="G150" i="8" s="1"/>
  <c r="H150" i="8" s="1"/>
  <c r="F532" i="8"/>
  <c r="G532" i="8" s="1"/>
  <c r="H532" i="8" s="1"/>
  <c r="F357" i="8"/>
  <c r="G357" i="8" s="1"/>
  <c r="H357" i="8" s="1"/>
  <c r="F290" i="8"/>
  <c r="G290" i="8" s="1"/>
  <c r="H290" i="8" s="1"/>
  <c r="F287" i="8"/>
  <c r="G287" i="8" s="1"/>
  <c r="H287" i="8" s="1"/>
  <c r="F284" i="8"/>
  <c r="G284" i="8" s="1"/>
  <c r="H284" i="8" s="1"/>
  <c r="F278" i="8"/>
  <c r="G278" i="8" s="1"/>
  <c r="H278" i="8" s="1"/>
  <c r="F249" i="8"/>
  <c r="G249" i="8" s="1"/>
  <c r="H249" i="8" s="1"/>
  <c r="F142" i="8"/>
  <c r="G142" i="8" s="1"/>
  <c r="H142" i="8" s="1"/>
  <c r="F345" i="8"/>
  <c r="G345" i="8" s="1"/>
  <c r="H345" i="8" s="1"/>
  <c r="F325" i="8"/>
  <c r="G325" i="8" s="1"/>
  <c r="H325" i="8" s="1"/>
  <c r="F242" i="8"/>
  <c r="G242" i="8" s="1"/>
  <c r="H242" i="8" s="1"/>
  <c r="F221" i="8"/>
  <c r="G221" i="8" s="1"/>
  <c r="H221" i="8" s="1"/>
  <c r="F190" i="8"/>
  <c r="G190" i="8" s="1"/>
  <c r="H190" i="8" s="1"/>
  <c r="F98" i="8"/>
  <c r="G98" i="8" s="1"/>
  <c r="H98" i="8" s="1"/>
  <c r="F74" i="8"/>
  <c r="G74" i="8" s="1"/>
  <c r="H74" i="8" s="1"/>
  <c r="F42" i="8"/>
  <c r="G42" i="8" s="1"/>
  <c r="H42" i="8" s="1"/>
  <c r="F362" i="8"/>
  <c r="G362" i="8" s="1"/>
  <c r="H362" i="8" s="1"/>
  <c r="F269" i="8"/>
  <c r="G269" i="8" s="1"/>
  <c r="H269" i="8" s="1"/>
  <c r="F263" i="8"/>
  <c r="G263" i="8" s="1"/>
  <c r="H263" i="8" s="1"/>
  <c r="F260" i="8"/>
  <c r="G260" i="8" s="1"/>
  <c r="H260" i="8" s="1"/>
  <c r="F214" i="8"/>
  <c r="G214" i="8" s="1"/>
  <c r="H214" i="8" s="1"/>
  <c r="F41" i="8"/>
  <c r="G41" i="8" s="1"/>
  <c r="H41" i="8" s="1"/>
  <c r="F433" i="8"/>
  <c r="G433" i="8" s="1"/>
  <c r="H433" i="8" s="1"/>
  <c r="F359" i="8"/>
  <c r="G359" i="8" s="1"/>
  <c r="H359" i="8" s="1"/>
  <c r="F251" i="8"/>
  <c r="G251" i="8" s="1"/>
  <c r="H251" i="8" s="1"/>
  <c r="F176" i="8"/>
  <c r="G176" i="8" s="1"/>
  <c r="H176" i="8" s="1"/>
  <c r="F60" i="8"/>
  <c r="G60" i="8" s="1"/>
  <c r="H60" i="8" s="1"/>
  <c r="F431" i="8"/>
  <c r="G431" i="8" s="1"/>
  <c r="H431" i="8" s="1"/>
  <c r="F235" i="8"/>
  <c r="G235" i="8" s="1"/>
  <c r="H235" i="8" s="1"/>
  <c r="F22" i="8"/>
  <c r="G22" i="8" s="1"/>
  <c r="H22" i="8" s="1"/>
  <c r="F455" i="8"/>
  <c r="G455" i="8" s="1"/>
  <c r="H455" i="8" s="1"/>
  <c r="F311" i="8"/>
  <c r="G311" i="8" s="1"/>
  <c r="H311" i="8" s="1"/>
  <c r="F298" i="8"/>
  <c r="G298" i="8" s="1"/>
  <c r="H298" i="8" s="1"/>
  <c r="F267" i="8"/>
  <c r="G267" i="8" s="1"/>
  <c r="H267" i="8" s="1"/>
  <c r="F237" i="8"/>
  <c r="G237" i="8" s="1"/>
  <c r="H237" i="8" s="1"/>
  <c r="F224" i="8"/>
  <c r="G224" i="8" s="1"/>
  <c r="H224" i="8" s="1"/>
  <c r="F171" i="8"/>
  <c r="G171" i="8" s="1"/>
  <c r="H171" i="8" s="1"/>
  <c r="F149" i="8"/>
  <c r="G149" i="8" s="1"/>
  <c r="H149" i="8" s="1"/>
  <c r="F105" i="8"/>
  <c r="G105" i="8" s="1"/>
  <c r="H105" i="8" s="1"/>
  <c r="F90" i="8"/>
  <c r="G90" i="8" s="1"/>
  <c r="H90" i="8" s="1"/>
  <c r="F78" i="8"/>
  <c r="G78" i="8" s="1"/>
  <c r="H78" i="8" s="1"/>
  <c r="F66" i="8"/>
  <c r="G66" i="8" s="1"/>
  <c r="H66" i="8" s="1"/>
  <c r="F44" i="8"/>
  <c r="G44" i="8" s="1"/>
  <c r="H44" i="8" s="1"/>
  <c r="F479" i="8"/>
  <c r="G479" i="8" s="1"/>
  <c r="H479" i="8" s="1"/>
  <c r="F418" i="8"/>
  <c r="G418" i="8" s="1"/>
  <c r="H418" i="8" s="1"/>
  <c r="F374" i="8"/>
  <c r="G374" i="8" s="1"/>
  <c r="H374" i="8" s="1"/>
  <c r="F202" i="8"/>
  <c r="G202" i="8" s="1"/>
  <c r="H202" i="8" s="1"/>
  <c r="F180" i="8"/>
  <c r="G180" i="8" s="1"/>
  <c r="H180" i="8" s="1"/>
  <c r="F174" i="8"/>
  <c r="G174" i="8" s="1"/>
  <c r="H174" i="8" s="1"/>
  <c r="F152" i="8"/>
  <c r="G152" i="8" s="1"/>
  <c r="H152" i="8" s="1"/>
  <c r="F125" i="8"/>
  <c r="G125" i="8" s="1"/>
  <c r="H125" i="8" s="1"/>
  <c r="F47" i="8"/>
  <c r="G47" i="8" s="1"/>
  <c r="H47" i="8" s="1"/>
  <c r="F186" i="8"/>
  <c r="G186" i="8" s="1"/>
  <c r="H186" i="8" s="1"/>
  <c r="F62" i="8"/>
  <c r="G62" i="8" s="1"/>
  <c r="H62" i="8" s="1"/>
  <c r="F101" i="8"/>
  <c r="G101" i="8" s="1"/>
  <c r="H101" i="8" s="1"/>
  <c r="F86" i="8"/>
  <c r="G86" i="8" s="1"/>
  <c r="H86" i="8" s="1"/>
  <c r="F77" i="8"/>
  <c r="G77" i="8" s="1"/>
  <c r="H77" i="8" s="1"/>
  <c r="F227" i="8"/>
  <c r="G227" i="8" s="1"/>
  <c r="H227" i="8" s="1"/>
  <c r="F173" i="8"/>
  <c r="G173" i="8" s="1"/>
  <c r="H173" i="8" s="1"/>
  <c r="F165" i="8"/>
  <c r="G165" i="8" s="1"/>
  <c r="H165" i="8" s="1"/>
  <c r="F127" i="8"/>
  <c r="G127" i="8" s="1"/>
  <c r="H127" i="8" s="1"/>
  <c r="F100" i="8"/>
  <c r="G100" i="8" s="1"/>
  <c r="H100" i="8" s="1"/>
  <c r="F238" i="8"/>
  <c r="G238" i="8" s="1"/>
  <c r="H238" i="8" s="1"/>
  <c r="F210" i="8"/>
  <c r="G210" i="8" s="1"/>
  <c r="H210" i="8" s="1"/>
  <c r="F151" i="8"/>
  <c r="G151" i="8" s="1"/>
  <c r="H151" i="8" s="1"/>
  <c r="F140" i="8"/>
  <c r="G140" i="8" s="1"/>
  <c r="H140" i="8" s="1"/>
  <c r="F124" i="8"/>
  <c r="G124" i="8" s="1"/>
  <c r="H124" i="8" s="1"/>
  <c r="F33" i="8"/>
  <c r="G33" i="8" s="1"/>
  <c r="H33" i="8" s="1"/>
  <c r="F17" i="8"/>
  <c r="G17" i="8" s="1"/>
  <c r="H17" i="8" s="1"/>
  <c r="F110" i="8"/>
  <c r="G110" i="8" s="1"/>
  <c r="H110" i="8" s="1"/>
  <c r="F23" i="8"/>
  <c r="G23" i="8" s="1"/>
  <c r="H23" i="8" s="1"/>
  <c r="F20" i="8"/>
  <c r="G20" i="8" s="1"/>
  <c r="H20" i="8" s="1"/>
  <c r="F123" i="8"/>
  <c r="G123" i="8" s="1"/>
  <c r="H123" i="8" s="1"/>
  <c r="F93" i="8"/>
  <c r="G93" i="8" s="1"/>
  <c r="H93" i="8" s="1"/>
  <c r="F75" i="8"/>
  <c r="G75" i="8" s="1"/>
  <c r="H75" i="8" s="1"/>
  <c r="F35" i="8"/>
  <c r="G35" i="8" s="1"/>
  <c r="H35" i="8" s="1"/>
  <c r="F29" i="8"/>
  <c r="G29" i="8" s="1"/>
  <c r="H29" i="8" s="1"/>
  <c r="F169" i="8"/>
  <c r="G169" i="8" s="1"/>
  <c r="H169" i="8" s="1"/>
  <c r="F145" i="8"/>
  <c r="G145" i="8" s="1"/>
  <c r="H145" i="8" s="1"/>
  <c r="F128" i="8"/>
  <c r="G128" i="8" s="1"/>
  <c r="H128" i="8" s="1"/>
  <c r="F80" i="8"/>
  <c r="G80" i="8" s="1"/>
  <c r="H80" i="8" s="1"/>
  <c r="F57" i="8"/>
  <c r="G57" i="8" s="1"/>
  <c r="H57" i="8" s="1"/>
  <c r="F183" i="8"/>
  <c r="G183" i="8" s="1"/>
  <c r="H183" i="8" s="1"/>
  <c r="F159" i="8"/>
  <c r="G159" i="8" s="1"/>
  <c r="H159" i="8" s="1"/>
  <c r="F135" i="8"/>
  <c r="G135" i="8" s="1"/>
  <c r="H135" i="8" s="1"/>
  <c r="F111" i="8"/>
  <c r="G111" i="8" s="1"/>
  <c r="H111" i="8" s="1"/>
  <c r="F87" i="8"/>
  <c r="G87" i="8" s="1"/>
  <c r="H87" i="8" s="1"/>
  <c r="F63" i="8"/>
  <c r="G63" i="8" s="1"/>
  <c r="H63" i="8" s="1"/>
  <c r="F163" i="8"/>
  <c r="G163" i="8" s="1"/>
  <c r="H163" i="8" s="1"/>
  <c r="F139" i="8"/>
  <c r="G139" i="8" s="1"/>
  <c r="H139" i="8" s="1"/>
  <c r="F115" i="8"/>
  <c r="G115" i="8" s="1"/>
  <c r="H115" i="8" s="1"/>
  <c r="F91" i="8"/>
  <c r="G91" i="8" s="1"/>
  <c r="H91" i="8" s="1"/>
  <c r="F67" i="8"/>
  <c r="G67" i="8" s="1"/>
  <c r="H67" i="8" s="1"/>
  <c r="F121" i="8"/>
  <c r="G121" i="8" s="1"/>
  <c r="H121" i="8" s="1"/>
  <c r="F97" i="8"/>
  <c r="G97" i="8" s="1"/>
  <c r="H97" i="8" s="1"/>
  <c r="F73" i="8"/>
  <c r="G73" i="8" s="1"/>
  <c r="H73" i="8" s="1"/>
  <c r="F55" i="8"/>
  <c r="G55" i="8" s="1"/>
  <c r="H55" i="8" s="1"/>
  <c r="F43" i="8"/>
  <c r="G43" i="8" s="1"/>
  <c r="H43" i="8" s="1"/>
  <c r="F31" i="8"/>
  <c r="G31" i="8" s="1"/>
  <c r="H31" i="8" s="1"/>
  <c r="F19" i="8"/>
  <c r="G19" i="8" s="1"/>
  <c r="H19" i="8" s="1"/>
  <c r="F16" i="8"/>
  <c r="G16" i="8" s="1"/>
  <c r="H16" i="8" s="1"/>
  <c r="G29" i="6"/>
  <c r="G23" i="6"/>
  <c r="O16" i="8" l="1"/>
  <c r="N16" i="8"/>
  <c r="M16" i="8"/>
  <c r="L16" i="8"/>
  <c r="K16" i="8"/>
  <c r="J16" i="8"/>
</calcChain>
</file>

<file path=xl/sharedStrings.xml><?xml version="1.0" encoding="utf-8"?>
<sst xmlns="http://schemas.openxmlformats.org/spreadsheetml/2006/main" count="337" uniqueCount="284">
  <si>
    <t>symbol</t>
  </si>
  <si>
    <t>currentPrice</t>
  </si>
  <si>
    <t>beta</t>
  </si>
  <si>
    <t>trailingPE</t>
  </si>
  <si>
    <t>priceToBook</t>
  </si>
  <si>
    <t>bookValue</t>
  </si>
  <si>
    <t>trailingEps</t>
  </si>
  <si>
    <t>quickRatio</t>
  </si>
  <si>
    <t>currentRatio</t>
  </si>
  <si>
    <t>returnOnEquity</t>
  </si>
  <si>
    <t>revenueGrowth</t>
  </si>
  <si>
    <t>CAPMAN.HE</t>
  </si>
  <si>
    <t>Metric</t>
  </si>
  <si>
    <t>Value</t>
  </si>
  <si>
    <t>ROE (latest FY)</t>
  </si>
  <si>
    <t>ROE (prev FY)</t>
  </si>
  <si>
    <t>ROE 2y average</t>
  </si>
  <si>
    <t>Volatility 60d (ann.)</t>
  </si>
  <si>
    <t>Volatility 252d (ann.)</t>
  </si>
  <si>
    <t>TaxEffectOfUnusualItems</t>
  </si>
  <si>
    <t>TaxRateForCalcs</t>
  </si>
  <si>
    <t>NormalizedEBITDA</t>
  </si>
  <si>
    <t>TotalUnusualItems</t>
  </si>
  <si>
    <t>TotalUnusualItemsExcludingGoodwill</t>
  </si>
  <si>
    <t>NetIncomeFromContinuingOperationNetMinorityInterest</t>
  </si>
  <si>
    <t>ReconciledDepreciation</t>
  </si>
  <si>
    <t>ReconciledCostOfRevenue</t>
  </si>
  <si>
    <t>EBITDA</t>
  </si>
  <si>
    <t>EBIT</t>
  </si>
  <si>
    <t>NetInterestIncome</t>
  </si>
  <si>
    <t>InterestExpense</t>
  </si>
  <si>
    <t>InterestIncome</t>
  </si>
  <si>
    <t>NormalizedIncome</t>
  </si>
  <si>
    <t>NetIncomeFromContinuingAndDiscontinuedOperation</t>
  </si>
  <si>
    <t>TotalExpenses</t>
  </si>
  <si>
    <t>TotalOperatingIncomeAsReported</t>
  </si>
  <si>
    <t>DilutedAverageShares</t>
  </si>
  <si>
    <t>BasicAverageShares</t>
  </si>
  <si>
    <t>DilutedEPS</t>
  </si>
  <si>
    <t>BasicEPS</t>
  </si>
  <si>
    <t>DilutedNIAvailtoComStockholders</t>
  </si>
  <si>
    <t>NetIncomeCommonStockholders</t>
  </si>
  <si>
    <t>OtherunderPreferredStockDividend</t>
  </si>
  <si>
    <t>NetIncome</t>
  </si>
  <si>
    <t>MinorityInterests</t>
  </si>
  <si>
    <t>NetIncomeIncludingNoncontrollingInterests</t>
  </si>
  <si>
    <t>NetIncomeDiscontinuousOperations</t>
  </si>
  <si>
    <t>NetIncomeContinuousOperations</t>
  </si>
  <si>
    <t>TaxProvision</t>
  </si>
  <si>
    <t>PretaxIncome</t>
  </si>
  <si>
    <t>OtherNonOperatingIncomeExpenses</t>
  </si>
  <si>
    <t>SpecialIncomeCharges</t>
  </si>
  <si>
    <t>OtherSpecialCharges</t>
  </si>
  <si>
    <t>NetNonOperatingInterestIncomeExpense</t>
  </si>
  <si>
    <t>TotalOtherFinanceCost</t>
  </si>
  <si>
    <t>InterestExpenseNonOperating</t>
  </si>
  <si>
    <t>InterestIncomeNonOperating</t>
  </si>
  <si>
    <t>OperatingIncome</t>
  </si>
  <si>
    <t>OperatingExpense</t>
  </si>
  <si>
    <t>OtherOperatingExpenses</t>
  </si>
  <si>
    <t>DepreciationAndAmortizationInIncomeStatement</t>
  </si>
  <si>
    <t>Amortization</t>
  </si>
  <si>
    <t>DepreciationIncomeStatement</t>
  </si>
  <si>
    <t>GrossProfit</t>
  </si>
  <si>
    <t>CostOfRevenue</t>
  </si>
  <si>
    <t>TotalRevenue</t>
  </si>
  <si>
    <t>OperatingRevenue</t>
  </si>
  <si>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</si>
  <si>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</si>
  <si>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</si>
  <si>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</si>
  <si>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</si>
  <si>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</si>
  <si>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</si>
  <si>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</si>
  <si>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</si>
  <si>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</si>
  <si>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</si>
  <si>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</si>
  <si>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</si>
  <si>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</si>
  <si>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</si>
  <si>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Other Equity Interest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</si>
  <si>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</si>
  <si>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</si>
  <si>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</si>
  <si>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</si>
  <si>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</si>
  <si>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</si>
  <si>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</si>
  <si>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Non Current Deferred Taxes Liabilities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</si>
  <si>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</si>
  <si>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</si>
  <si>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</si>
  <si>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</si>
  <si>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</si>
  <si>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Debt And Capital Lease Obligation</t>
  </si>
  <si>
    <t>Current Capital Lease Obligation</t>
  </si>
  <si>
    <t>Current Debt</t>
  </si>
  <si>
    <t>Payables</t>
  </si>
  <si>
    <t>Total Tax Payable</t>
  </si>
  <si>
    <t>Accounts Payable</t>
  </si>
  <si>
    <t>Total Assets</t>
  </si>
  <si>
    <t>Total Non Current Assets</t>
  </si>
  <si>
    <t>Non Current Deferred Taxes Assets</t>
  </si>
  <si>
    <t>Investmentin Financial Assets</t>
  </si>
  <si>
    <t>Financial Assets Designatedas Fair Value Through Profitor Loss Total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</si>
  <si>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</si>
  <si>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</si>
  <si>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</si>
  <si>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</si>
  <si>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</si>
  <si>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</si>
  <si>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Other Properties</t>
  </si>
  <si>
    <t>Machinery Furniture Equipment</t>
  </si>
  <si>
    <t>Buildings And Improvements</t>
  </si>
  <si>
    <t>Properties</t>
  </si>
  <si>
    <t>Current Assets</t>
  </si>
  <si>
    <t>Other Current Assets</t>
  </si>
  <si>
    <t>Assets Held For Sale Current</t>
  </si>
  <si>
    <t>Restricted Cash</t>
  </si>
  <si>
    <t>Other Receivables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</si>
  <si>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</si>
  <si>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</si>
  <si>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</si>
  <si>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</si>
  <si>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</si>
  <si>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</si>
  <si>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</si>
  <si>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</si>
  <si>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</si>
  <si>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Repayment Of Debt</t>
  </si>
  <si>
    <t>Issuance Of Debt</t>
  </si>
  <si>
    <t>Issuance Of Capital Stock</t>
  </si>
  <si>
    <t>Capital Expenditure</t>
  </si>
  <si>
    <t>End Cash Position</t>
  </si>
  <si>
    <t>Beginning Cash Position</t>
  </si>
  <si>
    <t>Effect Of Exchange Rate Changes</t>
  </si>
  <si>
    <t>Changes In Cash</t>
  </si>
  <si>
    <t>Financing Cash Flow</t>
  </si>
  <si>
    <t>Net Other Financing Charges</t>
  </si>
  <si>
    <t>Cash Dividends Paid</t>
  </si>
  <si>
    <t>Common Stock Dividend Paid</t>
  </si>
  <si>
    <t>Net Common Stock Issuance</t>
  </si>
  <si>
    <t>Common Stock Issuance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</si>
  <si>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</si>
  <si>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</si>
  <si>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</si>
  <si>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</si>
  <si>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</si>
  <si>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Net Other Investing Changes</t>
  </si>
  <si>
    <t>Interest Received Cfi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</si>
  <si>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</si>
  <si>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</si>
  <si>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</si>
  <si>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</si>
  <si>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</si>
  <si>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</si>
  <si>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PPE Purchase And Sale</t>
  </si>
  <si>
    <t>Purchase Of PPE</t>
  </si>
  <si>
    <t>Operating Cash Flow</t>
  </si>
  <si>
    <t>Taxes Refund Paid</t>
  </si>
  <si>
    <t>Interest Paid Cfo</t>
  </si>
  <si>
    <t>Change In Working Capital</t>
  </si>
  <si>
    <t>Change In Payable</t>
  </si>
  <si>
    <t>Change In Receivables</t>
  </si>
  <si>
    <t>Other Non Cash Items</t>
  </si>
  <si>
    <t>Stock Based Compensation</t>
  </si>
  <si>
    <t>Deferred Tax</t>
  </si>
  <si>
    <t>Depreciation And Amortization</t>
  </si>
  <si>
    <t>Depreciation</t>
  </si>
  <si>
    <t>Pension And Employee Benefit Expense</t>
  </si>
  <si>
    <t>Gain Loss On Investment Securities</t>
  </si>
  <si>
    <t>Gain Loss On Sale Of Business</t>
  </si>
  <si>
    <t>Net Income From Continuing Operations</t>
  </si>
  <si>
    <t>Date</t>
  </si>
  <si>
    <t>Open</t>
  </si>
  <si>
    <t>High</t>
  </si>
  <si>
    <t>Low</t>
  </si>
  <si>
    <t>Close</t>
  </si>
  <si>
    <t>Volume</t>
  </si>
  <si>
    <t>Dividends</t>
  </si>
  <si>
    <t>Stock Splits</t>
  </si>
  <si>
    <t>Imported from Yahoo Finance</t>
  </si>
  <si>
    <t>WACC</t>
  </si>
  <si>
    <t>CAPM</t>
  </si>
  <si>
    <t>CAPMAN Oyj Daily Closing Price 2016 - 2026</t>
  </si>
  <si>
    <t>Capital Structure</t>
  </si>
  <si>
    <t>ROE &amp; Volatility (yfinance)</t>
  </si>
  <si>
    <t>Market Cap</t>
  </si>
  <si>
    <t>Enterprise Value</t>
  </si>
  <si>
    <t>Debt</t>
  </si>
  <si>
    <t>Shares</t>
  </si>
  <si>
    <t>Market valuation &amp; Information 2024</t>
  </si>
  <si>
    <t>Weighted Average Cost of Capital</t>
  </si>
  <si>
    <t>Capital Asset Pricing Model</t>
  </si>
  <si>
    <t>Issued Bonds</t>
  </si>
  <si>
    <t>CAPMAN Oyj</t>
  </si>
  <si>
    <t>2022-2027</t>
  </si>
  <si>
    <t>2024-2029</t>
  </si>
  <si>
    <t xml:space="preserve">Coupon </t>
  </si>
  <si>
    <t xml:space="preserve">Amount </t>
  </si>
  <si>
    <t>60 M €</t>
  </si>
  <si>
    <t>40 M €</t>
  </si>
  <si>
    <t>Debt Structure</t>
  </si>
  <si>
    <t>M€</t>
  </si>
  <si>
    <t>Coupon</t>
  </si>
  <si>
    <t>Maturity</t>
  </si>
  <si>
    <t>Bond 2022-2027</t>
  </si>
  <si>
    <t>Q2/2027</t>
  </si>
  <si>
    <t>MV</t>
  </si>
  <si>
    <t>N/A</t>
  </si>
  <si>
    <t>Bond 2024-2029</t>
  </si>
  <si>
    <t>Q2/2029</t>
  </si>
  <si>
    <t>FV</t>
  </si>
  <si>
    <t>Year</t>
  </si>
  <si>
    <t>Yield</t>
  </si>
  <si>
    <t>CF</t>
  </si>
  <si>
    <t>DCF</t>
  </si>
  <si>
    <t>Total DCF</t>
  </si>
  <si>
    <t>22-27</t>
  </si>
  <si>
    <t>24-27</t>
  </si>
  <si>
    <t>Kdat 2022</t>
  </si>
  <si>
    <t>Tax 20%</t>
  </si>
  <si>
    <t>Kdat 2024</t>
  </si>
  <si>
    <t>Weight</t>
  </si>
  <si>
    <t>Risk Premium (PWC)</t>
  </si>
  <si>
    <t>Risk Free Rate</t>
  </si>
  <si>
    <t>WACC Calculation</t>
  </si>
  <si>
    <t xml:space="preserve">Debt </t>
  </si>
  <si>
    <t>Rd (Kdat)</t>
  </si>
  <si>
    <t>Kdat</t>
  </si>
  <si>
    <t>Beta: 0.971 (Own Python Calculation)</t>
  </si>
  <si>
    <t>Beta (Python Calc.)</t>
  </si>
  <si>
    <t>MC</t>
  </si>
  <si>
    <t>Discounted Cashflow Model</t>
  </si>
  <si>
    <t>Capman Oyj</t>
  </si>
  <si>
    <t>NSDQ: HEL</t>
  </si>
  <si>
    <t>Revenue</t>
  </si>
  <si>
    <t>EBIT-%</t>
  </si>
  <si>
    <t>NOPAT</t>
  </si>
  <si>
    <t>D&amp;A</t>
  </si>
  <si>
    <t>CAPEX</t>
  </si>
  <si>
    <t>Δ NWC</t>
  </si>
  <si>
    <t>FCFF</t>
  </si>
  <si>
    <t>2026e</t>
  </si>
  <si>
    <t>2027e</t>
  </si>
  <si>
    <t>2028e</t>
  </si>
  <si>
    <t>2029e</t>
  </si>
  <si>
    <t>2030e</t>
  </si>
  <si>
    <t>2031e</t>
  </si>
  <si>
    <t>2032e</t>
  </si>
  <si>
    <t>Tax</t>
  </si>
  <si>
    <t>Compared to Revenue</t>
  </si>
  <si>
    <t>Growth</t>
  </si>
  <si>
    <t>Revenue CAGR (5 Y)</t>
  </si>
  <si>
    <t>DCF Valuation</t>
  </si>
  <si>
    <t>TG</t>
  </si>
  <si>
    <t>Index</t>
  </si>
  <si>
    <t>DCF 2033</t>
  </si>
  <si>
    <t>Terminal</t>
  </si>
  <si>
    <t>Present TV</t>
  </si>
  <si>
    <t>Equity Value</t>
  </si>
  <si>
    <t>Osake / Fair value</t>
  </si>
  <si>
    <t>Current Share Value</t>
  </si>
  <si>
    <t>Implied Upside</t>
  </si>
  <si>
    <t>Monte Carlo Simulation</t>
  </si>
  <si>
    <t>FCFF 2032</t>
  </si>
  <si>
    <t>2026-2032</t>
  </si>
  <si>
    <t>Time</t>
  </si>
  <si>
    <t>Income Statement</t>
  </si>
  <si>
    <t>Balance Sheet</t>
  </si>
  <si>
    <t>Cash Flow Statement</t>
  </si>
  <si>
    <t>Fair Value</t>
  </si>
  <si>
    <t>G</t>
  </si>
  <si>
    <t>Rand</t>
  </si>
  <si>
    <t>FV Median</t>
  </si>
  <si>
    <t>FV Average</t>
  </si>
  <si>
    <t>FV 0,05</t>
  </si>
  <si>
    <t>FV 0,95</t>
  </si>
  <si>
    <t>Min</t>
  </si>
  <si>
    <t>Max</t>
  </si>
  <si>
    <t>Sensitivity  Analysis</t>
  </si>
  <si>
    <t xml:space="preserve">TG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</si>
</sst>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164" formatCode="yyyy\-mm\-dd\ hh:mm:ss"/>
    <numFmt numFmtId="165" formatCode="0.0\ %"/>
    <numFmt numFmtId="166" formatCode="0.0"/>
    <numFmt numFmtId="167" formatCode="0.000"/>
    <numFmt numFmtId="177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6" fillId="6" borderId="5" applyNumberFormat="0" applyAlignment="0" applyProtection="0"/>
  </cellStyleXfs>
  <cellXfs count="7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3" fillId="0" borderId="0" xfId="0" applyFont="1"/>
    <xf numFmtId="9" fontId="0" fillId="0" borderId="1" xfId="0" applyNumberFormat="1" applyBorder="1"/>
    <xf numFmtId="0" fontId="0" fillId="0" borderId="1" xfId="0" applyBorder="1"/>
    <xf numFmtId="0" fontId="3" fillId="0" borderId="1" xfId="0" applyFont="1" applyBorder="1"/>
    <xf numFmtId="2" fontId="0" fillId="4" borderId="1" xfId="0" applyNumberFormat="1" applyFill="1" applyBorder="1"/>
    <xf numFmtId="0" fontId="0" fillId="4" borderId="1" xfId="0" applyFill="1" applyBorder="1"/>
    <xf numFmtId="0" fontId="3" fillId="4" borderId="1" xfId="0" applyFont="1" applyFill="1" applyBorder="1"/>
    <xf numFmtId="0" fontId="3" fillId="0" borderId="3" xfId="0" applyFont="1" applyBorder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0" borderId="3" xfId="0" applyBorder="1"/>
    <xf numFmtId="0" fontId="3" fillId="3" borderId="4" xfId="0" applyFont="1" applyFill="1" applyBorder="1"/>
    <xf numFmtId="0" fontId="1" fillId="3" borderId="4" xfId="0" applyFont="1" applyFill="1" applyBorder="1" applyAlignment="1">
      <alignment horizontal="center" vertical="top"/>
    </xf>
    <xf numFmtId="0" fontId="4" fillId="0" borderId="0" xfId="0" applyFont="1"/>
    <xf numFmtId="9" fontId="5" fillId="5" borderId="1" xfId="1" applyNumberFormat="1" applyFont="1" applyFill="1" applyBorder="1"/>
    <xf numFmtId="2" fontId="0" fillId="0" borderId="1" xfId="0" applyNumberFormat="1" applyBorder="1"/>
    <xf numFmtId="0" fontId="3" fillId="3" borderId="2" xfId="0" applyFont="1" applyFill="1" applyBorder="1"/>
    <xf numFmtId="0" fontId="0" fillId="3" borderId="7" xfId="0" applyFill="1" applyBorder="1"/>
    <xf numFmtId="0" fontId="0" fillId="3" borderId="3" xfId="0" applyFill="1" applyBorder="1"/>
    <xf numFmtId="0" fontId="0" fillId="3" borderId="8" xfId="0" applyFill="1" applyBorder="1"/>
    <xf numFmtId="0" fontId="0" fillId="3" borderId="9" xfId="0" applyFill="1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0" borderId="10" xfId="0" applyBorder="1"/>
    <xf numFmtId="10" fontId="3" fillId="0" borderId="3" xfId="0" applyNumberFormat="1" applyFont="1" applyBorder="1"/>
    <xf numFmtId="10" fontId="3" fillId="0" borderId="1" xfId="0" applyNumberFormat="1" applyFont="1" applyBorder="1"/>
    <xf numFmtId="0" fontId="3" fillId="3" borderId="3" xfId="0" applyFont="1" applyFill="1" applyBorder="1"/>
    <xf numFmtId="10" fontId="6" fillId="6" borderId="5" xfId="2" applyNumberFormat="1"/>
    <xf numFmtId="10" fontId="6" fillId="6" borderId="5" xfId="2" applyNumberFormat="1" applyAlignment="1">
      <alignment horizontal="center"/>
    </xf>
    <xf numFmtId="0" fontId="3" fillId="0" borderId="4" xfId="0" applyFont="1" applyBorder="1"/>
    <xf numFmtId="10" fontId="6" fillId="6" borderId="12" xfId="2" applyNumberFormat="1" applyBorder="1"/>
    <xf numFmtId="10" fontId="6" fillId="6" borderId="11" xfId="2" applyNumberFormat="1" applyBorder="1"/>
    <xf numFmtId="0" fontId="3" fillId="0" borderId="6" xfId="0" applyFont="1" applyBorder="1"/>
    <xf numFmtId="10" fontId="6" fillId="6" borderId="13" xfId="2" applyNumberFormat="1" applyBorder="1"/>
    <xf numFmtId="166" fontId="0" fillId="0" borderId="1" xfId="0" applyNumberFormat="1" applyBorder="1"/>
    <xf numFmtId="0" fontId="0" fillId="0" borderId="0" xfId="0" applyAlignment="1">
      <alignment horizontal="center"/>
    </xf>
    <xf numFmtId="165" fontId="0" fillId="0" borderId="1" xfId="0" applyNumberFormat="1" applyBorder="1"/>
    <xf numFmtId="0" fontId="3" fillId="0" borderId="14" xfId="0" applyFont="1" applyBorder="1"/>
    <xf numFmtId="9" fontId="3" fillId="0" borderId="15" xfId="0" applyNumberFormat="1" applyFont="1" applyBorder="1"/>
    <xf numFmtId="2" fontId="0" fillId="0" borderId="4" xfId="0" applyNumberFormat="1" applyBorder="1"/>
    <xf numFmtId="165" fontId="0" fillId="0" borderId="0" xfId="0" applyNumberFormat="1"/>
    <xf numFmtId="10" fontId="0" fillId="0" borderId="1" xfId="0" applyNumberFormat="1" applyBorder="1" applyAlignment="1">
      <alignment horizontal="center"/>
    </xf>
    <xf numFmtId="167" fontId="0" fillId="0" borderId="1" xfId="0" applyNumberFormat="1" applyBorder="1"/>
    <xf numFmtId="165" fontId="3" fillId="0" borderId="0" xfId="0" applyNumberFormat="1" applyFont="1"/>
    <xf numFmtId="2" fontId="0" fillId="0" borderId="17" xfId="0" applyNumberFormat="1" applyBorder="1"/>
    <xf numFmtId="2" fontId="3" fillId="0" borderId="16" xfId="0" applyNumberFormat="1" applyFont="1" applyBorder="1"/>
    <xf numFmtId="2" fontId="3" fillId="0" borderId="0" xfId="0" applyNumberFormat="1" applyFont="1"/>
    <xf numFmtId="2" fontId="3" fillId="0" borderId="18" xfId="0" applyNumberFormat="1" applyFont="1" applyBorder="1"/>
    <xf numFmtId="2" fontId="3" fillId="0" borderId="19" xfId="0" applyNumberFormat="1" applyFont="1" applyBorder="1"/>
    <xf numFmtId="2" fontId="0" fillId="0" borderId="20" xfId="0" applyNumberFormat="1" applyBorder="1"/>
    <xf numFmtId="2" fontId="6" fillId="6" borderId="11" xfId="2" applyNumberFormat="1" applyBorder="1"/>
    <xf numFmtId="9" fontId="2" fillId="2" borderId="3" xfId="1" applyNumberFormat="1" applyBorder="1"/>
    <xf numFmtId="2" fontId="0" fillId="0" borderId="10" xfId="0" applyNumberFormat="1" applyBorder="1"/>
    <xf numFmtId="0" fontId="1" fillId="0" borderId="6" xfId="0" applyFont="1" applyBorder="1" applyAlignment="1">
      <alignment horizontal="center" vertical="top"/>
    </xf>
    <xf numFmtId="167" fontId="0" fillId="0" borderId="4" xfId="0" applyNumberFormat="1" applyBorder="1"/>
    <xf numFmtId="177" fontId="0" fillId="0" borderId="1" xfId="0" applyNumberFormat="1" applyBorder="1"/>
    <xf numFmtId="2" fontId="0" fillId="0" borderId="0" xfId="0" applyNumberFormat="1" applyBorder="1"/>
    <xf numFmtId="177" fontId="0" fillId="0" borderId="6" xfId="0" applyNumberFormat="1" applyBorder="1"/>
    <xf numFmtId="177" fontId="0" fillId="0" borderId="22" xfId="0" applyNumberFormat="1" applyBorder="1"/>
    <xf numFmtId="177" fontId="0" fillId="0" borderId="23" xfId="0" applyNumberFormat="1" applyBorder="1"/>
    <xf numFmtId="9" fontId="0" fillId="0" borderId="24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9" fontId="0" fillId="0" borderId="25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</cellXfs>
  <cellStyles count="3">
    <cellStyle name="Calculation" xfId="2" builtinId="22"/>
    <cellStyle name="Good" xfId="1" builtinId="26"/>
    <cellStyle name="Normal" xfId="0" builtinId="0"/>
  </cellStyles>
  <dxfs count="0"/>
  <tableStyles count="0" defaultTableStyle="TableStyleMedium9" defaultPivotStyle="PivotStyleLight16"/>
  <colors>
    <mruColors>
      <color rgb="FF00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fAIR VALUE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500" b="1" i="0" u="none" strike="noStrike" cap="all" spc="100" baseline="0">
              <a:solidFill>
                <a:sysClr val="window" lastClr="FFFFFF"/>
              </a:solidFill>
              <a:latin typeface="Calibri"/>
            </a:rPr>
            <a:t>fAIR VALUE</a:t>
          </a:r>
        </a:p>
      </cx:txPr>
    </cx:title>
    <cx:plotArea>
      <cx:plotAreaRegion>
        <cx:series layoutId="clusteredColumn" uniqueId="{6BE7DEF2-2B13-4853-B91B-78190F49BA55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25402</xdr:colOff>
      <xdr:row>5</xdr:row>
      <xdr:rowOff>38100</xdr:rowOff>
    </xdr:from>
    <xdr:to>
      <xdr:col>10</xdr:col>
      <xdr:colOff>609600</xdr:colOff>
      <xdr:row>18</xdr:row>
      <xdr:rowOff>158749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305C1B-5BC3-B21F-12A4-6034AE4FF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7202" y="965200"/>
          <a:ext cx="5067298" cy="2533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88900</xdr:colOff>
      <xdr:row>0</xdr:row>
      <xdr:rowOff>88900</xdr:rowOff>
    </xdr:from>
    <xdr:to>
      <xdr:col>14</xdr:col>
      <xdr:colOff>609601</xdr:colOff>
      <xdr:row>13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2B493BE-8572-82A3-2980-EAAF960C98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1500" y="88900"/>
              <a:ext cx="5530851" cy="231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i-FI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6E8D-7631-405A-B1C2-174ED3F9B4B9}">
  <dimension ref="B2:P44"/>
  <sheetViews>
    <sheetView tabSelected="1" workbookViewId="0"/>
  </sheetViews>
  <sheetFormatPr defaultRowHeight="14.5" x14ac:dyDescent="0.35"/>
  <cols>
    <col min="4" max="4" width="9.1796875" customWidth="1"/>
    <col min="7" max="7" width="9.90625" customWidth="1"/>
  </cols>
  <sheetData>
    <row r="2" spans="2:16" ht="15" thickBot="1" x14ac:dyDescent="0.4"/>
    <row r="3" spans="2:16" ht="15" thickBot="1" x14ac:dyDescent="0.4">
      <c r="B3" s="23" t="s">
        <v>235</v>
      </c>
      <c r="C3" s="23"/>
      <c r="D3" s="23"/>
      <c r="F3" s="5"/>
      <c r="G3" s="44" t="s">
        <v>252</v>
      </c>
      <c r="H3" s="45">
        <v>0.2</v>
      </c>
    </row>
    <row r="4" spans="2:16" ht="15" thickTop="1" x14ac:dyDescent="0.35">
      <c r="B4" s="5" t="s">
        <v>236</v>
      </c>
      <c r="D4" t="s">
        <v>237</v>
      </c>
      <c r="F4" s="5"/>
    </row>
    <row r="6" spans="2:16" x14ac:dyDescent="0.35">
      <c r="B6" s="5" t="s">
        <v>215</v>
      </c>
      <c r="C6" s="42">
        <v>2021</v>
      </c>
      <c r="D6" s="42">
        <v>2022</v>
      </c>
      <c r="E6" s="42">
        <v>2023</v>
      </c>
      <c r="F6" s="42">
        <v>2024</v>
      </c>
      <c r="G6" s="42">
        <v>2025</v>
      </c>
      <c r="H6" s="42" t="s">
        <v>245</v>
      </c>
      <c r="I6" s="42" t="s">
        <v>246</v>
      </c>
      <c r="J6" s="42" t="s">
        <v>247</v>
      </c>
      <c r="K6" s="42" t="s">
        <v>248</v>
      </c>
      <c r="L6" s="42" t="s">
        <v>249</v>
      </c>
      <c r="M6" s="42" t="s">
        <v>250</v>
      </c>
      <c r="N6" s="42" t="s">
        <v>251</v>
      </c>
      <c r="O6" s="42"/>
      <c r="P6" s="42"/>
    </row>
    <row r="7" spans="2:16" x14ac:dyDescent="0.35">
      <c r="B7" t="s">
        <v>238</v>
      </c>
      <c r="C7" s="20">
        <v>52.783999999999999</v>
      </c>
      <c r="D7" s="20">
        <v>67.531999999999996</v>
      </c>
      <c r="E7" s="20">
        <v>49.305</v>
      </c>
      <c r="F7" s="20">
        <v>57.621000000000002</v>
      </c>
      <c r="G7" s="41">
        <v>63</v>
      </c>
      <c r="H7" s="7">
        <f>G7*(1+H20)</f>
        <v>68.040000000000006</v>
      </c>
      <c r="I7" s="20">
        <f t="shared" ref="I7:N7" si="0">H7*(1+I20)</f>
        <v>72.802800000000005</v>
      </c>
      <c r="J7" s="20">
        <f t="shared" si="0"/>
        <v>77.534981999999999</v>
      </c>
      <c r="K7" s="20">
        <f t="shared" si="0"/>
        <v>82.18708092</v>
      </c>
      <c r="L7" s="20">
        <f t="shared" si="0"/>
        <v>86.707370370599989</v>
      </c>
      <c r="M7" s="20">
        <f t="shared" si="0"/>
        <v>91.042738889129993</v>
      </c>
      <c r="N7" s="20">
        <f t="shared" si="0"/>
        <v>95.139662139140839</v>
      </c>
    </row>
    <row r="8" spans="2:16" x14ac:dyDescent="0.35">
      <c r="B8" t="s">
        <v>28</v>
      </c>
      <c r="C8" s="20">
        <v>44.581000000000003</v>
      </c>
      <c r="D8" s="20">
        <v>52.283000000000001</v>
      </c>
      <c r="E8" s="20">
        <v>2.6560000000000001</v>
      </c>
      <c r="F8" s="20">
        <v>18.215</v>
      </c>
      <c r="G8" s="41">
        <v>23</v>
      </c>
      <c r="H8" s="20">
        <f>H7*H9</f>
        <v>25.0884</v>
      </c>
      <c r="I8" s="20">
        <f t="shared" ref="I8:N8" si="1">I7*I9</f>
        <v>27.113033879999996</v>
      </c>
      <c r="J8" s="20">
        <f t="shared" si="1"/>
        <v>29.164134893021995</v>
      </c>
      <c r="K8" s="20">
        <f t="shared" si="1"/>
        <v>31.223122816469346</v>
      </c>
      <c r="L8" s="20">
        <f t="shared" si="1"/>
        <v>33.269798517088908</v>
      </c>
      <c r="M8" s="20">
        <f t="shared" si="1"/>
        <v>35.282621327372787</v>
      </c>
      <c r="N8" s="20">
        <f t="shared" si="1"/>
        <v>37.239042679975611</v>
      </c>
    </row>
    <row r="9" spans="2:16" x14ac:dyDescent="0.35">
      <c r="B9" t="s">
        <v>239</v>
      </c>
      <c r="C9" s="43">
        <f>C8/C7</f>
        <v>0.8445930585025766</v>
      </c>
      <c r="D9" s="43">
        <f t="shared" ref="D9:G9" si="2">D8/D7</f>
        <v>0.77419593674110054</v>
      </c>
      <c r="E9" s="43">
        <f t="shared" si="2"/>
        <v>5.3868775986208296E-2</v>
      </c>
      <c r="F9" s="43">
        <f t="shared" si="2"/>
        <v>0.31611738775793546</v>
      </c>
      <c r="G9" s="43">
        <f t="shared" si="2"/>
        <v>0.36507936507936506</v>
      </c>
      <c r="H9" s="43">
        <f>H21</f>
        <v>0.36873015873015869</v>
      </c>
      <c r="I9" s="43">
        <f t="shared" ref="I9:N9" si="3">I21</f>
        <v>0.37241746031746026</v>
      </c>
      <c r="J9" s="43">
        <f t="shared" si="3"/>
        <v>0.37614163492063485</v>
      </c>
      <c r="K9" s="43">
        <f t="shared" si="3"/>
        <v>0.3799030512698412</v>
      </c>
      <c r="L9" s="43">
        <f t="shared" si="3"/>
        <v>0.38370208178253962</v>
      </c>
      <c r="M9" s="43">
        <f t="shared" si="3"/>
        <v>0.387539102600365</v>
      </c>
      <c r="N9" s="43">
        <f t="shared" si="3"/>
        <v>0.39141449362636865</v>
      </c>
    </row>
    <row r="10" spans="2:16" x14ac:dyDescent="0.35">
      <c r="B10" t="s">
        <v>240</v>
      </c>
      <c r="C10" s="20">
        <f>C8*(1-$H$3)</f>
        <v>35.664800000000007</v>
      </c>
      <c r="D10" s="20">
        <f t="shared" ref="D10:F10" si="4">D8*(1-$H$3)</f>
        <v>41.826400000000007</v>
      </c>
      <c r="E10" s="20">
        <f t="shared" si="4"/>
        <v>2.1248</v>
      </c>
      <c r="F10" s="20">
        <f t="shared" si="4"/>
        <v>14.572000000000001</v>
      </c>
      <c r="G10" s="20">
        <f>G8*(1-$H$3)</f>
        <v>18.400000000000002</v>
      </c>
      <c r="H10" s="20">
        <f t="shared" ref="H10:N10" si="5">H8*(1-$H$3)</f>
        <v>20.070720000000001</v>
      </c>
      <c r="I10" s="20">
        <f t="shared" si="5"/>
        <v>21.690427103999998</v>
      </c>
      <c r="J10" s="20">
        <f t="shared" si="5"/>
        <v>23.331307914417597</v>
      </c>
      <c r="K10" s="20">
        <f t="shared" si="5"/>
        <v>24.978498253175477</v>
      </c>
      <c r="L10" s="20">
        <f t="shared" si="5"/>
        <v>26.615838813671129</v>
      </c>
      <c r="M10" s="20">
        <f t="shared" si="5"/>
        <v>28.22609706189823</v>
      </c>
      <c r="N10" s="20">
        <f t="shared" si="5"/>
        <v>29.791234143980489</v>
      </c>
    </row>
    <row r="11" spans="2:16" x14ac:dyDescent="0.35">
      <c r="B11" t="s">
        <v>241</v>
      </c>
      <c r="C11" s="20">
        <v>1.476</v>
      </c>
      <c r="D11" s="20">
        <v>1.58</v>
      </c>
      <c r="E11" s="20">
        <v>1.393</v>
      </c>
      <c r="F11" s="20">
        <v>2.4449999999999998</v>
      </c>
      <c r="G11" s="20">
        <v>3</v>
      </c>
      <c r="H11" s="20">
        <f>H22*H7</f>
        <v>2.0820240000000001</v>
      </c>
      <c r="I11" s="20">
        <f t="shared" ref="I11:N11" si="6">I22*I7</f>
        <v>2.2723209936000002</v>
      </c>
      <c r="J11" s="20">
        <f t="shared" si="6"/>
        <v>2.46842229534768</v>
      </c>
      <c r="K11" s="20">
        <f t="shared" si="6"/>
        <v>2.6688581857299121</v>
      </c>
      <c r="L11" s="20">
        <f t="shared" si="6"/>
        <v>2.8719582936639578</v>
      </c>
      <c r="M11" s="20">
        <f t="shared" si="6"/>
        <v>3.0758673325140991</v>
      </c>
      <c r="N11" s="20">
        <f t="shared" si="6"/>
        <v>3.278566989726778</v>
      </c>
    </row>
    <row r="12" spans="2:16" x14ac:dyDescent="0.35">
      <c r="B12" t="s">
        <v>242</v>
      </c>
      <c r="C12" s="20">
        <v>-0.14000000000000001</v>
      </c>
      <c r="D12" s="20">
        <v>-0.33300000000000002</v>
      </c>
      <c r="E12" s="20">
        <v>-2.5999999999999999E-2</v>
      </c>
      <c r="F12" s="20">
        <v>-4.7E-2</v>
      </c>
      <c r="G12" s="7">
        <v>-0.01</v>
      </c>
      <c r="H12" s="49">
        <f>H11*-0.4</f>
        <v>-0.83280960000000004</v>
      </c>
      <c r="I12" s="49">
        <f t="shared" ref="I12:N12" si="7">I11*-0.4</f>
        <v>-0.90892839744000009</v>
      </c>
      <c r="J12" s="49">
        <f t="shared" si="7"/>
        <v>-0.98736891813907202</v>
      </c>
      <c r="K12" s="49">
        <f t="shared" si="7"/>
        <v>-1.0675432742919648</v>
      </c>
      <c r="L12" s="49">
        <f t="shared" si="7"/>
        <v>-1.1487833174655833</v>
      </c>
      <c r="M12" s="49">
        <f t="shared" si="7"/>
        <v>-1.2303469330056398</v>
      </c>
      <c r="N12" s="49">
        <f t="shared" si="7"/>
        <v>-1.3114267958907113</v>
      </c>
    </row>
    <row r="13" spans="2:16" x14ac:dyDescent="0.35">
      <c r="B13" t="s">
        <v>243</v>
      </c>
      <c r="C13" s="7">
        <v>-7.63</v>
      </c>
      <c r="D13" s="7">
        <v>-5.83</v>
      </c>
      <c r="E13" s="7">
        <v>6.52</v>
      </c>
      <c r="F13" s="7">
        <v>-1.37</v>
      </c>
      <c r="G13" s="7">
        <v>-7.78</v>
      </c>
      <c r="H13" s="20">
        <f>(H7-G7)*0.05</f>
        <v>0.25200000000000033</v>
      </c>
      <c r="I13" s="20">
        <f t="shared" ref="I13:N13" si="8">(I7-H7)*0.05</f>
        <v>0.23813999999999994</v>
      </c>
      <c r="J13" s="20">
        <f t="shared" si="8"/>
        <v>0.23660909999999974</v>
      </c>
      <c r="K13" s="20">
        <f t="shared" si="8"/>
        <v>0.23260494600000003</v>
      </c>
      <c r="L13" s="20">
        <f t="shared" si="8"/>
        <v>0.22601447252999948</v>
      </c>
      <c r="M13" s="20">
        <f t="shared" si="8"/>
        <v>0.2167684259265002</v>
      </c>
      <c r="N13" s="20">
        <f t="shared" si="8"/>
        <v>0.20484616250054233</v>
      </c>
    </row>
    <row r="14" spans="2:16" ht="15" thickBot="1" x14ac:dyDescent="0.4">
      <c r="B14" s="5" t="s">
        <v>244</v>
      </c>
      <c r="C14" s="46">
        <f>C10+C11+C12-C13</f>
        <v>44.630800000000008</v>
      </c>
      <c r="D14" s="46">
        <f t="shared" ref="D14:F14" si="9">D10+D11+D12-D13</f>
        <v>48.903400000000005</v>
      </c>
      <c r="E14" s="46">
        <f t="shared" si="9"/>
        <v>-3.0281999999999991</v>
      </c>
      <c r="F14" s="46">
        <f t="shared" si="9"/>
        <v>18.34</v>
      </c>
      <c r="G14" s="46">
        <f>G10+G11+G12-G13</f>
        <v>29.17</v>
      </c>
      <c r="H14" s="46">
        <f t="shared" ref="H14:N14" si="10">H10+H11+H12-H13</f>
        <v>21.067934400000002</v>
      </c>
      <c r="I14" s="46">
        <f t="shared" si="10"/>
        <v>22.815679700159997</v>
      </c>
      <c r="J14" s="46">
        <f t="shared" si="10"/>
        <v>24.575752191626204</v>
      </c>
      <c r="K14" s="46">
        <f t="shared" si="10"/>
        <v>26.347208218613428</v>
      </c>
      <c r="L14" s="46">
        <f t="shared" si="10"/>
        <v>28.112999317339504</v>
      </c>
      <c r="M14" s="46">
        <f t="shared" si="10"/>
        <v>29.854849035480189</v>
      </c>
      <c r="N14" s="46">
        <f t="shared" si="10"/>
        <v>31.553528175316014</v>
      </c>
    </row>
    <row r="15" spans="2:16" ht="15" thickTop="1" x14ac:dyDescent="0.35"/>
    <row r="16" spans="2:16" ht="15" thickBot="1" x14ac:dyDescent="0.4">
      <c r="B16" s="23" t="s">
        <v>253</v>
      </c>
      <c r="C16" s="23"/>
      <c r="D16" s="23"/>
      <c r="H16" s="47"/>
    </row>
    <row r="17" spans="2:16" ht="15" thickTop="1" x14ac:dyDescent="0.35"/>
    <row r="18" spans="2:16" x14ac:dyDescent="0.35">
      <c r="B18" s="5" t="s">
        <v>215</v>
      </c>
      <c r="C18" s="42">
        <v>2021</v>
      </c>
      <c r="D18" s="42">
        <v>2022</v>
      </c>
      <c r="E18" s="42">
        <v>2023</v>
      </c>
      <c r="F18" s="42">
        <v>2024</v>
      </c>
      <c r="G18" s="42">
        <v>2025</v>
      </c>
      <c r="H18" s="42" t="s">
        <v>245</v>
      </c>
      <c r="I18" s="42" t="s">
        <v>246</v>
      </c>
      <c r="J18" s="42" t="s">
        <v>247</v>
      </c>
      <c r="K18" s="42" t="s">
        <v>248</v>
      </c>
      <c r="L18" s="42" t="s">
        <v>249</v>
      </c>
      <c r="M18" s="42" t="s">
        <v>250</v>
      </c>
      <c r="N18" s="42" t="s">
        <v>251</v>
      </c>
      <c r="O18" s="42"/>
      <c r="P18" s="42"/>
    </row>
    <row r="19" spans="2:16" x14ac:dyDescent="0.35">
      <c r="B19" t="s">
        <v>238</v>
      </c>
      <c r="C19" s="20">
        <v>52.783999999999999</v>
      </c>
      <c r="D19" s="20">
        <v>67.531999999999996</v>
      </c>
      <c r="E19" s="20">
        <v>49.305</v>
      </c>
      <c r="F19" s="20">
        <v>57.621000000000002</v>
      </c>
      <c r="G19" s="41">
        <v>63</v>
      </c>
      <c r="H19" s="7">
        <f>G19*(1+H20)</f>
        <v>68.040000000000006</v>
      </c>
      <c r="I19" s="20">
        <f t="shared" ref="I19:N19" si="11">H19*(1+I20)</f>
        <v>72.802800000000005</v>
      </c>
      <c r="J19" s="20">
        <f t="shared" si="11"/>
        <v>77.534981999999999</v>
      </c>
      <c r="K19" s="20">
        <f t="shared" si="11"/>
        <v>82.18708092</v>
      </c>
      <c r="L19" s="20">
        <f t="shared" si="11"/>
        <v>86.707370370599989</v>
      </c>
      <c r="M19" s="20">
        <f t="shared" si="11"/>
        <v>91.042738889129993</v>
      </c>
      <c r="N19" s="20">
        <f t="shared" si="11"/>
        <v>95.139662139140839</v>
      </c>
    </row>
    <row r="20" spans="2:16" x14ac:dyDescent="0.35">
      <c r="B20" t="s">
        <v>254</v>
      </c>
      <c r="C20" s="43">
        <f>(52.78/42.9)-1</f>
        <v>0.23030303030303045</v>
      </c>
      <c r="D20" s="43">
        <f>(D19/C19)-1</f>
        <v>0.27940284934828741</v>
      </c>
      <c r="E20" s="43">
        <f t="shared" ref="E20:G20" si="12">(E19/D19)-1</f>
        <v>-0.26990167624237393</v>
      </c>
      <c r="F20" s="43">
        <f t="shared" si="12"/>
        <v>0.16866443565561307</v>
      </c>
      <c r="G20" s="43">
        <f t="shared" si="12"/>
        <v>9.3351382308533237E-2</v>
      </c>
      <c r="H20" s="6">
        <v>0.08</v>
      </c>
      <c r="I20" s="6">
        <v>7.0000000000000007E-2</v>
      </c>
      <c r="J20" s="26">
        <v>6.5000000000000002E-2</v>
      </c>
      <c r="K20" s="6">
        <v>0.06</v>
      </c>
      <c r="L20" s="26">
        <v>5.5E-2</v>
      </c>
      <c r="M20" s="6">
        <v>0.05</v>
      </c>
      <c r="N20" s="26">
        <v>4.4999999999999998E-2</v>
      </c>
    </row>
    <row r="21" spans="2:16" x14ac:dyDescent="0.35">
      <c r="B21" t="s">
        <v>239</v>
      </c>
      <c r="C21" s="43">
        <f>C8/C7</f>
        <v>0.8445930585025766</v>
      </c>
      <c r="D21" s="43">
        <f t="shared" ref="D21:G21" si="13">D8/D7</f>
        <v>0.77419593674110054</v>
      </c>
      <c r="E21" s="43">
        <f t="shared" si="13"/>
        <v>5.3868775986208296E-2</v>
      </c>
      <c r="F21" s="43">
        <f t="shared" si="13"/>
        <v>0.31611738775793546</v>
      </c>
      <c r="G21" s="43">
        <f t="shared" si="13"/>
        <v>0.36507936507936506</v>
      </c>
      <c r="H21" s="43">
        <f>G21*1.01</f>
        <v>0.36873015873015869</v>
      </c>
      <c r="I21" s="43">
        <f t="shared" ref="I21:N21" si="14">H21*1.01</f>
        <v>0.37241746031746026</v>
      </c>
      <c r="J21" s="43">
        <f t="shared" si="14"/>
        <v>0.37614163492063485</v>
      </c>
      <c r="K21" s="43">
        <f t="shared" si="14"/>
        <v>0.3799030512698412</v>
      </c>
      <c r="L21" s="43">
        <f t="shared" si="14"/>
        <v>0.38370208178253962</v>
      </c>
      <c r="M21" s="43">
        <f t="shared" si="14"/>
        <v>0.387539102600365</v>
      </c>
      <c r="N21" s="43">
        <f t="shared" si="14"/>
        <v>0.39141449362636865</v>
      </c>
    </row>
    <row r="22" spans="2:16" x14ac:dyDescent="0.35">
      <c r="B22" t="s">
        <v>241</v>
      </c>
      <c r="C22" s="43">
        <f>C11/C7</f>
        <v>2.7963019096695969E-2</v>
      </c>
      <c r="D22" s="43">
        <f t="shared" ref="D22:G22" si="15">D11/D7</f>
        <v>2.3396315820647991E-2</v>
      </c>
      <c r="E22" s="43">
        <f t="shared" si="15"/>
        <v>2.8252712706622048E-2</v>
      </c>
      <c r="F22" s="43">
        <f t="shared" si="15"/>
        <v>4.2432446503878792E-2</v>
      </c>
      <c r="G22" s="43">
        <f t="shared" si="15"/>
        <v>4.7619047619047616E-2</v>
      </c>
      <c r="H22" s="43">
        <f>3%*1.02</f>
        <v>3.0599999999999999E-2</v>
      </c>
      <c r="I22" s="26">
        <f>H22*1.02</f>
        <v>3.1212E-2</v>
      </c>
      <c r="J22" s="26">
        <f t="shared" ref="J22:N22" si="16">I22*1.02</f>
        <v>3.1836240000000002E-2</v>
      </c>
      <c r="K22" s="26">
        <f t="shared" si="16"/>
        <v>3.2472964800000004E-2</v>
      </c>
      <c r="L22" s="26">
        <f t="shared" si="16"/>
        <v>3.3122424096000004E-2</v>
      </c>
      <c r="M22" s="26">
        <f t="shared" si="16"/>
        <v>3.3784872577920004E-2</v>
      </c>
      <c r="N22" s="26">
        <f t="shared" si="16"/>
        <v>3.4460570029478402E-2</v>
      </c>
    </row>
    <row r="23" spans="2:16" x14ac:dyDescent="0.35">
      <c r="B23" t="s">
        <v>242</v>
      </c>
      <c r="C23" s="26">
        <f>C12/C7</f>
        <v>-2.6523188845104582E-3</v>
      </c>
      <c r="D23" s="26">
        <f t="shared" ref="D23:G23" si="17">D12/D7</f>
        <v>-4.9309956761239126E-3</v>
      </c>
      <c r="E23" s="26">
        <f t="shared" si="17"/>
        <v>-5.2732988540715947E-4</v>
      </c>
      <c r="F23" s="26">
        <f t="shared" si="17"/>
        <v>-8.156748407698582E-4</v>
      </c>
      <c r="G23" s="26">
        <f t="shared" si="17"/>
        <v>-1.5873015873015873E-4</v>
      </c>
      <c r="H23" s="26">
        <f>H12/H7</f>
        <v>-1.2239999999999999E-2</v>
      </c>
      <c r="I23" s="26">
        <f t="shared" ref="I23:N23" si="18">I12/I7</f>
        <v>-1.2484800000000001E-2</v>
      </c>
      <c r="J23" s="26">
        <f t="shared" si="18"/>
        <v>-1.2734496E-2</v>
      </c>
      <c r="K23" s="26">
        <f t="shared" si="18"/>
        <v>-1.2989185920000002E-2</v>
      </c>
      <c r="L23" s="26">
        <f t="shared" si="18"/>
        <v>-1.3248969638400002E-2</v>
      </c>
      <c r="M23" s="26">
        <f t="shared" si="18"/>
        <v>-1.3513949031168003E-2</v>
      </c>
      <c r="N23" s="26">
        <f t="shared" si="18"/>
        <v>-1.3784228011791362E-2</v>
      </c>
    </row>
    <row r="24" spans="2:16" x14ac:dyDescent="0.35">
      <c r="B24" t="s">
        <v>243</v>
      </c>
      <c r="C24" s="43">
        <f>C13/C7</f>
        <v>-0.14455137920581995</v>
      </c>
      <c r="D24" s="43">
        <f t="shared" ref="D24:G24" si="19">D13/D7</f>
        <v>-8.6329443819226442E-2</v>
      </c>
      <c r="E24" s="43">
        <f t="shared" si="19"/>
        <v>0.13223810972517999</v>
      </c>
      <c r="F24" s="43">
        <f t="shared" si="19"/>
        <v>-2.377605386924906E-2</v>
      </c>
      <c r="G24" s="43">
        <f t="shared" si="19"/>
        <v>-0.1234920634920635</v>
      </c>
      <c r="H24" s="26">
        <f>H13/H7</f>
        <v>3.7037037037037082E-3</v>
      </c>
      <c r="I24" s="26">
        <f t="shared" ref="I24:N24" si="20">I13/I7</f>
        <v>3.2710280373831765E-3</v>
      </c>
      <c r="J24" s="26">
        <f t="shared" si="20"/>
        <v>3.0516431924882594E-3</v>
      </c>
      <c r="K24" s="26">
        <f t="shared" si="20"/>
        <v>2.8301886792452833E-3</v>
      </c>
      <c r="L24" s="26">
        <f t="shared" si="20"/>
        <v>2.6066350710900418E-3</v>
      </c>
      <c r="M24" s="26">
        <f t="shared" si="20"/>
        <v>2.3809523809523833E-3</v>
      </c>
      <c r="N24" s="26">
        <f t="shared" si="20"/>
        <v>2.1531100478468885E-3</v>
      </c>
    </row>
    <row r="26" spans="2:16" x14ac:dyDescent="0.35">
      <c r="B26" s="5" t="s">
        <v>255</v>
      </c>
      <c r="D26" s="50">
        <f>MEDIAN(C20:G20)</f>
        <v>0.16866443565561307</v>
      </c>
    </row>
    <row r="28" spans="2:16" ht="15" thickBot="1" x14ac:dyDescent="0.4">
      <c r="B28" s="23" t="s">
        <v>256</v>
      </c>
      <c r="C28" s="23"/>
      <c r="G28" t="s">
        <v>258</v>
      </c>
      <c r="H28">
        <v>1</v>
      </c>
      <c r="I28">
        <v>2</v>
      </c>
      <c r="J28">
        <v>3</v>
      </c>
      <c r="K28">
        <v>4</v>
      </c>
      <c r="L28">
        <v>5</v>
      </c>
      <c r="M28">
        <v>6</v>
      </c>
      <c r="N28">
        <v>7</v>
      </c>
    </row>
    <row r="29" spans="2:16" ht="15" thickTop="1" x14ac:dyDescent="0.35">
      <c r="G29" t="s">
        <v>215</v>
      </c>
      <c r="H29" s="42" t="s">
        <v>245</v>
      </c>
      <c r="I29" s="42" t="s">
        <v>246</v>
      </c>
      <c r="J29" s="42" t="s">
        <v>247</v>
      </c>
      <c r="K29" s="42" t="s">
        <v>248</v>
      </c>
      <c r="L29" s="42" t="s">
        <v>249</v>
      </c>
      <c r="M29" s="42" t="s">
        <v>250</v>
      </c>
      <c r="N29" s="42" t="s">
        <v>251</v>
      </c>
    </row>
    <row r="30" spans="2:16" ht="15" thickBot="1" x14ac:dyDescent="0.4">
      <c r="B30" s="8" t="s">
        <v>184</v>
      </c>
      <c r="C30" s="26">
        <v>9.0499999999999997E-2</v>
      </c>
      <c r="G30" t="s">
        <v>244</v>
      </c>
      <c r="H30" s="46">
        <v>21.07</v>
      </c>
      <c r="I30" s="46">
        <v>22.82</v>
      </c>
      <c r="J30" s="46">
        <v>24.85</v>
      </c>
      <c r="K30" s="46">
        <v>26.35</v>
      </c>
      <c r="L30" s="46">
        <v>28.11</v>
      </c>
      <c r="M30" s="46">
        <v>29.85</v>
      </c>
      <c r="N30" s="46">
        <v>31.55</v>
      </c>
    </row>
    <row r="31" spans="2:16" ht="15.5" thickTop="1" thickBot="1" x14ac:dyDescent="0.4">
      <c r="B31" s="8" t="s">
        <v>257</v>
      </c>
      <c r="C31" s="6">
        <v>0.02</v>
      </c>
      <c r="D31" s="53"/>
      <c r="E31" s="53"/>
      <c r="G31" t="s">
        <v>218</v>
      </c>
      <c r="H31" s="56">
        <f>H30/(1+$C$30)^H28</f>
        <v>19.321412196240257</v>
      </c>
      <c r="I31" s="51">
        <f t="shared" ref="I31:N31" si="21">I30/(1+$C$30)^I28</f>
        <v>19.189528336613929</v>
      </c>
      <c r="J31" s="51">
        <f t="shared" si="21"/>
        <v>19.162377137458598</v>
      </c>
      <c r="K31" s="51">
        <f t="shared" si="21"/>
        <v>18.632792170613193</v>
      </c>
      <c r="L31" s="51">
        <f t="shared" si="21"/>
        <v>18.227726185033823</v>
      </c>
      <c r="M31" s="51">
        <f t="shared" si="21"/>
        <v>17.749671343331052</v>
      </c>
      <c r="N31" s="51">
        <f t="shared" si="21"/>
        <v>17.203613386575082</v>
      </c>
    </row>
    <row r="32" spans="2:16" ht="15" thickTop="1" x14ac:dyDescent="0.35">
      <c r="B32" s="8" t="s">
        <v>259</v>
      </c>
      <c r="C32" s="20">
        <f>N14*1.04</f>
        <v>32.815669302328658</v>
      </c>
      <c r="G32" s="5" t="s">
        <v>219</v>
      </c>
      <c r="H32" s="55">
        <f>H31+I31+J31+K31+L31+M31+N31</f>
        <v>129.48712075586593</v>
      </c>
    </row>
    <row r="33" spans="2:13" x14ac:dyDescent="0.35">
      <c r="B33" s="8" t="s">
        <v>192</v>
      </c>
      <c r="C33" s="7">
        <v>176.88</v>
      </c>
      <c r="G33" s="5" t="s">
        <v>260</v>
      </c>
      <c r="H33" s="54">
        <f>C32/(C30-C31)</f>
        <v>465.47048655785335</v>
      </c>
    </row>
    <row r="34" spans="2:13" ht="15" thickBot="1" x14ac:dyDescent="0.4">
      <c r="B34" s="8" t="s">
        <v>70</v>
      </c>
      <c r="C34" s="7">
        <v>11.47</v>
      </c>
      <c r="G34" s="5" t="s">
        <v>261</v>
      </c>
      <c r="H34" s="52">
        <f>H33/(1+C30)^N28</f>
        <v>253.81218046283047</v>
      </c>
    </row>
    <row r="35" spans="2:13" ht="15" thickTop="1" x14ac:dyDescent="0.35"/>
    <row r="36" spans="2:13" ht="15" thickBot="1" x14ac:dyDescent="0.4">
      <c r="B36" s="5" t="s">
        <v>190</v>
      </c>
      <c r="D36" s="53">
        <f>H32+H34</f>
        <v>383.29930121869643</v>
      </c>
      <c r="G36" s="33" t="s">
        <v>282</v>
      </c>
      <c r="H36" s="23"/>
    </row>
    <row r="37" spans="2:13" ht="15.5" thickTop="1" thickBot="1" x14ac:dyDescent="0.4">
      <c r="B37" s="5" t="s">
        <v>262</v>
      </c>
      <c r="D37" s="53">
        <f>D36-C34</f>
        <v>371.8293012186964</v>
      </c>
    </row>
    <row r="38" spans="2:13" ht="15" thickBot="1" x14ac:dyDescent="0.4">
      <c r="B38" s="12" t="s">
        <v>263</v>
      </c>
      <c r="C38" s="15"/>
      <c r="D38" s="57">
        <f>D37/C33</f>
        <v>2.1021557056687947</v>
      </c>
      <c r="G38" s="63">
        <f>D38</f>
        <v>2.1021557056687947</v>
      </c>
      <c r="H38" s="70">
        <v>0.01</v>
      </c>
      <c r="I38" s="71">
        <v>1.4999999999999999E-2</v>
      </c>
      <c r="J38" s="71">
        <v>0.02</v>
      </c>
      <c r="K38" s="72">
        <v>2.5000000000000001E-2</v>
      </c>
      <c r="L38" s="73">
        <v>0.03</v>
      </c>
      <c r="M38" s="42" t="s">
        <v>283</v>
      </c>
    </row>
    <row r="39" spans="2:13" ht="15" thickTop="1" x14ac:dyDescent="0.35">
      <c r="G39" s="67">
        <v>7.0000000000000007E-2</v>
      </c>
      <c r="H39" s="65">
        <f t="dataTable" ref="H39:L43" dt2D="1" dtr="1" r1="C31" r2="C30"/>
        <v>2.6499322856269045</v>
      </c>
      <c r="I39" s="64">
        <v>2.8249863334644663</v>
      </c>
      <c r="J39" s="64">
        <v>3.0350511908695412</v>
      </c>
      <c r="K39" s="64">
        <v>3.2917971276979654</v>
      </c>
      <c r="L39" s="64">
        <v>3.6127295487334958</v>
      </c>
    </row>
    <row r="40" spans="2:13" ht="15" thickBot="1" x14ac:dyDescent="0.4">
      <c r="B40" s="12" t="s">
        <v>264</v>
      </c>
      <c r="C40" s="15"/>
      <c r="D40" s="15">
        <v>1.85</v>
      </c>
      <c r="G40" s="68">
        <v>0.08</v>
      </c>
      <c r="H40" s="66">
        <v>2.2421241445818847</v>
      </c>
      <c r="I40" s="62">
        <v>2.361082473889438</v>
      </c>
      <c r="J40" s="62">
        <v>2.4998671914149169</v>
      </c>
      <c r="K40" s="62">
        <v>2.663885493945028</v>
      </c>
      <c r="L40" s="62">
        <v>2.8607074569811615</v>
      </c>
    </row>
    <row r="41" spans="2:13" ht="15.5" thickTop="1" thickBot="1" x14ac:dyDescent="0.4">
      <c r="B41" s="15" t="s">
        <v>265</v>
      </c>
      <c r="C41" s="15"/>
      <c r="D41" s="58">
        <f>(D38/D40)-1</f>
        <v>0.1363003814425916</v>
      </c>
      <c r="G41" s="68">
        <v>0.09</v>
      </c>
      <c r="H41" s="66">
        <v>1.9371406819065247</v>
      </c>
      <c r="I41" s="62">
        <v>2.0217144742884945</v>
      </c>
      <c r="J41" s="62">
        <v>2.1183702370107458</v>
      </c>
      <c r="K41" s="62">
        <v>2.2298961170748819</v>
      </c>
      <c r="L41" s="62">
        <v>2.3600096438163738</v>
      </c>
    </row>
    <row r="42" spans="2:13" ht="15" thickTop="1" x14ac:dyDescent="0.35">
      <c r="G42" s="68">
        <v>0.1</v>
      </c>
      <c r="H42" s="66">
        <v>1.700657952478869</v>
      </c>
      <c r="I42" s="62">
        <v>1.762882580629205</v>
      </c>
      <c r="J42" s="62">
        <v>1.8328852872983332</v>
      </c>
      <c r="K42" s="62">
        <v>1.9122216881900118</v>
      </c>
      <c r="L42" s="62">
        <v>2.0028918606376447</v>
      </c>
    </row>
    <row r="43" spans="2:13" ht="15" thickBot="1" x14ac:dyDescent="0.4">
      <c r="G43" s="69">
        <v>0.11</v>
      </c>
      <c r="H43" s="66">
        <v>1.512084875848142</v>
      </c>
      <c r="I43" s="62">
        <v>1.559116295093059</v>
      </c>
      <c r="J43" s="62">
        <v>1.6113734275874112</v>
      </c>
      <c r="K43" s="62">
        <v>1.6697784580222754</v>
      </c>
      <c r="L43" s="62">
        <v>1.7354841172614974</v>
      </c>
    </row>
    <row r="44" spans="2:13" x14ac:dyDescent="0.35">
      <c r="G44" s="42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workbookViewId="0">
      <selection activeCell="C8" sqref="C8"/>
    </sheetView>
  </sheetViews>
  <sheetFormatPr defaultRowHeight="14.5" x14ac:dyDescent="0.35"/>
  <cols>
    <col min="1" max="1" width="14.6328125" customWidth="1"/>
    <col min="2" max="2" width="18.08984375" customWidth="1"/>
    <col min="3" max="3" width="15.90625" customWidth="1"/>
    <col min="4" max="4" width="15.26953125" customWidth="1"/>
    <col min="5" max="5" width="17" customWidth="1"/>
    <col min="6" max="6" width="16.54296875" customWidth="1"/>
    <col min="7" max="7" width="17.81640625" customWidth="1"/>
    <col min="8" max="8" width="14.54296875" customWidth="1"/>
    <col min="9" max="9" width="14" customWidth="1"/>
    <col min="10" max="10" width="17.81640625" customWidth="1"/>
    <col min="11" max="11" width="14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1" t="s">
        <v>11</v>
      </c>
      <c r="B2" s="9">
        <v>1.85</v>
      </c>
      <c r="C2" s="10">
        <v>0.48299999999999998</v>
      </c>
      <c r="D2" s="9">
        <v>27.342856999999999</v>
      </c>
      <c r="E2" s="9">
        <v>1.8368522</v>
      </c>
      <c r="F2" s="10">
        <v>1.042</v>
      </c>
      <c r="G2" s="10">
        <v>7.0000000000000007E-2</v>
      </c>
      <c r="H2" s="10">
        <v>3.3069999999999999</v>
      </c>
      <c r="I2" s="10">
        <v>3.31</v>
      </c>
      <c r="J2" s="10">
        <v>9.3899999999999997E-2</v>
      </c>
      <c r="K2" s="10">
        <v>0.20399999999999999</v>
      </c>
    </row>
    <row r="3" spans="1:11" x14ac:dyDescent="0.35">
      <c r="A3" s="18" t="s">
        <v>183</v>
      </c>
      <c r="C3" s="5" t="s">
        <v>232</v>
      </c>
    </row>
    <row r="5" spans="1:11" ht="15" thickBot="1" x14ac:dyDescent="0.4">
      <c r="A5" t="s">
        <v>188</v>
      </c>
      <c r="C5" s="4"/>
      <c r="D5" s="5" t="s">
        <v>187</v>
      </c>
      <c r="G5" s="12" t="s">
        <v>186</v>
      </c>
      <c r="H5" s="15"/>
      <c r="I5" s="15"/>
    </row>
    <row r="6" spans="1:11" ht="15.5" thickTop="1" thickBot="1" x14ac:dyDescent="0.4">
      <c r="A6" s="13" t="s">
        <v>12</v>
      </c>
      <c r="B6" s="14" t="s">
        <v>13</v>
      </c>
      <c r="C6" s="3"/>
      <c r="D6" s="16" t="s">
        <v>184</v>
      </c>
      <c r="E6" s="17" t="s">
        <v>185</v>
      </c>
    </row>
    <row r="7" spans="1:11" ht="15" thickTop="1" x14ac:dyDescent="0.35">
      <c r="A7" s="7" t="s">
        <v>14</v>
      </c>
      <c r="B7" s="6">
        <v>0.4395846020705792</v>
      </c>
      <c r="C7" s="3"/>
      <c r="D7" s="35">
        <v>9.0499999999999997E-2</v>
      </c>
      <c r="E7" s="35">
        <v>0.1062</v>
      </c>
    </row>
    <row r="8" spans="1:11" x14ac:dyDescent="0.35">
      <c r="A8" s="7" t="s">
        <v>15</v>
      </c>
      <c r="B8" s="6">
        <v>1.0629686519014581E-2</v>
      </c>
      <c r="C8" s="3"/>
    </row>
    <row r="9" spans="1:11" x14ac:dyDescent="0.35">
      <c r="A9" s="8" t="s">
        <v>16</v>
      </c>
      <c r="B9" s="19">
        <v>0.22510714429479689</v>
      </c>
      <c r="C9" s="3"/>
    </row>
    <row r="10" spans="1:11" x14ac:dyDescent="0.35">
      <c r="A10" s="7" t="s">
        <v>17</v>
      </c>
      <c r="B10" s="6">
        <v>0.194465075460453</v>
      </c>
      <c r="C10" s="3"/>
    </row>
    <row r="11" spans="1:11" x14ac:dyDescent="0.35">
      <c r="A11" s="8" t="s">
        <v>18</v>
      </c>
      <c r="B11" s="6">
        <v>0.18907417321831069</v>
      </c>
    </row>
    <row r="13" spans="1:11" x14ac:dyDescent="0.35">
      <c r="A13" s="21" t="s">
        <v>193</v>
      </c>
      <c r="B13" s="22"/>
    </row>
    <row r="14" spans="1:11" x14ac:dyDescent="0.35">
      <c r="A14" s="7" t="s">
        <v>189</v>
      </c>
      <c r="B14" s="20">
        <f>B2*B18</f>
        <v>327.22468850000001</v>
      </c>
    </row>
    <row r="15" spans="1:11" x14ac:dyDescent="0.35">
      <c r="A15" s="7" t="s">
        <v>190</v>
      </c>
      <c r="B15" s="20">
        <f>B14+B17</f>
        <v>338.68968849999999</v>
      </c>
    </row>
    <row r="16" spans="1:11" x14ac:dyDescent="0.35">
      <c r="A16" s="7" t="s">
        <v>191</v>
      </c>
      <c r="B16" s="20">
        <v>102.533</v>
      </c>
    </row>
    <row r="17" spans="1:2" x14ac:dyDescent="0.35">
      <c r="A17" s="7" t="s">
        <v>70</v>
      </c>
      <c r="B17" s="20">
        <v>11.465</v>
      </c>
    </row>
    <row r="18" spans="1:2" x14ac:dyDescent="0.35">
      <c r="A18" s="7" t="s">
        <v>192</v>
      </c>
      <c r="B18" s="20">
        <v>176.87821</v>
      </c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7296-B248-4891-AAC0-3BFF09E988F5}">
  <dimension ref="B3:K33"/>
  <sheetViews>
    <sheetView workbookViewId="0">
      <selection activeCell="G23" sqref="G23"/>
    </sheetView>
  </sheetViews>
  <sheetFormatPr defaultRowHeight="14.5" x14ac:dyDescent="0.35"/>
  <cols>
    <col min="2" max="2" width="8.90625" customWidth="1"/>
    <col min="4" max="4" width="8.7265625" customWidth="1"/>
    <col min="10" max="10" width="10.1796875" customWidth="1"/>
  </cols>
  <sheetData>
    <row r="3" spans="2:11" ht="15" thickBot="1" x14ac:dyDescent="0.4">
      <c r="B3" s="24" t="s">
        <v>194</v>
      </c>
      <c r="C3" s="23"/>
      <c r="D3" s="23"/>
      <c r="E3" s="25"/>
      <c r="I3" s="24" t="s">
        <v>195</v>
      </c>
      <c r="J3" s="23"/>
      <c r="K3" s="25"/>
    </row>
    <row r="4" spans="2:11" ht="15" thickTop="1" x14ac:dyDescent="0.35">
      <c r="B4" s="5" t="s">
        <v>197</v>
      </c>
    </row>
    <row r="5" spans="2:11" x14ac:dyDescent="0.35">
      <c r="I5" s="5" t="s">
        <v>233</v>
      </c>
      <c r="K5" s="27">
        <v>0.97099999999999997</v>
      </c>
    </row>
    <row r="6" spans="2:11" x14ac:dyDescent="0.35">
      <c r="B6" s="5" t="s">
        <v>196</v>
      </c>
      <c r="D6" s="5" t="s">
        <v>200</v>
      </c>
      <c r="E6" s="5" t="s">
        <v>201</v>
      </c>
      <c r="I6" s="5" t="s">
        <v>226</v>
      </c>
      <c r="K6" s="48">
        <v>7.5999999999999998E-2</v>
      </c>
    </row>
    <row r="7" spans="2:11" x14ac:dyDescent="0.35">
      <c r="B7" s="7" t="s">
        <v>198</v>
      </c>
      <c r="C7" s="7"/>
      <c r="D7" s="26">
        <v>4.4999999999999998E-2</v>
      </c>
      <c r="E7" s="27" t="s">
        <v>203</v>
      </c>
      <c r="F7" s="5"/>
      <c r="I7" s="5" t="s">
        <v>227</v>
      </c>
      <c r="K7" s="48">
        <v>3.2399999999999998E-2</v>
      </c>
    </row>
    <row r="8" spans="2:11" x14ac:dyDescent="0.35">
      <c r="B8" s="7" t="s">
        <v>199</v>
      </c>
      <c r="C8" s="7"/>
      <c r="D8" s="26">
        <v>6.5000000000000002E-2</v>
      </c>
      <c r="E8" s="27" t="s">
        <v>202</v>
      </c>
      <c r="I8" s="5" t="s">
        <v>185</v>
      </c>
      <c r="K8" s="34">
        <f>$K$7+$K$5*($K$6)</f>
        <v>0.106196</v>
      </c>
    </row>
    <row r="10" spans="2:11" ht="15" thickBot="1" x14ac:dyDescent="0.4">
      <c r="B10" s="23" t="s">
        <v>204</v>
      </c>
      <c r="C10" s="23"/>
      <c r="I10" s="33" t="s">
        <v>228</v>
      </c>
      <c r="J10" s="23"/>
    </row>
    <row r="11" spans="2:11" ht="15" thickTop="1" x14ac:dyDescent="0.35">
      <c r="B11" s="5" t="s">
        <v>208</v>
      </c>
      <c r="D11" s="5" t="s">
        <v>212</v>
      </c>
      <c r="I11" s="39" t="s">
        <v>234</v>
      </c>
      <c r="J11" s="7">
        <v>338.54</v>
      </c>
    </row>
    <row r="12" spans="2:11" x14ac:dyDescent="0.35">
      <c r="B12" s="27">
        <v>40</v>
      </c>
      <c r="C12" s="27" t="s">
        <v>205</v>
      </c>
      <c r="D12" s="27">
        <v>60</v>
      </c>
      <c r="E12" s="27" t="s">
        <v>205</v>
      </c>
      <c r="I12" s="8" t="s">
        <v>229</v>
      </c>
      <c r="J12" s="7">
        <v>102.54</v>
      </c>
    </row>
    <row r="13" spans="2:11" x14ac:dyDescent="0.35">
      <c r="B13" s="28">
        <v>4.4999999999999998E-2</v>
      </c>
      <c r="C13" s="27" t="s">
        <v>206</v>
      </c>
      <c r="D13" s="28">
        <v>6.5000000000000002E-2</v>
      </c>
      <c r="E13" s="27" t="s">
        <v>206</v>
      </c>
      <c r="I13" s="8" t="s">
        <v>185</v>
      </c>
      <c r="J13" s="40">
        <f>$K$7+$K$5*($K$6)</f>
        <v>0.106196</v>
      </c>
    </row>
    <row r="14" spans="2:11" x14ac:dyDescent="0.35">
      <c r="B14" s="27" t="s">
        <v>209</v>
      </c>
      <c r="C14" s="27" t="s">
        <v>207</v>
      </c>
      <c r="D14" s="27" t="s">
        <v>213</v>
      </c>
      <c r="E14" s="27" t="s">
        <v>207</v>
      </c>
      <c r="I14" s="8" t="s">
        <v>231</v>
      </c>
      <c r="J14" s="37">
        <v>3.8800000000000001E-2</v>
      </c>
    </row>
    <row r="15" spans="2:11" ht="15" thickBot="1" x14ac:dyDescent="0.4">
      <c r="B15" s="27" t="s">
        <v>211</v>
      </c>
      <c r="C15" s="27" t="s">
        <v>210</v>
      </c>
      <c r="D15" s="27">
        <f>D16*1.08462</f>
        <v>1084.6199999999999</v>
      </c>
      <c r="E15" s="27" t="s">
        <v>210</v>
      </c>
      <c r="I15" s="36" t="s">
        <v>184</v>
      </c>
      <c r="J15" s="38">
        <f>J11/(J12+J11)*J13+(J12/(J12+J11)*J14)</f>
        <v>9.0528126054230523E-2</v>
      </c>
    </row>
    <row r="16" spans="2:11" ht="15" thickTop="1" x14ac:dyDescent="0.35">
      <c r="B16" s="27">
        <v>1000</v>
      </c>
      <c r="C16" s="29" t="s">
        <v>214</v>
      </c>
      <c r="D16" s="27">
        <v>1000</v>
      </c>
      <c r="E16" s="29" t="s">
        <v>214</v>
      </c>
    </row>
    <row r="19" spans="2:7" x14ac:dyDescent="0.35">
      <c r="B19" s="5" t="s">
        <v>220</v>
      </c>
      <c r="C19">
        <v>1</v>
      </c>
      <c r="D19">
        <v>2</v>
      </c>
      <c r="E19">
        <v>3</v>
      </c>
      <c r="F19">
        <v>4</v>
      </c>
      <c r="G19">
        <v>5</v>
      </c>
    </row>
    <row r="20" spans="2:7" x14ac:dyDescent="0.35">
      <c r="B20" s="7" t="s">
        <v>215</v>
      </c>
      <c r="C20" s="7">
        <v>2023</v>
      </c>
      <c r="D20" s="7">
        <v>2024</v>
      </c>
      <c r="E20" s="7">
        <v>2025</v>
      </c>
      <c r="F20" s="7">
        <v>2026</v>
      </c>
      <c r="G20" s="7">
        <v>2027</v>
      </c>
    </row>
    <row r="21" spans="2:7" x14ac:dyDescent="0.35">
      <c r="B21" s="7" t="s">
        <v>217</v>
      </c>
      <c r="C21" s="7">
        <f t="shared" ref="C21:F21" si="0">$B$16*$B$13</f>
        <v>45</v>
      </c>
      <c r="D21" s="7">
        <f t="shared" si="0"/>
        <v>45</v>
      </c>
      <c r="E21" s="7">
        <f t="shared" si="0"/>
        <v>45</v>
      </c>
      <c r="F21" s="7">
        <f t="shared" si="0"/>
        <v>45</v>
      </c>
      <c r="G21" s="7">
        <f>$B$16*$B$13+B16</f>
        <v>1045</v>
      </c>
    </row>
    <row r="22" spans="2:7" x14ac:dyDescent="0.35">
      <c r="B22" s="30" t="s">
        <v>218</v>
      </c>
      <c r="C22" s="30">
        <f>C21/(1+$C$23)^C19</f>
        <v>43.062201169540906</v>
      </c>
      <c r="D22" s="7">
        <f t="shared" ref="D22:G22" si="1">D21/(1+$C$23)^D19</f>
        <v>41.207848212578007</v>
      </c>
      <c r="E22" s="7">
        <f t="shared" si="1"/>
        <v>39.433347766532016</v>
      </c>
      <c r="F22" s="30">
        <f t="shared" si="1"/>
        <v>37.735261206908184</v>
      </c>
      <c r="G22" s="30">
        <f t="shared" si="1"/>
        <v>838.56136429359049</v>
      </c>
    </row>
    <row r="23" spans="2:7" ht="15" thickBot="1" x14ac:dyDescent="0.4">
      <c r="B23" s="15" t="s">
        <v>216</v>
      </c>
      <c r="C23" s="31">
        <v>4.4999994840713126E-2</v>
      </c>
      <c r="D23" s="15"/>
      <c r="E23" s="12"/>
      <c r="F23" s="15" t="s">
        <v>219</v>
      </c>
      <c r="G23" s="12">
        <f>SUM(C22:G22)</f>
        <v>1000.0000226491496</v>
      </c>
    </row>
    <row r="24" spans="2:7" ht="15" thickTop="1" x14ac:dyDescent="0.35"/>
    <row r="25" spans="2:7" x14ac:dyDescent="0.35">
      <c r="B25" s="5" t="s">
        <v>221</v>
      </c>
      <c r="D25">
        <f>(DATE(2026,6,10)-DATE(2026,2,3))/365</f>
        <v>0.34794520547945207</v>
      </c>
      <c r="E25">
        <f>1+D25</f>
        <v>1.3479452054794521</v>
      </c>
      <c r="F25">
        <f>2+D25</f>
        <v>2.3479452054794523</v>
      </c>
      <c r="G25">
        <f>3+D25</f>
        <v>3.3479452054794523</v>
      </c>
    </row>
    <row r="26" spans="2:7" x14ac:dyDescent="0.35">
      <c r="B26" s="7" t="s">
        <v>215</v>
      </c>
      <c r="C26" s="7">
        <v>2025</v>
      </c>
      <c r="D26" s="7">
        <v>2026</v>
      </c>
      <c r="E26" s="7">
        <v>2027</v>
      </c>
      <c r="F26" s="7">
        <v>2028</v>
      </c>
      <c r="G26" s="7">
        <v>2029</v>
      </c>
    </row>
    <row r="27" spans="2:7" x14ac:dyDescent="0.35">
      <c r="B27" s="7" t="s">
        <v>217</v>
      </c>
      <c r="C27" s="7"/>
      <c r="D27" s="7">
        <f>$D$16*$D$13</f>
        <v>65</v>
      </c>
      <c r="E27" s="7">
        <f t="shared" ref="E27:F27" si="2">$D$16*$D$13</f>
        <v>65</v>
      </c>
      <c r="F27" s="7">
        <f t="shared" si="2"/>
        <v>65</v>
      </c>
      <c r="G27" s="7">
        <f>$D$16*$D$13+1000</f>
        <v>1065</v>
      </c>
    </row>
    <row r="28" spans="2:7" x14ac:dyDescent="0.35">
      <c r="B28" s="7" t="s">
        <v>218</v>
      </c>
      <c r="C28" s="7"/>
      <c r="D28" s="7">
        <f>D27/(1+$C$29)^D25</f>
        <v>63.88805099113975</v>
      </c>
      <c r="E28" s="7">
        <f t="shared" ref="E28:G28" si="3">E27/(1+$C$29)^E25</f>
        <v>60.797059997522794</v>
      </c>
      <c r="F28" s="7">
        <f>F27/(1+$C$29)^F25</f>
        <v>57.855615361548629</v>
      </c>
      <c r="G28" s="7">
        <f t="shared" si="3"/>
        <v>902.07927915867515</v>
      </c>
    </row>
    <row r="29" spans="2:7" ht="15" thickBot="1" x14ac:dyDescent="0.4">
      <c r="B29" s="15" t="s">
        <v>216</v>
      </c>
      <c r="C29" s="31">
        <v>5.0841126096276744E-2</v>
      </c>
      <c r="D29" s="15"/>
      <c r="E29" s="15"/>
      <c r="F29" s="15" t="s">
        <v>219</v>
      </c>
      <c r="G29" s="12">
        <f>SUM(D28:G28)</f>
        <v>1084.6200055088864</v>
      </c>
    </row>
    <row r="30" spans="2:7" ht="15" thickTop="1" x14ac:dyDescent="0.35"/>
    <row r="31" spans="2:7" x14ac:dyDescent="0.35">
      <c r="B31" s="5" t="s">
        <v>223</v>
      </c>
      <c r="D31" s="5" t="s">
        <v>225</v>
      </c>
      <c r="E31" s="5"/>
      <c r="F31" s="5" t="s">
        <v>230</v>
      </c>
    </row>
    <row r="32" spans="2:7" x14ac:dyDescent="0.35">
      <c r="B32" s="7" t="s">
        <v>222</v>
      </c>
      <c r="C32" s="32">
        <f>C23*(1-0.2)</f>
        <v>3.5999995872570502E-2</v>
      </c>
      <c r="D32" s="6">
        <v>0.4</v>
      </c>
      <c r="F32" s="34">
        <f>C32*D32+C33*D33</f>
        <v>3.8803738875241037E-2</v>
      </c>
    </row>
    <row r="33" spans="2:4" x14ac:dyDescent="0.35">
      <c r="B33" s="7" t="s">
        <v>224</v>
      </c>
      <c r="C33" s="32">
        <f>C29*(1-0.2)</f>
        <v>4.0672900877021398E-2</v>
      </c>
      <c r="D33" s="6">
        <v>0.6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A6C7-4175-48E7-9E83-77A20EFE3D76}">
  <dimension ref="B4:O2116"/>
  <sheetViews>
    <sheetView workbookViewId="0">
      <selection activeCell="K19" sqref="K19"/>
    </sheetView>
  </sheetViews>
  <sheetFormatPr defaultRowHeight="14.5" x14ac:dyDescent="0.35"/>
  <cols>
    <col min="2" max="2" width="9.81640625" customWidth="1"/>
    <col min="10" max="10" width="12.1796875" customWidth="1"/>
    <col min="11" max="11" width="17.453125" customWidth="1"/>
    <col min="12" max="12" width="13.7265625" customWidth="1"/>
    <col min="13" max="13" width="16.1796875" customWidth="1"/>
    <col min="14" max="14" width="12.1796875" customWidth="1"/>
    <col min="15" max="15" width="12.54296875" customWidth="1"/>
  </cols>
  <sheetData>
    <row r="4" spans="2:15" ht="15" thickBot="1" x14ac:dyDescent="0.4">
      <c r="B4" s="33" t="s">
        <v>266</v>
      </c>
      <c r="C4" s="23"/>
      <c r="D4" s="23"/>
    </row>
    <row r="5" spans="2:15" ht="15" thickTop="1" x14ac:dyDescent="0.35"/>
    <row r="6" spans="2:15" x14ac:dyDescent="0.35">
      <c r="B6" s="5" t="s">
        <v>184</v>
      </c>
      <c r="C6" s="26">
        <v>9.0499999999999997E-2</v>
      </c>
    </row>
    <row r="7" spans="2:15" x14ac:dyDescent="0.35">
      <c r="B7" s="5" t="s">
        <v>257</v>
      </c>
      <c r="C7" s="6">
        <v>0.02</v>
      </c>
    </row>
    <row r="8" spans="2:15" x14ac:dyDescent="0.35">
      <c r="B8" s="5" t="s">
        <v>70</v>
      </c>
      <c r="C8" s="7">
        <v>11.47</v>
      </c>
    </row>
    <row r="9" spans="2:15" x14ac:dyDescent="0.35">
      <c r="B9" s="5" t="s">
        <v>192</v>
      </c>
      <c r="C9" s="7">
        <v>176.88</v>
      </c>
    </row>
    <row r="10" spans="2:15" x14ac:dyDescent="0.35">
      <c r="B10" s="5" t="s">
        <v>267</v>
      </c>
      <c r="C10" s="7">
        <v>31.55</v>
      </c>
    </row>
    <row r="11" spans="2:15" x14ac:dyDescent="0.35">
      <c r="B11" s="5" t="s">
        <v>268</v>
      </c>
      <c r="C11" s="59">
        <v>21.07</v>
      </c>
      <c r="D11" s="59">
        <v>22.82</v>
      </c>
      <c r="E11" s="59">
        <v>24.58</v>
      </c>
      <c r="F11" s="59">
        <v>26.35</v>
      </c>
      <c r="G11" s="59">
        <v>28.11</v>
      </c>
      <c r="H11" s="59">
        <v>29.85</v>
      </c>
      <c r="I11" s="59">
        <v>31.55</v>
      </c>
    </row>
    <row r="12" spans="2:15" x14ac:dyDescent="0.35">
      <c r="B12" s="5" t="s">
        <v>218</v>
      </c>
      <c r="C12" s="7">
        <v>19.32</v>
      </c>
      <c r="D12" s="7">
        <v>19.190000000000001</v>
      </c>
      <c r="E12" s="7">
        <v>19.16</v>
      </c>
      <c r="F12" s="7">
        <v>18.63</v>
      </c>
      <c r="G12" s="7">
        <v>18.23</v>
      </c>
      <c r="H12" s="7">
        <v>17.75</v>
      </c>
      <c r="I12" s="7">
        <v>17.2</v>
      </c>
    </row>
    <row r="13" spans="2:15" x14ac:dyDescent="0.35">
      <c r="B13" s="5" t="s">
        <v>269</v>
      </c>
      <c r="C13" s="7">
        <v>1</v>
      </c>
      <c r="D13" s="7">
        <v>2</v>
      </c>
      <c r="E13" s="7">
        <v>3</v>
      </c>
      <c r="F13" s="7">
        <v>4</v>
      </c>
      <c r="G13" s="7">
        <v>5</v>
      </c>
      <c r="H13" s="7">
        <v>6</v>
      </c>
      <c r="I13" s="7">
        <v>7</v>
      </c>
    </row>
    <row r="15" spans="2:15" x14ac:dyDescent="0.35">
      <c r="C15" s="30" t="s">
        <v>275</v>
      </c>
      <c r="D15" s="30" t="s">
        <v>184</v>
      </c>
      <c r="E15" s="30" t="s">
        <v>275</v>
      </c>
      <c r="F15" s="30" t="s">
        <v>274</v>
      </c>
      <c r="G15" s="30" t="s">
        <v>275</v>
      </c>
      <c r="H15" s="30" t="s">
        <v>273</v>
      </c>
      <c r="J15" s="5" t="s">
        <v>276</v>
      </c>
      <c r="K15" s="5" t="s">
        <v>277</v>
      </c>
      <c r="L15" s="5" t="s">
        <v>278</v>
      </c>
      <c r="M15" s="5" t="s">
        <v>279</v>
      </c>
      <c r="N15" s="5" t="s">
        <v>280</v>
      </c>
      <c r="O15" s="5" t="s">
        <v>281</v>
      </c>
    </row>
    <row r="16" spans="2:15" ht="15" thickBot="1" x14ac:dyDescent="0.4">
      <c r="B16" s="5"/>
      <c r="C16" s="8">
        <f ca="1">RAND()</f>
        <v>0.5054309923882303</v>
      </c>
      <c r="D16" s="7">
        <f ca="1">IF(C16&lt;(0.0905-0.07)/(0.11-0.07),
 0.07+SQRT(C16*(0.11-0.07)*(0.0905-0.07)),
 0.11-SQRT((1-C16)*(0.11-0.07)*(0.11-0.0905))
)</f>
        <v>9.0358128935595944E-2</v>
      </c>
      <c r="E16" s="7">
        <f ca="1">RAND()</f>
        <v>0.37608892388236226</v>
      </c>
      <c r="F16" s="7">
        <f ca="1">MIN(
 IF(E16&lt;(0.02-0.01)/(0.03-0.01),
   0.01+SQRT(E16*(0.03-0.01)*(0.02-0.01)),
   0.03-SQRT((1-E16)*(0.03-0.01)*(0.03-0.02))
 ),
 D16-0.005
)</f>
        <v>1.8672818733057463E-2</v>
      </c>
      <c r="G16" s="7">
        <f ca="1">$C$11/(1+D16)^1
 +$D$11/(1+D16)^2
 +$E$11/(1+D16)^3
 +$F$11/(1+D16)^4
 +$G$11/(1+D16)^5
 +$H$11/(1+D16)^6
 +$I$11/(1+D16)^7
 + ( $I$11*(1+F16)/(D16-F16) )/(1+D16)^7</f>
        <v>374.03691282749492</v>
      </c>
      <c r="H16" s="7">
        <f ca="1">(G16-$C$8)/$C$9</f>
        <v>2.0497903257999486</v>
      </c>
      <c r="J16" s="61">
        <f ca="1">MEDIAN(H16:H2016)</f>
        <v>2.0688513097201029</v>
      </c>
      <c r="K16" s="61">
        <f ca="1">AVERAGE(H16:H2016)</f>
        <v>2.1130714939097768</v>
      </c>
      <c r="L16" s="61">
        <f ca="1">_xlfn.PERCENTILE.INC(H16:H2016,0.05)</f>
        <v>1.7061855826386609</v>
      </c>
      <c r="M16" s="61">
        <f ca="1">_xlfn.PERCENTILE.INC(H16:H2016,0.95)</f>
        <v>2.653159883474443</v>
      </c>
      <c r="N16" s="61">
        <f ca="1">MIN(H16:H2016)</f>
        <v>1.5214345780531835</v>
      </c>
      <c r="O16" s="61">
        <f ca="1">MAX(H16:H2016)</f>
        <v>3.2832211602850347</v>
      </c>
    </row>
    <row r="17" spans="3:8" ht="15" thickTop="1" x14ac:dyDescent="0.35">
      <c r="C17" s="8">
        <f t="shared" ref="C17:C80" ca="1" si="0">RAND()</f>
        <v>0.27452419033253894</v>
      </c>
      <c r="D17" s="7">
        <f t="shared" ref="D17:D80" ca="1" si="1">IF(C17&lt;(0.0905-0.07)/(0.11-0.07),
 0.07+SQRT(C17*(0.11-0.07)*(0.0905-0.07)),
 0.11-SQRT((1-C17)*(0.11-0.07)*(0.11-0.0905))
)</f>
        <v>8.5003660755718316E-2</v>
      </c>
      <c r="E17" s="7">
        <f t="shared" ref="E17:E80" ca="1" si="2">RAND()</f>
        <v>0.56190234686455309</v>
      </c>
      <c r="F17" s="7">
        <f t="shared" ref="F17:F80" ca="1" si="3">MIN(
 IF(E17&lt;(0.02-0.01)/(0.03-0.01),
   0.01+SQRT(E17*(0.03-0.01)*(0.02-0.01)),
   0.03-SQRT((1-E17)*(0.03-0.01)*(0.03-0.02))
 ),
 D17-0.005
)</f>
        <v>2.0639469532815494E-2</v>
      </c>
      <c r="G17" s="7">
        <f ca="1">$C$11/(1+D17)^1
 +$D$11/(1+D17)^2
 +$E$11/(1+D17)^3
 +$F$11/(1+D17)^4
 +$G$11/(1+D17)^5
 +$H$11/(1+D17)^6
 +$I$11/(1+D17)^7
 + ( $I$11*(1+F17)/(D17-F17) )/(1+D17)^7</f>
        <v>414.49776071883758</v>
      </c>
      <c r="H17" s="7">
        <f ca="1">(G17-$C$8)/$C$9</f>
        <v>2.2785377697808546</v>
      </c>
    </row>
    <row r="18" spans="3:8" x14ac:dyDescent="0.35">
      <c r="C18" s="8">
        <f t="shared" ca="1" si="0"/>
        <v>0.60657148483645573</v>
      </c>
      <c r="D18" s="7">
        <f t="shared" ca="1" si="1"/>
        <v>9.2482173598657721E-2</v>
      </c>
      <c r="E18" s="7">
        <f t="shared" ca="1" si="2"/>
        <v>0.61270169272250186</v>
      </c>
      <c r="F18" s="7">
        <f t="shared" ca="1" si="3"/>
        <v>2.1198882942745301E-2</v>
      </c>
      <c r="G18" s="7">
        <f ca="1">$C$11/(1+D18)^1
 +$D$11/(1+D18)^2
 +$E$11/(1+D18)^3
 +$F$11/(1+D18)^4
 +$G$11/(1+D18)^5
 +$H$11/(1+D18)^6
 +$I$11/(1+D18)^7
 + ( $I$11*(1+F18)/(D18-F18) )/(1+D18)^7</f>
        <v>371.70646993578441</v>
      </c>
      <c r="H18" s="7">
        <f ca="1">(G18-$C$8)/$C$9</f>
        <v>2.0366150493881978</v>
      </c>
    </row>
    <row r="19" spans="3:8" x14ac:dyDescent="0.35">
      <c r="C19" s="8">
        <f t="shared" ca="1" si="0"/>
        <v>0.37491750962591253</v>
      </c>
      <c r="D19" s="7">
        <f t="shared" ca="1" si="1"/>
        <v>8.7533749111164114E-2</v>
      </c>
      <c r="E19" s="7">
        <f t="shared" ca="1" si="2"/>
        <v>0.68346542348085693</v>
      </c>
      <c r="F19" s="7">
        <f t="shared" ca="1" si="3"/>
        <v>2.2043435709816164E-2</v>
      </c>
      <c r="G19" s="7">
        <f ca="1">$C$11/(1+D19)^1
 +$D$11/(1+D19)^2
 +$E$11/(1+D19)^3
 +$F$11/(1+D19)^4
 +$G$11/(1+D19)^5
 +$H$11/(1+D19)^6
 +$I$11/(1+D19)^7
 + ( $I$11*(1+F19)/(D19-F19) )/(1+D19)^7</f>
        <v>404.31773975977751</v>
      </c>
      <c r="H19" s="7">
        <f ca="1">(G19-$C$8)/$C$9</f>
        <v>2.2209845079137125</v>
      </c>
    </row>
    <row r="20" spans="3:8" x14ac:dyDescent="0.35">
      <c r="C20" s="8">
        <f t="shared" ca="1" si="0"/>
        <v>3.6421582693363597E-2</v>
      </c>
      <c r="D20" s="7">
        <f t="shared" ca="1" si="1"/>
        <v>7.5464951766352401E-2</v>
      </c>
      <c r="E20" s="7">
        <f t="shared" ca="1" si="2"/>
        <v>0.40353473669090223</v>
      </c>
      <c r="F20" s="7">
        <f t="shared" ca="1" si="3"/>
        <v>1.8983704544238998E-2</v>
      </c>
      <c r="G20" s="7">
        <f ca="1">$C$11/(1+D20)^1
 +$D$11/(1+D20)^2
 +$E$11/(1+D20)^3
 +$F$11/(1+D20)^4
 +$G$11/(1+D20)^5
 +$H$11/(1+D20)^6
 +$I$11/(1+D20)^7
 + ( $I$11*(1+F20)/(D20-F20) )/(1+D20)^7</f>
        <v>478.61650236792559</v>
      </c>
      <c r="H20" s="7">
        <f ca="1">(G20-$C$8)/$C$9</f>
        <v>2.641036309180945</v>
      </c>
    </row>
    <row r="21" spans="3:8" x14ac:dyDescent="0.35">
      <c r="C21" s="8">
        <f t="shared" ca="1" si="0"/>
        <v>0.34804379599989466</v>
      </c>
      <c r="D21" s="7">
        <f t="shared" ca="1" si="1"/>
        <v>8.689366486940929E-2</v>
      </c>
      <c r="E21" s="7">
        <f t="shared" ca="1" si="2"/>
        <v>0.37658541423003067</v>
      </c>
      <c r="F21" s="7">
        <f t="shared" ca="1" si="3"/>
        <v>1.8678541516061679E-2</v>
      </c>
      <c r="G21" s="7">
        <f ca="1">$C$11/(1+D21)^1
 +$D$11/(1+D21)^2
 +$E$11/(1+D21)^3
 +$F$11/(1+D21)^4
 +$G$11/(1+D21)^5
 +$H$11/(1+D21)^6
 +$I$11/(1+D21)^7
 + ( $I$11*(1+F21)/(D21-F21) )/(1+D21)^7</f>
        <v>393.90652041746682</v>
      </c>
      <c r="H21" s="7">
        <f ca="1">(G21-$C$8)/$C$9</f>
        <v>2.1621241543276053</v>
      </c>
    </row>
    <row r="22" spans="3:8" x14ac:dyDescent="0.35">
      <c r="C22" s="8">
        <f t="shared" ca="1" si="0"/>
        <v>0.15065010341749629</v>
      </c>
      <c r="D22" s="7">
        <f t="shared" ca="1" si="1"/>
        <v>8.1114543841397491E-2</v>
      </c>
      <c r="E22" s="7">
        <f t="shared" ca="1" si="2"/>
        <v>0.84892676683917179</v>
      </c>
      <c r="F22" s="7">
        <f t="shared" ca="1" si="3"/>
        <v>2.4503214882118308E-2</v>
      </c>
      <c r="G22" s="7">
        <f ca="1">$C$11/(1+D22)^1
 +$D$11/(1+D22)^2
 +$E$11/(1+D22)^3
 +$F$11/(1+D22)^4
 +$G$11/(1+D22)^5
 +$H$11/(1+D22)^6
 +$I$11/(1+D22)^7
 + ( $I$11*(1+F22)/(D22-F22) )/(1+D22)^7</f>
        <v>464.51340595255596</v>
      </c>
      <c r="H22" s="7">
        <f ca="1">(G22-$C$8)/$C$9</f>
        <v>2.5613037423821572</v>
      </c>
    </row>
    <row r="23" spans="3:8" x14ac:dyDescent="0.35">
      <c r="C23" s="8">
        <f t="shared" ca="1" si="0"/>
        <v>0.65637860856022401</v>
      </c>
      <c r="D23" s="7">
        <f t="shared" ca="1" si="1"/>
        <v>9.3628540525566295E-2</v>
      </c>
      <c r="E23" s="7">
        <f t="shared" ca="1" si="2"/>
        <v>8.4325312487220083E-2</v>
      </c>
      <c r="F23" s="7">
        <f t="shared" ca="1" si="3"/>
        <v>1.4106709448870715E-2</v>
      </c>
      <c r="G23" s="7">
        <f ca="1">$C$11/(1+D23)^1
 +$D$11/(1+D23)^2
 +$E$11/(1+D23)^3
 +$F$11/(1+D23)^4
 +$G$11/(1+D23)^5
 +$H$11/(1+D23)^6
 +$I$11/(1+D23)^7
 + ( $I$11*(1+F23)/(D23-F23) )/(1+D23)^7</f>
        <v>342.87056275133926</v>
      </c>
      <c r="H23" s="7">
        <f ca="1">(G23-$C$8)/$C$9</f>
        <v>1.8735897939356583</v>
      </c>
    </row>
    <row r="24" spans="3:8" x14ac:dyDescent="0.35">
      <c r="C24" s="8">
        <f t="shared" ca="1" si="0"/>
        <v>0.47440438312381039</v>
      </c>
      <c r="D24" s="7">
        <f t="shared" ca="1" si="1"/>
        <v>8.9723376844788122E-2</v>
      </c>
      <c r="E24" s="7">
        <f t="shared" ca="1" si="2"/>
        <v>0.63810262465891099</v>
      </c>
      <c r="F24" s="7">
        <f t="shared" ca="1" si="3"/>
        <v>2.1492387228592397E-2</v>
      </c>
      <c r="G24" s="7">
        <f ca="1">$C$11/(1+D24)^1
 +$D$11/(1+D24)^2
 +$E$11/(1+D24)^3
 +$F$11/(1+D24)^4
 +$G$11/(1+D24)^5
 +$H$11/(1+D24)^6
 +$I$11/(1+D24)^7
 + ( $I$11*(1+F24)/(D24-F24) )/(1+D24)^7</f>
        <v>388.48537272587748</v>
      </c>
      <c r="H24" s="7">
        <f ca="1">(G24-$C$8)/$C$9</f>
        <v>2.1314754224665164</v>
      </c>
    </row>
    <row r="25" spans="3:8" x14ac:dyDescent="0.35">
      <c r="C25" s="8">
        <f t="shared" ca="1" si="0"/>
        <v>0.65732770161983745</v>
      </c>
      <c r="D25" s="7">
        <f t="shared" ca="1" si="1"/>
        <v>9.365116540127319E-2</v>
      </c>
      <c r="E25" s="7">
        <f t="shared" ca="1" si="2"/>
        <v>0.24130929009782121</v>
      </c>
      <c r="F25" s="7">
        <f t="shared" ca="1" si="3"/>
        <v>1.6947075501213747E-2</v>
      </c>
      <c r="G25" s="7">
        <f ca="1">$C$11/(1+D25)^1
 +$D$11/(1+D25)^2
 +$E$11/(1+D25)^3
 +$F$11/(1+D25)^4
 +$G$11/(1+D25)^5
 +$H$11/(1+D25)^6
 +$I$11/(1+D25)^7
 + ( $I$11*(1+F25)/(D25-F25) )/(1+D25)^7</f>
        <v>351.35158366087876</v>
      </c>
      <c r="H25" s="7">
        <f ca="1">(G25-$C$8)/$C$9</f>
        <v>1.9215376733428242</v>
      </c>
    </row>
    <row r="26" spans="3:8" x14ac:dyDescent="0.35">
      <c r="C26" s="8">
        <f t="shared" ca="1" si="0"/>
        <v>0.79635872853046952</v>
      </c>
      <c r="D26" s="7">
        <f t="shared" ca="1" si="1"/>
        <v>9.7396818189590617E-2</v>
      </c>
      <c r="E26" s="7">
        <f t="shared" ca="1" si="2"/>
        <v>0.13031074797796272</v>
      </c>
      <c r="F26" s="7">
        <f t="shared" ca="1" si="3"/>
        <v>1.5105110145294864E-2</v>
      </c>
      <c r="G26" s="7">
        <f ca="1">$C$11/(1+D26)^1
 +$D$11/(1+D26)^2
 +$E$11/(1+D26)^3
 +$F$11/(1+D26)^4
 +$G$11/(1+D26)^5
 +$H$11/(1+D26)^6
 +$I$11/(1+D26)^7
 + ( $I$11*(1+F26)/(D26-F26) )/(1+D26)^7</f>
        <v>329.18322907584331</v>
      </c>
      <c r="H26" s="7">
        <f ca="1">(G26-$C$8)/$C$9</f>
        <v>1.7962077627535238</v>
      </c>
    </row>
    <row r="27" spans="3:8" x14ac:dyDescent="0.35">
      <c r="C27" s="8">
        <f t="shared" ca="1" si="0"/>
        <v>0.62818583218249235</v>
      </c>
      <c r="D27" s="7">
        <f t="shared" ca="1" si="1"/>
        <v>9.2970171730235918E-2</v>
      </c>
      <c r="E27" s="7">
        <f t="shared" ca="1" si="2"/>
        <v>0.43694968293520886</v>
      </c>
      <c r="F27" s="7">
        <f t="shared" ca="1" si="3"/>
        <v>1.9348258478831325E-2</v>
      </c>
      <c r="G27" s="7">
        <f ca="1">$C$11/(1+D27)^1
 +$D$11/(1+D27)^2
 +$E$11/(1+D27)^3
 +$F$11/(1+D27)^4
 +$G$11/(1+D27)^5
 +$H$11/(1+D27)^6
 +$I$11/(1+D27)^7
 + ( $I$11*(1+F27)/(D27-F27) )/(1+D27)^7</f>
        <v>362.59127792303531</v>
      </c>
      <c r="H27" s="7">
        <f ca="1">(G27-$C$8)/$C$9</f>
        <v>1.9850818516679969</v>
      </c>
    </row>
    <row r="28" spans="3:8" x14ac:dyDescent="0.35">
      <c r="C28" s="8">
        <f t="shared" ca="1" si="0"/>
        <v>0.54877884076403782</v>
      </c>
      <c r="D28" s="7">
        <f t="shared" ca="1" si="1"/>
        <v>9.1239602770622083E-2</v>
      </c>
      <c r="E28" s="7">
        <f t="shared" ca="1" si="2"/>
        <v>0.55937723212768797</v>
      </c>
      <c r="F28" s="7">
        <f t="shared" ca="1" si="3"/>
        <v>2.061253209995036E-2</v>
      </c>
      <c r="G28" s="7">
        <f ca="1">$C$11/(1+D28)^1
 +$D$11/(1+D28)^2
 +$E$11/(1+D28)^3
 +$F$11/(1+D28)^4
 +$G$11/(1+D28)^5
 +$H$11/(1+D28)^6
 +$I$11/(1+D28)^7
 + ( $I$11*(1+F28)/(D28-F28) )/(1+D28)^7</f>
        <v>376.36329620407059</v>
      </c>
      <c r="H28" s="7">
        <f ca="1">(G28-$C$8)/$C$9</f>
        <v>2.0629426515381648</v>
      </c>
    </row>
    <row r="29" spans="3:8" x14ac:dyDescent="0.35">
      <c r="C29" s="8">
        <f t="shared" ca="1" si="0"/>
        <v>0.32834003114024435</v>
      </c>
      <c r="D29" s="7">
        <f t="shared" ca="1" si="1"/>
        <v>8.6408498576499931E-2</v>
      </c>
      <c r="E29" s="7">
        <f t="shared" ca="1" si="2"/>
        <v>0.80829797161261285</v>
      </c>
      <c r="F29" s="7">
        <f t="shared" ca="1" si="3"/>
        <v>2.3808037009358227E-2</v>
      </c>
      <c r="G29" s="7">
        <f ca="1">$C$11/(1+D29)^1
 +$D$11/(1+D29)^2
 +$E$11/(1+D29)^3
 +$F$11/(1+D29)^4
 +$G$11/(1+D29)^5
 +$H$11/(1+D29)^6
 +$I$11/(1+D29)^7
 + ( $I$11*(1+F29)/(D29-F29) )/(1+D29)^7</f>
        <v>420.06370699590946</v>
      </c>
      <c r="H29" s="7">
        <f ca="1">(G29-$C$8)/$C$9</f>
        <v>2.3100051277471136</v>
      </c>
    </row>
    <row r="30" spans="3:8" x14ac:dyDescent="0.35">
      <c r="C30" s="8">
        <f t="shared" ca="1" si="0"/>
        <v>0.81523096776147175</v>
      </c>
      <c r="D30" s="7">
        <f t="shared" ca="1" si="1"/>
        <v>9.7995007490795677E-2</v>
      </c>
      <c r="E30" s="7">
        <f t="shared" ca="1" si="2"/>
        <v>0.97608861892876686</v>
      </c>
      <c r="F30" s="7">
        <f t="shared" ca="1" si="3"/>
        <v>2.7813158392967923E-2</v>
      </c>
      <c r="G30" s="7">
        <f ca="1">$C$11/(1+D30)^1
 +$D$11/(1+D30)^2
 +$E$11/(1+D30)^3
 +$F$11/(1+D30)^4
 +$G$11/(1+D30)^5
 +$H$11/(1+D30)^6
 +$I$11/(1+D30)^7
 + ( $I$11*(1+F30)/(D30-F30) )/(1+D30)^7</f>
        <v>366.01510331164189</v>
      </c>
      <c r="H30" s="7">
        <f ca="1">(G30-$C$8)/$C$9</f>
        <v>2.0044386211648679</v>
      </c>
    </row>
    <row r="31" spans="3:8" x14ac:dyDescent="0.35">
      <c r="C31" s="8">
        <f t="shared" ca="1" si="0"/>
        <v>0.74241676099196374</v>
      </c>
      <c r="D31" s="7">
        <f t="shared" ca="1" si="1"/>
        <v>9.5825553752394127E-2</v>
      </c>
      <c r="E31" s="7">
        <f t="shared" ca="1" si="2"/>
        <v>5.7647075210457865E-2</v>
      </c>
      <c r="F31" s="7">
        <f t="shared" ca="1" si="3"/>
        <v>1.3395499233116033E-2</v>
      </c>
      <c r="G31" s="7">
        <f ca="1">$C$11/(1+D31)^1
 +$D$11/(1+D31)^2
 +$E$11/(1+D31)^3
 +$F$11/(1+D31)^4
 +$G$11/(1+D31)^5
 +$H$11/(1+D31)^6
 +$I$11/(1+D31)^7
 + ( $I$11*(1+F31)/(D31-F31) )/(1+D31)^7</f>
        <v>331.24793732144008</v>
      </c>
      <c r="H31" s="7">
        <f ca="1">(G31-$C$8)/$C$9</f>
        <v>1.8078806949425603</v>
      </c>
    </row>
    <row r="32" spans="3:8" x14ac:dyDescent="0.35">
      <c r="C32" s="8">
        <f t="shared" ca="1" si="0"/>
        <v>0.87842458300072312</v>
      </c>
      <c r="D32" s="7">
        <f t="shared" ca="1" si="1"/>
        <v>0.10026199069319422</v>
      </c>
      <c r="E32" s="7">
        <f t="shared" ca="1" si="2"/>
        <v>0.25058115295395966</v>
      </c>
      <c r="F32" s="7">
        <f t="shared" ca="1" si="3"/>
        <v>1.7079281784954738E-2</v>
      </c>
      <c r="G32" s="7">
        <f ca="1">$C$11/(1+D32)^1
 +$D$11/(1+D32)^2
 +$E$11/(1+D32)^3
 +$F$11/(1+D32)^4
 +$G$11/(1+D32)^5
 +$H$11/(1+D32)^6
 +$I$11/(1+D32)^7
 + ( $I$11*(1+F32)/(D32-F32) )/(1+D32)^7</f>
        <v>322.48483197274686</v>
      </c>
      <c r="H32" s="7">
        <f ca="1">(G32-$C$8)/$C$9</f>
        <v>1.7583380369332138</v>
      </c>
    </row>
    <row r="33" spans="3:8" x14ac:dyDescent="0.35">
      <c r="C33" s="8">
        <f t="shared" ca="1" si="0"/>
        <v>0.78578062101392987</v>
      </c>
      <c r="D33" s="7">
        <f t="shared" ca="1" si="1"/>
        <v>9.7073627128651488E-2</v>
      </c>
      <c r="E33" s="7">
        <f t="shared" ca="1" si="2"/>
        <v>0.96199035893836216</v>
      </c>
      <c r="F33" s="7">
        <f t="shared" ca="1" si="3"/>
        <v>2.7242840553698865E-2</v>
      </c>
      <c r="G33" s="7">
        <f ca="1">$C$11/(1+D33)^1
 +$D$11/(1+D33)^2
 +$E$11/(1+D33)^3
 +$F$11/(1+D33)^4
 +$G$11/(1+D33)^5
 +$H$11/(1+D33)^6
 +$I$11/(1+D33)^7
 + ( $I$11*(1+F33)/(D33-F33) )/(1+D33)^7</f>
        <v>368.92272358355262</v>
      </c>
      <c r="H33" s="7">
        <f ca="1">(G33-$C$8)/$C$9</f>
        <v>2.0208769990024456</v>
      </c>
    </row>
    <row r="34" spans="3:8" x14ac:dyDescent="0.35">
      <c r="C34" s="8">
        <f t="shared" ca="1" si="0"/>
        <v>0.57625320895005316</v>
      </c>
      <c r="D34" s="7">
        <f t="shared" ca="1" si="1"/>
        <v>9.1819722306329898E-2</v>
      </c>
      <c r="E34" s="7">
        <f t="shared" ca="1" si="2"/>
        <v>0.3765061659498663</v>
      </c>
      <c r="F34" s="7">
        <f t="shared" ca="1" si="3"/>
        <v>1.8677628315961294E-2</v>
      </c>
      <c r="G34" s="7">
        <f ca="1">$C$11/(1+D34)^1
 +$D$11/(1+D34)^2
 +$E$11/(1+D34)^3
 +$F$11/(1+D34)^4
 +$G$11/(1+D34)^5
 +$H$11/(1+D34)^6
 +$I$11/(1+D34)^7
 + ( $I$11*(1+F34)/(D34-F34) )/(1+D34)^7</f>
        <v>366.24862404579989</v>
      </c>
      <c r="H34" s="7">
        <f ca="1">(G34-$C$8)/$C$9</f>
        <v>2.005758842411804</v>
      </c>
    </row>
    <row r="35" spans="3:8" x14ac:dyDescent="0.35">
      <c r="C35" s="8">
        <f t="shared" ca="1" si="0"/>
        <v>0.36557472367323829</v>
      </c>
      <c r="D35" s="7">
        <f t="shared" ca="1" si="1"/>
        <v>8.7313904048828953E-2</v>
      </c>
      <c r="E35" s="7">
        <f t="shared" ca="1" si="2"/>
        <v>0.11108287231072211</v>
      </c>
      <c r="F35" s="7">
        <f t="shared" ca="1" si="3"/>
        <v>1.4713446134426957E-2</v>
      </c>
      <c r="G35" s="7">
        <f ca="1">$C$11/(1+D35)^1
 +$D$11/(1+D35)^2
 +$E$11/(1+D35)^3
 +$F$11/(1+D35)^4
 +$G$11/(1+D35)^5
 +$H$11/(1+D35)^6
 +$I$11/(1+D35)^7
 + ( $I$11*(1+F35)/(D35-F35) )/(1+D35)^7</f>
        <v>376.19862247598883</v>
      </c>
      <c r="H35" s="7">
        <f ca="1">(G35-$C$8)/$C$9</f>
        <v>2.0620116603120127</v>
      </c>
    </row>
    <row r="36" spans="3:8" x14ac:dyDescent="0.35">
      <c r="C36" s="8">
        <f t="shared" ca="1" si="0"/>
        <v>3.9365784299150164E-4</v>
      </c>
      <c r="D36" s="7">
        <f t="shared" ca="1" si="1"/>
        <v>7.0568154407932418E-2</v>
      </c>
      <c r="E36" s="7">
        <f t="shared" ca="1" si="2"/>
        <v>0.47128694265581306</v>
      </c>
      <c r="F36" s="7">
        <f t="shared" ca="1" si="3"/>
        <v>1.9708624440731168E-2</v>
      </c>
      <c r="G36" s="7">
        <f ca="1">$C$11/(1+D36)^1
 +$D$11/(1+D36)^2
 +$E$11/(1+D36)^3
 +$F$11/(1+D36)^4
 +$G$11/(1+D36)^5
 +$H$11/(1+D36)^6
 +$I$11/(1+D36)^7
 + ( $I$11*(1+F36)/(D36-F36) )/(1+D36)^7</f>
        <v>531.54179479395384</v>
      </c>
      <c r="H36" s="7">
        <f ca="1">(G36-$C$8)/$C$9</f>
        <v>2.9402521189165185</v>
      </c>
    </row>
    <row r="37" spans="3:8" x14ac:dyDescent="0.35">
      <c r="C37" s="8">
        <f t="shared" ca="1" si="0"/>
        <v>0.82075770139502113</v>
      </c>
      <c r="D37" s="7">
        <f t="shared" ca="1" si="1"/>
        <v>9.8175914711408602E-2</v>
      </c>
      <c r="E37" s="7">
        <f t="shared" ca="1" si="2"/>
        <v>0.38626866800655413</v>
      </c>
      <c r="F37" s="7">
        <f t="shared" ca="1" si="3"/>
        <v>1.8789410310214832E-2</v>
      </c>
      <c r="G37" s="7">
        <f ca="1">$C$11/(1+D37)^1
 +$D$11/(1+D37)^2
 +$E$11/(1+D37)^3
 +$F$11/(1+D37)^4
 +$G$11/(1+D37)^5
 +$H$11/(1+D37)^6
 +$I$11/(1+D37)^7
 + ( $I$11*(1+F37)/(D37-F37) )/(1+D37)^7</f>
        <v>335.98285426475496</v>
      </c>
      <c r="H37" s="7">
        <f ca="1">(G37-$C$8)/$C$9</f>
        <v>1.8346497866618892</v>
      </c>
    </row>
    <row r="38" spans="3:8" x14ac:dyDescent="0.35">
      <c r="C38" s="8">
        <f t="shared" ca="1" si="0"/>
        <v>0.61372230548233453</v>
      </c>
      <c r="D38" s="7">
        <f t="shared" ca="1" si="1"/>
        <v>9.2642102612246521E-2</v>
      </c>
      <c r="E38" s="7">
        <f t="shared" ca="1" si="2"/>
        <v>0.96164804450480701</v>
      </c>
      <c r="F38" s="7">
        <f t="shared" ca="1" si="3"/>
        <v>2.7230452907235806E-2</v>
      </c>
      <c r="G38" s="7">
        <f ca="1">$C$11/(1+D38)^1
 +$D$11/(1+D38)^2
 +$E$11/(1+D38)^3
 +$F$11/(1+D38)^4
 +$G$11/(1+D38)^5
 +$H$11/(1+D38)^6
 +$I$11/(1+D38)^7
 + ( $I$11*(1+F38)/(D38-F38) )/(1+D38)^7</f>
        <v>394.76970692016641</v>
      </c>
      <c r="H38" s="7">
        <f ca="1">(G38-$C$8)/$C$9</f>
        <v>2.1670042227508275</v>
      </c>
    </row>
    <row r="39" spans="3:8" x14ac:dyDescent="0.35">
      <c r="C39" s="8">
        <f t="shared" ca="1" si="0"/>
        <v>0.18406320099372331</v>
      </c>
      <c r="D39" s="7">
        <f t="shared" ca="1" si="1"/>
        <v>8.2285431405321227E-2</v>
      </c>
      <c r="E39" s="7">
        <f t="shared" ca="1" si="2"/>
        <v>0.30692157726604063</v>
      </c>
      <c r="F39" s="7">
        <f t="shared" ca="1" si="3"/>
        <v>1.7834814321552754E-2</v>
      </c>
      <c r="G39" s="7">
        <f ca="1">$C$11/(1+D39)^1
 +$D$11/(1+D39)^2
 +$E$11/(1+D39)^3
 +$F$11/(1+D39)^4
 +$G$11/(1+D39)^5
 +$H$11/(1+D39)^6
 +$I$11/(1+D39)^7
 + ( $I$11*(1+F39)/(D39-F39) )/(1+D39)^7</f>
        <v>419.64158207708942</v>
      </c>
      <c r="H39" s="7">
        <f ca="1">(G39-$C$8)/$C$9</f>
        <v>2.3076186232309444</v>
      </c>
    </row>
    <row r="40" spans="3:8" x14ac:dyDescent="0.35">
      <c r="C40" s="8">
        <f t="shared" ca="1" si="0"/>
        <v>0.79923127178668207</v>
      </c>
      <c r="D40" s="7">
        <f t="shared" ca="1" si="1"/>
        <v>9.7486023493453894E-2</v>
      </c>
      <c r="E40" s="7">
        <f t="shared" ca="1" si="2"/>
        <v>0.4075250461893738</v>
      </c>
      <c r="F40" s="7">
        <f t="shared" ca="1" si="3"/>
        <v>1.9028012474397383E-2</v>
      </c>
      <c r="G40" s="7">
        <f ca="1">$C$11/(1+D40)^1
 +$D$11/(1+D40)^2
 +$E$11/(1+D40)^3
 +$F$11/(1+D40)^4
 +$G$11/(1+D40)^5
 +$H$11/(1+D40)^6
 +$I$11/(1+D40)^7
 + ( $I$11*(1+F40)/(D40-F40) )/(1+D40)^7</f>
        <v>339.76646829411413</v>
      </c>
      <c r="H40" s="7">
        <f ca="1">(G40-$C$8)/$C$9</f>
        <v>1.8560406393832773</v>
      </c>
    </row>
    <row r="41" spans="3:8" x14ac:dyDescent="0.35">
      <c r="C41" s="8">
        <f t="shared" ca="1" si="0"/>
        <v>0.55712068390877578</v>
      </c>
      <c r="D41" s="7">
        <f t="shared" ca="1" si="1"/>
        <v>9.1413825930247106E-2</v>
      </c>
      <c r="E41" s="7">
        <f t="shared" ca="1" si="2"/>
        <v>0.7984189631173465</v>
      </c>
      <c r="F41" s="7">
        <f t="shared" ca="1" si="3"/>
        <v>2.3650495501495356E-2</v>
      </c>
      <c r="G41" s="7">
        <f ca="1">$C$11/(1+D41)^1
 +$D$11/(1+D41)^2
 +$E$11/(1+D41)^3
 +$F$11/(1+D41)^4
 +$G$11/(1+D41)^5
 +$H$11/(1+D41)^6
 +$I$11/(1+D41)^7
 + ( $I$11*(1+F41)/(D41-F41) )/(1+D41)^7</f>
        <v>387.21788984638522</v>
      </c>
      <c r="H41" s="7">
        <f ca="1">(G41-$C$8)/$C$9</f>
        <v>2.124309644088564</v>
      </c>
    </row>
    <row r="42" spans="3:8" x14ac:dyDescent="0.35">
      <c r="C42" s="8">
        <f t="shared" ca="1" si="0"/>
        <v>0.63271549222967616</v>
      </c>
      <c r="D42" s="7">
        <f t="shared" ca="1" si="1"/>
        <v>9.307422332473772E-2</v>
      </c>
      <c r="E42" s="7">
        <f t="shared" ca="1" si="2"/>
        <v>0.53310307677095237</v>
      </c>
      <c r="F42" s="7">
        <f t="shared" ca="1" si="3"/>
        <v>2.0336699081276131E-2</v>
      </c>
      <c r="G42" s="7">
        <f ca="1">$C$11/(1+D42)^1
 +$D$11/(1+D42)^2
 +$E$11/(1+D42)^3
 +$F$11/(1+D42)^4
 +$G$11/(1+D42)^5
 +$H$11/(1+D42)^6
 +$I$11/(1+D42)^7
 + ( $I$11*(1+F42)/(D42-F42) )/(1+D42)^7</f>
        <v>365.46605468040934</v>
      </c>
      <c r="H42" s="7">
        <f ca="1">(G42-$C$8)/$C$9</f>
        <v>2.0013345470398538</v>
      </c>
    </row>
    <row r="43" spans="3:8" x14ac:dyDescent="0.35">
      <c r="C43" s="8">
        <f t="shared" ca="1" si="0"/>
        <v>0.77691207593341205</v>
      </c>
      <c r="D43" s="7">
        <f t="shared" ca="1" si="1"/>
        <v>9.6808768792415983E-2</v>
      </c>
      <c r="E43" s="7">
        <f t="shared" ca="1" si="2"/>
        <v>0.58226649143090514</v>
      </c>
      <c r="F43" s="7">
        <f t="shared" ca="1" si="3"/>
        <v>2.085961151187659E-2</v>
      </c>
      <c r="G43" s="7">
        <f ca="1">$C$11/(1+D43)^1
 +$D$11/(1+D43)^2
 +$E$11/(1+D43)^3
 +$F$11/(1+D43)^4
 +$G$11/(1+D43)^5
 +$H$11/(1+D43)^6
 +$I$11/(1+D43)^7
 + ( $I$11*(1+F43)/(D43-F43) )/(1+D43)^7</f>
        <v>348.48304258812317</v>
      </c>
      <c r="H43" s="7">
        <f ca="1">(G43-$C$8)/$C$9</f>
        <v>1.9053202317284212</v>
      </c>
    </row>
    <row r="44" spans="3:8" x14ac:dyDescent="0.35">
      <c r="C44" s="8">
        <f t="shared" ca="1" si="0"/>
        <v>0.54645168744427075</v>
      </c>
      <c r="D44" s="7">
        <f t="shared" ca="1" si="1"/>
        <v>9.1191287024533843E-2</v>
      </c>
      <c r="E44" s="7">
        <f t="shared" ca="1" si="2"/>
        <v>0.34416344258750964</v>
      </c>
      <c r="F44" s="7">
        <f t="shared" ca="1" si="3"/>
        <v>1.8296546782698327E-2</v>
      </c>
      <c r="G44" s="7">
        <f ca="1">$C$11/(1+D44)^1
 +$D$11/(1+D44)^2
 +$E$11/(1+D44)^3
 +$F$11/(1+D44)^4
 +$G$11/(1+D44)^5
 +$H$11/(1+D44)^6
 +$I$11/(1+D44)^7
 + ( $I$11*(1+F44)/(D44-F44) )/(1+D44)^7</f>
        <v>368.21864162767116</v>
      </c>
      <c r="H44" s="7">
        <f ca="1">(G44-$C$8)/$C$9</f>
        <v>2.0168964361582495</v>
      </c>
    </row>
    <row r="45" spans="3:8" x14ac:dyDescent="0.35">
      <c r="C45" s="8">
        <f t="shared" ca="1" si="0"/>
        <v>0.59848681870872078</v>
      </c>
      <c r="D45" s="7">
        <f t="shared" ca="1" si="1"/>
        <v>9.2303099666687455E-2</v>
      </c>
      <c r="E45" s="7">
        <f t="shared" ca="1" si="2"/>
        <v>0.62462656930946492</v>
      </c>
      <c r="F45" s="7">
        <f t="shared" ca="1" si="3"/>
        <v>2.1335435028917667E-2</v>
      </c>
      <c r="G45" s="7">
        <f ca="1">$C$11/(1+D45)^1
 +$D$11/(1+D45)^2
 +$E$11/(1+D45)^3
 +$F$11/(1+D45)^4
 +$G$11/(1+D45)^5
 +$H$11/(1+D45)^6
 +$I$11/(1+D45)^7
 + ( $I$11*(1+F45)/(D45-F45) )/(1+D45)^7</f>
        <v>373.18452604840763</v>
      </c>
      <c r="H45" s="7">
        <f ca="1">(G45-$C$8)/$C$9</f>
        <v>2.0449713141587949</v>
      </c>
    </row>
    <row r="46" spans="3:8" x14ac:dyDescent="0.35">
      <c r="C46" s="8">
        <f t="shared" ca="1" si="0"/>
        <v>0.52674514401545636</v>
      </c>
      <c r="D46" s="7">
        <f t="shared" ca="1" si="1"/>
        <v>9.0787015128618254E-2</v>
      </c>
      <c r="E46" s="7">
        <f t="shared" ca="1" si="2"/>
        <v>0.55033558959872453</v>
      </c>
      <c r="F46" s="7">
        <f t="shared" ca="1" si="3"/>
        <v>2.0516705104223792E-2</v>
      </c>
      <c r="G46" s="7">
        <f ca="1">$C$11/(1+D46)^1
 +$D$11/(1+D46)^2
 +$E$11/(1+D46)^3
 +$F$11/(1+D46)^4
 +$G$11/(1+D46)^5
 +$H$11/(1+D46)^6
 +$I$11/(1+D46)^7
 + ( $I$11*(1+F46)/(D46-F46) )/(1+D46)^7</f>
        <v>378.52914431094882</v>
      </c>
      <c r="H46" s="7">
        <f ca="1">(G46-$C$8)/$C$9</f>
        <v>2.0751873830334056</v>
      </c>
    </row>
    <row r="47" spans="3:8" x14ac:dyDescent="0.35">
      <c r="C47" s="8">
        <f t="shared" ca="1" si="0"/>
        <v>0.50705985932442532</v>
      </c>
      <c r="D47" s="7">
        <f t="shared" ca="1" si="1"/>
        <v>9.0390906910827407E-2</v>
      </c>
      <c r="E47" s="7">
        <f t="shared" ca="1" si="2"/>
        <v>0.65983403636324212</v>
      </c>
      <c r="F47" s="7">
        <f t="shared" ca="1" si="3"/>
        <v>2.1751776389588386E-2</v>
      </c>
      <c r="G47" s="7">
        <f ca="1">$C$11/(1+D47)^1
 +$D$11/(1+D47)^2
 +$E$11/(1+D47)^3
 +$F$11/(1+D47)^4
 +$G$11/(1+D47)^5
 +$H$11/(1+D47)^6
 +$I$11/(1+D47)^7
 + ( $I$11*(1+F47)/(D47-F47) )/(1+D47)^7</f>
        <v>385.5994766223053</v>
      </c>
      <c r="H47" s="7">
        <f ca="1">(G47-$C$8)/$C$9</f>
        <v>2.1151598633101836</v>
      </c>
    </row>
    <row r="48" spans="3:8" x14ac:dyDescent="0.35">
      <c r="C48" s="8">
        <f t="shared" ca="1" si="0"/>
        <v>0.24003320911436521</v>
      </c>
      <c r="D48" s="7">
        <f t="shared" ca="1" si="1"/>
        <v>8.4029512873716586E-2</v>
      </c>
      <c r="E48" s="7">
        <f t="shared" ca="1" si="2"/>
        <v>0.2184013422437473</v>
      </c>
      <c r="F48" s="7">
        <f t="shared" ca="1" si="3"/>
        <v>1.6609104965783904E-2</v>
      </c>
      <c r="G48" s="7">
        <f ca="1">$C$11/(1+D48)^1
 +$D$11/(1+D48)^2
 +$E$11/(1+D48)^3
 +$F$11/(1+D48)^4
 +$G$11/(1+D48)^5
 +$H$11/(1+D48)^6
 +$I$11/(1+D48)^7
 + ( $I$11*(1+F48)/(D48-F48) )/(1+D48)^7</f>
        <v>402.78396351520269</v>
      </c>
      <c r="H48" s="7">
        <f ca="1">(G48-$C$8)/$C$9</f>
        <v>2.2123132265671792</v>
      </c>
    </row>
    <row r="49" spans="3:8" x14ac:dyDescent="0.35">
      <c r="C49" s="8">
        <f t="shared" ca="1" si="0"/>
        <v>0.98976766779051961</v>
      </c>
      <c r="D49" s="7">
        <f t="shared" ca="1" si="1"/>
        <v>0.10717489484737387</v>
      </c>
      <c r="E49" s="7">
        <f t="shared" ca="1" si="2"/>
        <v>0.44010810917090226</v>
      </c>
      <c r="F49" s="7">
        <f t="shared" ca="1" si="3"/>
        <v>1.9381983896499741E-2</v>
      </c>
      <c r="G49" s="7">
        <f ca="1">$C$11/(1+D49)^1
 +$D$11/(1+D49)^2
 +$E$11/(1+D49)^3
 +$F$11/(1+D49)^4
 +$G$11/(1+D49)^5
 +$H$11/(1+D49)^6
 +$I$11/(1+D49)^7
 + ( $I$11*(1+F49)/(D49-F49) )/(1+D49)^7</f>
        <v>301.48643660092</v>
      </c>
      <c r="H49" s="7">
        <f ca="1">(G49-$C$8)/$C$9</f>
        <v>1.6396225497564449</v>
      </c>
    </row>
    <row r="50" spans="3:8" x14ac:dyDescent="0.35">
      <c r="C50" s="8">
        <f t="shared" ca="1" si="0"/>
        <v>0.31142589741202364</v>
      </c>
      <c r="D50" s="7">
        <f t="shared" ca="1" si="1"/>
        <v>8.5980276464375061E-2</v>
      </c>
      <c r="E50" s="7">
        <f t="shared" ca="1" si="2"/>
        <v>0.10628236227621413</v>
      </c>
      <c r="F50" s="7">
        <f t="shared" ca="1" si="3"/>
        <v>1.4610474211536469E-2</v>
      </c>
      <c r="G50" s="7">
        <f ca="1">$C$11/(1+D50)^1
 +$D$11/(1+D50)^2
 +$E$11/(1+D50)^3
 +$F$11/(1+D50)^4
 +$G$11/(1+D50)^5
 +$H$11/(1+D50)^6
 +$I$11/(1+D50)^7
 + ( $I$11*(1+F50)/(D50-F50) )/(1+D50)^7</f>
        <v>383.19247268927717</v>
      </c>
      <c r="H50" s="7">
        <f ca="1">(G50-$C$8)/$C$9</f>
        <v>2.1015517451903953</v>
      </c>
    </row>
    <row r="51" spans="3:8" x14ac:dyDescent="0.35">
      <c r="C51" s="8">
        <f t="shared" ca="1" si="0"/>
        <v>0.35822191254123847</v>
      </c>
      <c r="D51" s="7">
        <f t="shared" ca="1" si="1"/>
        <v>8.7138902190158379E-2</v>
      </c>
      <c r="E51" s="7">
        <f t="shared" ca="1" si="2"/>
        <v>6.1022866391820196E-2</v>
      </c>
      <c r="F51" s="7">
        <f t="shared" ca="1" si="3"/>
        <v>1.3493504440867943E-2</v>
      </c>
      <c r="G51" s="7">
        <f ca="1">$C$11/(1+D51)^1
 +$D$11/(1+D51)^2
 +$E$11/(1+D51)^3
 +$F$11/(1+D51)^4
 +$G$11/(1+D51)^5
 +$H$11/(1+D51)^6
 +$I$11/(1+D51)^7
 + ( $I$11*(1+F51)/(D51-F51) )/(1+D51)^7</f>
        <v>372.78074399712239</v>
      </c>
      <c r="H51" s="7">
        <f ca="1">(G51-$C$8)/$C$9</f>
        <v>2.0426885119692582</v>
      </c>
    </row>
    <row r="52" spans="3:8" x14ac:dyDescent="0.35">
      <c r="C52" s="8">
        <f t="shared" ca="1" si="0"/>
        <v>0.69162115522687084</v>
      </c>
      <c r="D52" s="7">
        <f t="shared" ca="1" si="1"/>
        <v>9.4490793091745767E-2</v>
      </c>
      <c r="E52" s="7">
        <f t="shared" ca="1" si="2"/>
        <v>0.83967547934252407</v>
      </c>
      <c r="F52" s="7">
        <f t="shared" ca="1" si="3"/>
        <v>2.4337411887529237E-2</v>
      </c>
      <c r="G52" s="7">
        <f ca="1">$C$11/(1+D52)^1
 +$D$11/(1+D52)^2
 +$E$11/(1+D52)^3
 +$F$11/(1+D52)^4
 +$G$11/(1+D52)^5
 +$H$11/(1+D52)^6
 +$I$11/(1+D52)^7
 + ( $I$11*(1+F52)/(D52-F52) )/(1+D52)^7</f>
        <v>372.29791576553225</v>
      </c>
      <c r="H52" s="7">
        <f ca="1">(G52-$C$8)/$C$9</f>
        <v>2.039958818213095</v>
      </c>
    </row>
    <row r="53" spans="3:8" x14ac:dyDescent="0.35">
      <c r="C53" s="8">
        <f t="shared" ca="1" si="0"/>
        <v>0.89189783001655221</v>
      </c>
      <c r="D53" s="7">
        <f t="shared" ca="1" si="1"/>
        <v>0.10081742451231196</v>
      </c>
      <c r="E53" s="7">
        <f t="shared" ca="1" si="2"/>
        <v>0.19342008850029324</v>
      </c>
      <c r="F53" s="7">
        <f t="shared" ca="1" si="3"/>
        <v>1.6219647715108844E-2</v>
      </c>
      <c r="G53" s="7">
        <f ca="1">$C$11/(1+D53)^1
 +$D$11/(1+D53)^2
 +$E$11/(1+D53)^3
 +$F$11/(1+D53)^4
 +$G$11/(1+D53)^5
 +$H$11/(1+D53)^6
 +$I$11/(1+D53)^7
 + ( $I$11*(1+F53)/(D53-F53) )/(1+D53)^7</f>
        <v>318.08547395049357</v>
      </c>
      <c r="H53" s="7">
        <f ca="1">(G53-$C$8)/$C$9</f>
        <v>1.7334660444962322</v>
      </c>
    </row>
    <row r="54" spans="3:8" x14ac:dyDescent="0.35">
      <c r="C54" s="8">
        <f t="shared" ca="1" si="0"/>
        <v>0.57384908901071541</v>
      </c>
      <c r="D54" s="7">
        <f t="shared" ca="1" si="1"/>
        <v>9.1768222506523348E-2</v>
      </c>
      <c r="E54" s="7">
        <f t="shared" ca="1" si="2"/>
        <v>0.6479201447377736</v>
      </c>
      <c r="F54" s="7">
        <f t="shared" ca="1" si="3"/>
        <v>2.1608577531047238E-2</v>
      </c>
      <c r="G54" s="7">
        <f ca="1">$C$11/(1+D54)^1
 +$D$11/(1+D54)^2
 +$E$11/(1+D54)^3
 +$F$11/(1+D54)^4
 +$G$11/(1+D54)^5
 +$H$11/(1+D54)^6
 +$I$11/(1+D54)^7
 + ( $I$11*(1+F54)/(D54-F54) )/(1+D54)^7</f>
        <v>377.1665195347781</v>
      </c>
      <c r="H54" s="7">
        <f ca="1">(G54-$C$8)/$C$9</f>
        <v>2.0674837151446068</v>
      </c>
    </row>
    <row r="55" spans="3:8" x14ac:dyDescent="0.35">
      <c r="C55" s="8">
        <f t="shared" ca="1" si="0"/>
        <v>0.43878325189771983</v>
      </c>
      <c r="D55" s="7">
        <f t="shared" ca="1" si="1"/>
        <v>8.8968454511533887E-2</v>
      </c>
      <c r="E55" s="7">
        <f t="shared" ca="1" si="2"/>
        <v>0.95593011994253707</v>
      </c>
      <c r="F55" s="7">
        <f t="shared" ca="1" si="3"/>
        <v>2.7031165883466612E-2</v>
      </c>
      <c r="G55" s="7">
        <f ca="1">$C$11/(1+D55)^1
 +$D$11/(1+D55)^2
 +$E$11/(1+D55)^3
 +$F$11/(1+D55)^4
 +$G$11/(1+D55)^5
 +$H$11/(1+D55)^6
 +$I$11/(1+D55)^7
 + ( $I$11*(1+F55)/(D55-F55) )/(1+D55)^7</f>
        <v>418.08119573799058</v>
      </c>
      <c r="H55" s="7">
        <f ca="1">(G55-$C$8)/$C$9</f>
        <v>2.2987969003730808</v>
      </c>
    </row>
    <row r="56" spans="3:8" x14ac:dyDescent="0.35">
      <c r="C56" s="8">
        <f t="shared" ca="1" si="0"/>
        <v>0.63055481023190307</v>
      </c>
      <c r="D56" s="7">
        <f t="shared" ca="1" si="1"/>
        <v>9.3024510374686814E-2</v>
      </c>
      <c r="E56" s="7">
        <f t="shared" ca="1" si="2"/>
        <v>9.4525207937956823E-2</v>
      </c>
      <c r="F56" s="7">
        <f t="shared" ca="1" si="3"/>
        <v>1.4347992822854169E-2</v>
      </c>
      <c r="G56" s="7">
        <f ca="1">$C$11/(1+D56)^1
 +$D$11/(1+D56)^2
 +$E$11/(1+D56)^3
 +$F$11/(1+D56)^4
 +$G$11/(1+D56)^5
 +$H$11/(1+D56)^6
 +$I$11/(1+D56)^7
 + ( $I$11*(1+F56)/(D56-F56) )/(1+D56)^7</f>
        <v>346.3516376405758</v>
      </c>
      <c r="H56" s="7">
        <f ca="1">(G56-$C$8)/$C$9</f>
        <v>1.8932702263714145</v>
      </c>
    </row>
    <row r="57" spans="3:8" x14ac:dyDescent="0.35">
      <c r="C57" s="8">
        <f t="shared" ca="1" si="0"/>
        <v>0.65450359609472508</v>
      </c>
      <c r="D57" s="7">
        <f t="shared" ca="1" si="1"/>
        <v>9.3583934848870926E-2</v>
      </c>
      <c r="E57" s="7">
        <f t="shared" ca="1" si="2"/>
        <v>0.76434627314323345</v>
      </c>
      <c r="F57" s="7">
        <f t="shared" ca="1" si="3"/>
        <v>2.3134816435713221E-2</v>
      </c>
      <c r="G57" s="7">
        <f ca="1">$C$11/(1+D57)^1
 +$D$11/(1+D57)^2
 +$E$11/(1+D57)^3
 +$F$11/(1+D57)^4
 +$G$11/(1+D57)^5
 +$H$11/(1+D57)^6
 +$I$11/(1+D57)^7
 + ( $I$11*(1+F57)/(D57-F57) )/(1+D57)^7</f>
        <v>372.81473530798166</v>
      </c>
      <c r="H57" s="7">
        <f ca="1">(G57-$C$8)/$C$9</f>
        <v>2.0428806835593716</v>
      </c>
    </row>
    <row r="58" spans="3:8" x14ac:dyDescent="0.35">
      <c r="C58" s="8">
        <f t="shared" ca="1" si="0"/>
        <v>0.4188159468275684</v>
      </c>
      <c r="D58" s="7">
        <f t="shared" ca="1" si="1"/>
        <v>8.8531839530888612E-2</v>
      </c>
      <c r="E58" s="7">
        <f t="shared" ca="1" si="2"/>
        <v>8.3597973413866544E-2</v>
      </c>
      <c r="F58" s="7">
        <f t="shared" ca="1" si="3"/>
        <v>1.4088960097967857E-2</v>
      </c>
      <c r="G58" s="7">
        <f ca="1">$C$11/(1+D58)^1
 +$D$11/(1+D58)^2
 +$E$11/(1+D58)^3
 +$F$11/(1+D58)^4
 +$G$11/(1+D58)^5
 +$H$11/(1+D58)^6
 +$I$11/(1+D58)^7
 + ( $I$11*(1+F58)/(D58-F58) )/(1+D58)^7</f>
        <v>367.53554067888433</v>
      </c>
      <c r="H58" s="7">
        <f ca="1">(G58-$C$8)/$C$9</f>
        <v>2.0130344904957278</v>
      </c>
    </row>
    <row r="59" spans="3:8" x14ac:dyDescent="0.35">
      <c r="C59" s="8">
        <f t="shared" ca="1" si="0"/>
        <v>0.61735092799050795</v>
      </c>
      <c r="D59" s="7">
        <f t="shared" ca="1" si="1"/>
        <v>9.2723823450560489E-2</v>
      </c>
      <c r="E59" s="7">
        <f t="shared" ca="1" si="2"/>
        <v>0.36643907713800372</v>
      </c>
      <c r="F59" s="7">
        <f t="shared" ca="1" si="3"/>
        <v>1.8560830300128645E-2</v>
      </c>
      <c r="G59" s="7">
        <f ca="1">$C$11/(1+D59)^1
 +$D$11/(1+D59)^2
 +$E$11/(1+D59)^3
 +$F$11/(1+D59)^4
 +$G$11/(1+D59)^5
 +$H$11/(1+D59)^6
 +$I$11/(1+D59)^7
 + ( $I$11*(1+F59)/(D59-F59) )/(1+D59)^7</f>
        <v>361.18133310110483</v>
      </c>
      <c r="H59" s="7">
        <f ca="1">(G59-$C$8)/$C$9</f>
        <v>1.977110657514161</v>
      </c>
    </row>
    <row r="60" spans="3:8" x14ac:dyDescent="0.35">
      <c r="C60" s="8">
        <f t="shared" ca="1" si="0"/>
        <v>0.55886182355373137</v>
      </c>
      <c r="D60" s="7">
        <f t="shared" ca="1" si="1"/>
        <v>9.1450396833676215E-2</v>
      </c>
      <c r="E60" s="7">
        <f t="shared" ca="1" si="2"/>
        <v>0.73759543963745589</v>
      </c>
      <c r="F60" s="7">
        <f t="shared" ca="1" si="3"/>
        <v>2.2755628938789178E-2</v>
      </c>
      <c r="G60" s="7">
        <f ca="1">$C$11/(1+D60)^1
 +$D$11/(1+D60)^2
 +$E$11/(1+D60)^3
 +$F$11/(1+D60)^4
 +$G$11/(1+D60)^5
 +$H$11/(1+D60)^6
 +$I$11/(1+D60)^7
 + ( $I$11*(1+F60)/(D60-F60) )/(1+D60)^7</f>
        <v>383.41529148727898</v>
      </c>
      <c r="H60" s="7">
        <f ca="1">(G60-$C$8)/$C$9</f>
        <v>2.102811462501577</v>
      </c>
    </row>
    <row r="61" spans="3:8" x14ac:dyDescent="0.35">
      <c r="C61" s="8">
        <f t="shared" ca="1" si="0"/>
        <v>0.15358612554936968</v>
      </c>
      <c r="D61" s="7">
        <f t="shared" ca="1" si="1"/>
        <v>8.1222326984653551E-2</v>
      </c>
      <c r="E61" s="7">
        <f t="shared" ca="1" si="2"/>
        <v>0.38549445430178908</v>
      </c>
      <c r="F61" s="7">
        <f t="shared" ca="1" si="3"/>
        <v>1.8780597409080876E-2</v>
      </c>
      <c r="G61" s="7">
        <f ca="1">$C$11/(1+D61)^1
 +$D$11/(1+D61)^2
 +$E$11/(1+D61)^3
 +$F$11/(1+D61)^4
 +$G$11/(1+D61)^5
 +$H$11/(1+D61)^6
 +$I$11/(1+D61)^7
 + ( $I$11*(1+F61)/(D61-F61) )/(1+D61)^7</f>
        <v>431.69381279799995</v>
      </c>
      <c r="H61" s="7">
        <f ca="1">(G61-$C$8)/$C$9</f>
        <v>2.3757565174016277</v>
      </c>
    </row>
    <row r="62" spans="3:8" x14ac:dyDescent="0.35">
      <c r="C62" s="8">
        <f t="shared" ca="1" si="0"/>
        <v>0.85443998104570229</v>
      </c>
      <c r="D62" s="7">
        <f t="shared" ca="1" si="1"/>
        <v>9.9344634460312858E-2</v>
      </c>
      <c r="E62" s="7">
        <f t="shared" ca="1" si="2"/>
        <v>0.10550743176612787</v>
      </c>
      <c r="F62" s="7">
        <f t="shared" ca="1" si="3"/>
        <v>1.4593635417969691E-2</v>
      </c>
      <c r="G62" s="7">
        <f ca="1">$C$11/(1+D62)^1
 +$D$11/(1+D62)^2
 +$E$11/(1+D62)^3
 +$F$11/(1+D62)^4
 +$G$11/(1+D62)^5
 +$H$11/(1+D62)^6
 +$I$11/(1+D62)^7
 + ( $I$11*(1+F62)/(D62-F62) )/(1+D62)^7</f>
        <v>319.89253443230308</v>
      </c>
      <c r="H62" s="7">
        <f ca="1">(G62-$C$8)/$C$9</f>
        <v>1.7436823520596056</v>
      </c>
    </row>
    <row r="63" spans="3:8" x14ac:dyDescent="0.35">
      <c r="C63" s="8">
        <f t="shared" ca="1" si="0"/>
        <v>0.14166076168217223</v>
      </c>
      <c r="D63" s="7">
        <f t="shared" ca="1" si="1"/>
        <v>8.0777839513528737E-2</v>
      </c>
      <c r="E63" s="7">
        <f t="shared" ca="1" si="2"/>
        <v>1.1877634823538874E-2</v>
      </c>
      <c r="F63" s="7">
        <f t="shared" ca="1" si="3"/>
        <v>1.1541274461187162E-2</v>
      </c>
      <c r="G63" s="7">
        <f ca="1">$C$11/(1+D63)^1
 +$D$11/(1+D63)^2
 +$E$11/(1+D63)^3
 +$F$11/(1+D63)^4
 +$G$11/(1+D63)^5
 +$H$11/(1+D63)^6
 +$I$11/(1+D63)^7
 + ( $I$11*(1+F63)/(D63-F63) )/(1+D63)^7</f>
        <v>401.52658517187984</v>
      </c>
      <c r="H63" s="7">
        <f ca="1">(G63-$C$8)/$C$9</f>
        <v>2.205204574694029</v>
      </c>
    </row>
    <row r="64" spans="3:8" x14ac:dyDescent="0.35">
      <c r="C64" s="8">
        <f t="shared" ca="1" si="0"/>
        <v>0.5319180816910698</v>
      </c>
      <c r="D64" s="7">
        <f t="shared" ca="1" si="1"/>
        <v>9.0892307928978816E-2</v>
      </c>
      <c r="E64" s="7">
        <f t="shared" ca="1" si="2"/>
        <v>0.44045626971962004</v>
      </c>
      <c r="F64" s="7">
        <f t="shared" ca="1" si="3"/>
        <v>1.9385694110928824E-2</v>
      </c>
      <c r="G64" s="7">
        <f ca="1">$C$11/(1+D64)^1
 +$D$11/(1+D64)^2
 +$E$11/(1+D64)^3
 +$F$11/(1+D64)^4
 +$G$11/(1+D64)^5
 +$H$11/(1+D64)^6
 +$I$11/(1+D64)^7
 + ( $I$11*(1+F64)/(D64-F64) )/(1+D64)^7</f>
        <v>373.73162747319168</v>
      </c>
      <c r="H64" s="7">
        <f ca="1">(G64-$C$8)/$C$9</f>
        <v>2.0480643796539555</v>
      </c>
    </row>
    <row r="65" spans="3:8" x14ac:dyDescent="0.35">
      <c r="C65" s="8">
        <f t="shared" ca="1" si="0"/>
        <v>0.85355315652967012</v>
      </c>
      <c r="D65" s="7">
        <f t="shared" ca="1" si="1"/>
        <v>9.9312224838309079E-2</v>
      </c>
      <c r="E65" s="7">
        <f t="shared" ca="1" si="2"/>
        <v>0.24531914894695284</v>
      </c>
      <c r="F65" s="7">
        <f t="shared" ca="1" si="3"/>
        <v>1.7004557786854967E-2</v>
      </c>
      <c r="G65" s="7">
        <f ca="1">$C$11/(1+D65)^1
 +$D$11/(1+D65)^2
 +$E$11/(1+D65)^3
 +$F$11/(1+D65)^4
 +$G$11/(1+D65)^5
 +$H$11/(1+D65)^6
 +$I$11/(1+D65)^7
 + ( $I$11*(1+F65)/(D65-F65) )/(1+D65)^7</f>
        <v>326.2022401971584</v>
      </c>
      <c r="H65" s="7">
        <f ca="1">(G65-$C$8)/$C$9</f>
        <v>1.7793545917975937</v>
      </c>
    </row>
    <row r="66" spans="3:8" x14ac:dyDescent="0.35">
      <c r="C66" s="8">
        <f t="shared" ca="1" si="0"/>
        <v>0.82338381057395471</v>
      </c>
      <c r="D66" s="7">
        <f t="shared" ca="1" si="1"/>
        <v>9.8262852656956404E-2</v>
      </c>
      <c r="E66" s="7">
        <f t="shared" ca="1" si="2"/>
        <v>0.10330039650488787</v>
      </c>
      <c r="F66" s="7">
        <f t="shared" ca="1" si="3"/>
        <v>1.4545335994288824E-2</v>
      </c>
      <c r="G66" s="7">
        <f ca="1">$C$11/(1+D66)^1
 +$D$11/(1+D66)^2
 +$E$11/(1+D66)^3
 +$F$11/(1+D66)^4
 +$G$11/(1+D66)^5
 +$H$11/(1+D66)^6
 +$I$11/(1+D66)^7
 + ( $I$11*(1+F66)/(D66-F66) )/(1+D66)^7</f>
        <v>324.12932351357551</v>
      </c>
      <c r="H66" s="7">
        <f ca="1">(G66-$C$8)/$C$9</f>
        <v>1.767635252790454</v>
      </c>
    </row>
    <row r="67" spans="3:8" x14ac:dyDescent="0.35">
      <c r="C67" s="8">
        <f t="shared" ca="1" si="0"/>
        <v>0.54800056532015251</v>
      </c>
      <c r="D67" s="7">
        <f t="shared" ca="1" si="1"/>
        <v>9.1223430583562901E-2</v>
      </c>
      <c r="E67" s="7">
        <f t="shared" ca="1" si="2"/>
        <v>0.83898019356697928</v>
      </c>
      <c r="F67" s="7">
        <f t="shared" ca="1" si="3"/>
        <v>2.4325146584571179E-2</v>
      </c>
      <c r="G67" s="7">
        <f ca="1">$C$11/(1+D67)^1
 +$D$11/(1+D67)^2
 +$E$11/(1+D67)^3
 +$F$11/(1+D67)^4
 +$G$11/(1+D67)^5
 +$H$11/(1+D67)^6
 +$I$11/(1+D67)^7
 + ( $I$11*(1+F67)/(D67-F67) )/(1+D67)^7</f>
        <v>391.13936481198135</v>
      </c>
      <c r="H67" s="7">
        <f ca="1">(G67-$C$8)/$C$9</f>
        <v>2.1464799005652497</v>
      </c>
    </row>
    <row r="68" spans="3:8" x14ac:dyDescent="0.35">
      <c r="C68" s="8">
        <f t="shared" ca="1" si="0"/>
        <v>3.5956447412230808E-2</v>
      </c>
      <c r="D68" s="7">
        <f t="shared" ca="1" si="1"/>
        <v>7.5429943542803121E-2</v>
      </c>
      <c r="E68" s="7">
        <f t="shared" ca="1" si="2"/>
        <v>0.72779793165006756</v>
      </c>
      <c r="F68" s="7">
        <f t="shared" ca="1" si="3"/>
        <v>2.2621625269072701E-2</v>
      </c>
      <c r="G68" s="7">
        <f ca="1">$C$11/(1+D68)^1
 +$D$11/(1+D68)^2
 +$E$11/(1+D68)^3
 +$F$11/(1+D68)^4
 +$G$11/(1+D68)^5
 +$H$11/(1+D68)^6
 +$I$11/(1+D68)^7
 + ( $I$11*(1+F68)/(D68-F68) )/(1+D68)^7</f>
        <v>503.81419021218443</v>
      </c>
      <c r="H68" s="7">
        <f ca="1">(G68-$C$8)/$C$9</f>
        <v>2.7834927081195411</v>
      </c>
    </row>
    <row r="69" spans="3:8" x14ac:dyDescent="0.35">
      <c r="C69" s="8">
        <f t="shared" ca="1" si="0"/>
        <v>0.59150535647346858</v>
      </c>
      <c r="D69" s="7">
        <f t="shared" ca="1" si="1"/>
        <v>9.214990694840236E-2</v>
      </c>
      <c r="E69" s="7">
        <f t="shared" ca="1" si="2"/>
        <v>0.24372384079339093</v>
      </c>
      <c r="F69" s="7">
        <f t="shared" ca="1" si="3"/>
        <v>1.6981745351892903E-2</v>
      </c>
      <c r="G69" s="7">
        <f ca="1">$C$11/(1+D69)^1
 +$D$11/(1+D69)^2
 +$E$11/(1+D69)^3
 +$F$11/(1+D69)^4
 +$G$11/(1+D69)^5
 +$H$11/(1+D69)^6
 +$I$11/(1+D69)^7
 + ( $I$11*(1+F69)/(D69-F69) )/(1+D69)^7</f>
        <v>358.8197419013029</v>
      </c>
      <c r="H69" s="7">
        <f ca="1">(G69-$C$8)/$C$9</f>
        <v>1.9637592825718164</v>
      </c>
    </row>
    <row r="70" spans="3:8" x14ac:dyDescent="0.35">
      <c r="C70" s="8">
        <f t="shared" ca="1" si="0"/>
        <v>0.46878220929374848</v>
      </c>
      <c r="D70" s="7">
        <f t="shared" ca="1" si="1"/>
        <v>8.9606157492504085E-2</v>
      </c>
      <c r="E70" s="7">
        <f t="shared" ca="1" si="2"/>
        <v>0.86194071562844654</v>
      </c>
      <c r="F70" s="7">
        <f t="shared" ca="1" si="3"/>
        <v>2.4745301447817326E-2</v>
      </c>
      <c r="G70" s="7">
        <f ca="1">$C$11/(1+D70)^1
 +$D$11/(1+D70)^2
 +$E$11/(1+D70)^3
 +$F$11/(1+D70)^4
 +$G$11/(1+D70)^5
 +$H$11/(1+D70)^6
 +$I$11/(1+D70)^7
 + ( $I$11*(1+F70)/(D70-F70) )/(1+D70)^7</f>
        <v>403.06243573864856</v>
      </c>
      <c r="H70" s="7">
        <f ca="1">(G70-$C$8)/$C$9</f>
        <v>2.2138875833256928</v>
      </c>
    </row>
    <row r="71" spans="3:8" x14ac:dyDescent="0.35">
      <c r="C71" s="8">
        <f t="shared" ca="1" si="0"/>
        <v>0.44549267270428661</v>
      </c>
      <c r="D71" s="7">
        <f t="shared" ca="1" si="1"/>
        <v>8.9112927342966469E-2</v>
      </c>
      <c r="E71" s="7">
        <f t="shared" ca="1" si="2"/>
        <v>0.27564230336803042</v>
      </c>
      <c r="F71" s="7">
        <f t="shared" ca="1" si="3"/>
        <v>1.7424854252684432E-2</v>
      </c>
      <c r="G71" s="7">
        <f ca="1">$C$11/(1+D71)^1
 +$D$11/(1+D71)^2
 +$E$11/(1+D71)^3
 +$F$11/(1+D71)^4
 +$G$11/(1+D71)^5
 +$H$11/(1+D71)^6
 +$I$11/(1+D71)^7
 + ( $I$11*(1+F71)/(D71-F71) )/(1+D71)^7</f>
        <v>376.27181486916925</v>
      </c>
      <c r="H71" s="7">
        <f ca="1">(G71-$C$8)/$C$9</f>
        <v>2.0624254571979264</v>
      </c>
    </row>
    <row r="72" spans="3:8" x14ac:dyDescent="0.35">
      <c r="C72" s="8">
        <f t="shared" ca="1" si="0"/>
        <v>0.42617169172405278</v>
      </c>
      <c r="D72" s="7">
        <f t="shared" ca="1" si="1"/>
        <v>8.8693870311247036E-2</v>
      </c>
      <c r="E72" s="7">
        <f t="shared" ca="1" si="2"/>
        <v>0.67442767863583741</v>
      </c>
      <c r="F72" s="7">
        <f t="shared" ca="1" si="3"/>
        <v>2.1930646601317272E-2</v>
      </c>
      <c r="G72" s="7">
        <f ca="1">$C$11/(1+D72)^1
 +$D$11/(1+D72)^2
 +$E$11/(1+D72)^3
 +$F$11/(1+D72)^4
 +$G$11/(1+D72)^5
 +$H$11/(1+D72)^6
 +$I$11/(1+D72)^7
 + ( $I$11*(1+F72)/(D72-F72) )/(1+D72)^7</f>
        <v>396.52844760473931</v>
      </c>
      <c r="H72" s="7">
        <f ca="1">(G72-$C$8)/$C$9</f>
        <v>2.1769473519037725</v>
      </c>
    </row>
    <row r="73" spans="3:8" x14ac:dyDescent="0.35">
      <c r="C73" s="8">
        <f t="shared" ca="1" si="0"/>
        <v>0.32552413342770692</v>
      </c>
      <c r="D73" s="7">
        <f t="shared" ca="1" si="1"/>
        <v>8.6337986087970567E-2</v>
      </c>
      <c r="E73" s="7">
        <f t="shared" ca="1" si="2"/>
        <v>0.70569423548433996</v>
      </c>
      <c r="F73" s="7">
        <f t="shared" ca="1" si="3"/>
        <v>2.2327897752041359E-2</v>
      </c>
      <c r="G73" s="7">
        <f ca="1">$C$11/(1+D73)^1
 +$D$11/(1+D73)^2
 +$E$11/(1+D73)^3
 +$F$11/(1+D73)^4
 +$G$11/(1+D73)^5
 +$H$11/(1+D73)^6
 +$I$11/(1+D73)^7
 + ( $I$11*(1+F73)/(D73-F73) )/(1+D73)^7</f>
        <v>413.45575529466754</v>
      </c>
      <c r="H73" s="7">
        <f ca="1">(G73-$C$8)/$C$9</f>
        <v>2.2726467395673198</v>
      </c>
    </row>
    <row r="74" spans="3:8" x14ac:dyDescent="0.35">
      <c r="C74" s="8">
        <f t="shared" ca="1" si="0"/>
        <v>0.20822109113050047</v>
      </c>
      <c r="D74" s="7">
        <f t="shared" ca="1" si="1"/>
        <v>8.3066801243112651E-2</v>
      </c>
      <c r="E74" s="7">
        <f t="shared" ca="1" si="2"/>
        <v>9.1793368673445452E-2</v>
      </c>
      <c r="F74" s="7">
        <f t="shared" ca="1" si="3"/>
        <v>1.4284702292422321E-2</v>
      </c>
      <c r="G74" s="7">
        <f ca="1">$C$11/(1+D74)^1
 +$D$11/(1+D74)^2
 +$E$11/(1+D74)^3
 +$F$11/(1+D74)^4
 +$G$11/(1+D74)^5
 +$H$11/(1+D74)^6
 +$I$11/(1+D74)^7
 + ( $I$11*(1+F74)/(D74-F74) )/(1+D74)^7</f>
        <v>398.93898059450851</v>
      </c>
      <c r="H74" s="7">
        <f ca="1">(G74-$C$8)/$C$9</f>
        <v>2.1905754217238154</v>
      </c>
    </row>
    <row r="75" spans="3:8" x14ac:dyDescent="0.35">
      <c r="C75" s="8">
        <f t="shared" ca="1" si="0"/>
        <v>0.50633658925911451</v>
      </c>
      <c r="D75" s="7">
        <f t="shared" ca="1" si="1"/>
        <v>9.0376358928730957E-2</v>
      </c>
      <c r="E75" s="7">
        <f t="shared" ca="1" si="2"/>
        <v>0.92175544127381004</v>
      </c>
      <c r="F75" s="7">
        <f t="shared" ca="1" si="3"/>
        <v>2.6044129457977929E-2</v>
      </c>
      <c r="G75" s="7">
        <f ca="1">$C$11/(1+D75)^1
 +$D$11/(1+D75)^2
 +$E$11/(1+D75)^3
 +$F$11/(1+D75)^4
 +$G$11/(1+D75)^5
 +$H$11/(1+D75)^6
 +$I$11/(1+D75)^7
 + ( $I$11*(1+F75)/(D75-F75) )/(1+D75)^7</f>
        <v>403.93724861156124</v>
      </c>
      <c r="H75" s="7">
        <f ca="1">(G75-$C$8)/$C$9</f>
        <v>2.2188333820192292</v>
      </c>
    </row>
    <row r="76" spans="3:8" x14ac:dyDescent="0.35">
      <c r="C76" s="8">
        <f t="shared" ca="1" si="0"/>
        <v>0.86491828986594443</v>
      </c>
      <c r="D76" s="7">
        <f t="shared" ca="1" si="1"/>
        <v>9.9735316180974531E-2</v>
      </c>
      <c r="E76" s="7">
        <f t="shared" ca="1" si="2"/>
        <v>0.38379904415477728</v>
      </c>
      <c r="F76" s="7">
        <f t="shared" ca="1" si="3"/>
        <v>1.876126753563407E-2</v>
      </c>
      <c r="G76" s="7">
        <f ca="1">$C$11/(1+D76)^1
 +$D$11/(1+D76)^2
 +$E$11/(1+D76)^3
 +$F$11/(1+D76)^4
 +$G$11/(1+D76)^5
 +$H$11/(1+D76)^6
 +$I$11/(1+D76)^7
 + ( $I$11*(1+F76)/(D76-F76) )/(1+D76)^7</f>
        <v>329.12647913727585</v>
      </c>
      <c r="H76" s="7">
        <f ca="1">(G76-$C$8)/$C$9</f>
        <v>1.7958869241139521</v>
      </c>
    </row>
    <row r="77" spans="3:8" x14ac:dyDescent="0.35">
      <c r="C77" s="8">
        <f t="shared" ca="1" si="0"/>
        <v>6.1629449771354095E-2</v>
      </c>
      <c r="D77" s="7">
        <f t="shared" ca="1" si="1"/>
        <v>7.7108878168354725E-2</v>
      </c>
      <c r="E77" s="7">
        <f t="shared" ca="1" si="2"/>
        <v>0.44678778479669212</v>
      </c>
      <c r="F77" s="7">
        <f t="shared" ca="1" si="3"/>
        <v>1.9452912617777571E-2</v>
      </c>
      <c r="G77" s="7">
        <f ca="1">$C$11/(1+D77)^1
 +$D$11/(1+D77)^2
 +$E$11/(1+D77)^3
 +$F$11/(1+D77)^4
 +$G$11/(1+D77)^5
 +$H$11/(1+D77)^6
 +$I$11/(1+D77)^7
 + ( $I$11*(1+F77)/(D77-F77) )/(1+D77)^7</f>
        <v>467.40984084818194</v>
      </c>
      <c r="H77" s="7">
        <f ca="1">(G77-$C$8)/$C$9</f>
        <v>2.5776788831308339</v>
      </c>
    </row>
    <row r="78" spans="3:8" x14ac:dyDescent="0.35">
      <c r="C78" s="8">
        <f t="shared" ca="1" si="0"/>
        <v>0.7512775571214465</v>
      </c>
      <c r="D78" s="7">
        <f t="shared" ca="1" si="1"/>
        <v>9.6071485885232705E-2</v>
      </c>
      <c r="E78" s="7">
        <f t="shared" ca="1" si="2"/>
        <v>0.5413871539872388</v>
      </c>
      <c r="F78" s="7">
        <f t="shared" ca="1" si="3"/>
        <v>2.0422809952676504E-2</v>
      </c>
      <c r="G78" s="7">
        <f ca="1">$C$11/(1+D78)^1
 +$D$11/(1+D78)^2
 +$E$11/(1+D78)^3
 +$F$11/(1+D78)^4
 +$G$11/(1+D78)^5
 +$H$11/(1+D78)^6
 +$I$11/(1+D78)^7
 + ( $I$11*(1+F78)/(D78-F78) )/(1+D78)^7</f>
        <v>350.65336647232039</v>
      </c>
      <c r="H78" s="7">
        <f ca="1">(G78-$C$8)/$C$9</f>
        <v>1.9175902672564471</v>
      </c>
    </row>
    <row r="79" spans="3:8" x14ac:dyDescent="0.35">
      <c r="C79" s="8">
        <f t="shared" ca="1" si="0"/>
        <v>0.5936631211993354</v>
      </c>
      <c r="D79" s="7">
        <f t="shared" ca="1" si="1"/>
        <v>9.219711356367967E-2</v>
      </c>
      <c r="E79" s="7">
        <f t="shared" ca="1" si="2"/>
        <v>0.42493662182665903</v>
      </c>
      <c r="F79" s="7">
        <f t="shared" ca="1" si="3"/>
        <v>1.9218856998854672E-2</v>
      </c>
      <c r="G79" s="7">
        <f ca="1">$C$11/(1+D79)^1
 +$D$11/(1+D79)^2
 +$E$11/(1+D79)^3
 +$F$11/(1+D79)^4
 +$G$11/(1+D79)^5
 +$H$11/(1+D79)^6
 +$I$11/(1+D79)^7
 + ( $I$11*(1+F79)/(D79-F79) )/(1+D79)^7</f>
        <v>366.15878445174837</v>
      </c>
      <c r="H79" s="7">
        <f ca="1">(G79-$C$8)/$C$9</f>
        <v>2.0052509297362526</v>
      </c>
    </row>
    <row r="80" spans="3:8" x14ac:dyDescent="0.35">
      <c r="C80" s="8">
        <f t="shared" ca="1" si="0"/>
        <v>0.39939767997503428</v>
      </c>
      <c r="D80" s="7">
        <f t="shared" ca="1" si="1"/>
        <v>8.8097129539778621E-2</v>
      </c>
      <c r="E80" s="7">
        <f t="shared" ca="1" si="2"/>
        <v>0.99187872967454471</v>
      </c>
      <c r="F80" s="7">
        <f t="shared" ca="1" si="3"/>
        <v>2.8725537734928547E-2</v>
      </c>
      <c r="G80" s="7">
        <f ca="1">$C$11/(1+D80)^1
 +$D$11/(1+D80)^2
 +$E$11/(1+D80)^3
 +$F$11/(1+D80)^4
 +$G$11/(1+D80)^5
 +$H$11/(1+D80)^6
 +$I$11/(1+D80)^7
 + ( $I$11*(1+F80)/(D80-F80) )/(1+D80)^7</f>
        <v>433.12754250998114</v>
      </c>
      <c r="H80" s="7">
        <f ca="1">(G80-$C$8)/$C$9</f>
        <v>2.3838621806308296</v>
      </c>
    </row>
    <row r="81" spans="3:8" x14ac:dyDescent="0.35">
      <c r="C81" s="8">
        <f t="shared" ref="C81:C144" ca="1" si="4">RAND()</f>
        <v>0.5160069554910155</v>
      </c>
      <c r="D81" s="7">
        <f t="shared" ref="D81:D144" ca="1" si="5">IF(C81&lt;(0.0905-0.07)/(0.11-0.07),
 0.07+SQRT(C81*(0.11-0.07)*(0.0905-0.07)),
 0.11-SQRT((1-C81)*(0.11-0.07)*(0.11-0.0905))
)</f>
        <v>9.0570265706474321E-2</v>
      </c>
      <c r="E81" s="7">
        <f t="shared" ref="E81:E144" ca="1" si="6">RAND()</f>
        <v>0.26532917835465597</v>
      </c>
      <c r="F81" s="7">
        <f t="shared" ref="F81:F144" ca="1" si="7">MIN(
 IF(E81&lt;(0.02-0.01)/(0.03-0.01),
   0.01+SQRT(E81*(0.03-0.01)*(0.02-0.01)),
   0.03-SQRT((1-E81)*(0.03-0.01)*(0.03-0.02))
 ),
 D81-0.005
)</f>
        <v>1.7284630098428552E-2</v>
      </c>
      <c r="G81" s="7">
        <f ca="1">$C$11/(1+D81)^1
 +$D$11/(1+D81)^2
 +$E$11/(1+D81)^3
 +$F$11/(1+D81)^4
 +$G$11/(1+D81)^5
 +$H$11/(1+D81)^6
 +$I$11/(1+D81)^7
 + ( $I$11*(1+F81)/(D81-F81) )/(1+D81)^7</f>
        <v>367.94349825582026</v>
      </c>
      <c r="H81" s="7">
        <f ca="1">(G81-$C$8)/$C$9</f>
        <v>2.0153408992301007</v>
      </c>
    </row>
    <row r="82" spans="3:8" x14ac:dyDescent="0.35">
      <c r="C82" s="8">
        <f t="shared" ca="1" si="4"/>
        <v>0.36641308414371065</v>
      </c>
      <c r="D82" s="7">
        <f t="shared" ca="1" si="5"/>
        <v>8.733374538286065E-2</v>
      </c>
      <c r="E82" s="7">
        <f t="shared" ca="1" si="6"/>
        <v>0.86799251315853132</v>
      </c>
      <c r="F82" s="7">
        <f t="shared" ca="1" si="7"/>
        <v>2.4861761258145577E-2</v>
      </c>
      <c r="G82" s="7">
        <f ca="1">$C$11/(1+D82)^1
 +$D$11/(1+D82)^2
 +$E$11/(1+D82)^3
 +$F$11/(1+D82)^4
 +$G$11/(1+D82)^5
 +$H$11/(1+D82)^6
 +$I$11/(1+D82)^7
 + ( $I$11*(1+F82)/(D82-F82) )/(1+D82)^7</f>
        <v>418.79525460758623</v>
      </c>
      <c r="H82" s="7">
        <f ca="1">(G82-$C$8)/$C$9</f>
        <v>2.302833868202093</v>
      </c>
    </row>
    <row r="83" spans="3:8" x14ac:dyDescent="0.35">
      <c r="C83" s="8">
        <f t="shared" ca="1" si="4"/>
        <v>0.55390977087427073</v>
      </c>
      <c r="D83" s="7">
        <f t="shared" ca="1" si="5"/>
        <v>9.1346571931195358E-2</v>
      </c>
      <c r="E83" s="7">
        <f t="shared" ca="1" si="6"/>
        <v>0.85534145901852165</v>
      </c>
      <c r="F83" s="7">
        <f t="shared" ca="1" si="7"/>
        <v>2.4621179664991992E-2</v>
      </c>
      <c r="G83" s="7">
        <f ca="1">$C$11/(1+D83)^1
 +$D$11/(1+D83)^2
 +$E$11/(1+D83)^3
 +$F$11/(1+D83)^4
 +$G$11/(1+D83)^5
 +$H$11/(1+D83)^6
 +$I$11/(1+D83)^7
 + ( $I$11*(1+F83)/(D83-F83) )/(1+D83)^7</f>
        <v>391.63006712094955</v>
      </c>
      <c r="H83" s="7">
        <f ca="1">(G83-$C$8)/$C$9</f>
        <v>2.1492541108149568</v>
      </c>
    </row>
    <row r="84" spans="3:8" x14ac:dyDescent="0.35">
      <c r="C84" s="8">
        <f t="shared" ca="1" si="4"/>
        <v>0.99063946248688295</v>
      </c>
      <c r="D84" s="7">
        <f t="shared" ca="1" si="5"/>
        <v>0.10729792315797065</v>
      </c>
      <c r="E84" s="7">
        <f t="shared" ca="1" si="6"/>
        <v>1.6604126663036678E-2</v>
      </c>
      <c r="F84" s="7">
        <f t="shared" ca="1" si="7"/>
        <v>1.1822313181812429E-2</v>
      </c>
      <c r="G84" s="7">
        <f ca="1">$C$11/(1+D84)^1
 +$D$11/(1+D84)^2
 +$E$11/(1+D84)^3
 +$F$11/(1+D84)^4
 +$G$11/(1+D84)^5
 +$H$11/(1+D84)^6
 +$I$11/(1+D84)^7
 + ( $I$11*(1+F84)/(D84-F84) )/(1+D84)^7</f>
        <v>285.62790716943215</v>
      </c>
      <c r="H84" s="7">
        <f ca="1">(G84-$C$8)/$C$9</f>
        <v>1.5499655538751251</v>
      </c>
    </row>
    <row r="85" spans="3:8" x14ac:dyDescent="0.35">
      <c r="C85" s="8">
        <f t="shared" ca="1" si="4"/>
        <v>0.84860367132741055</v>
      </c>
      <c r="D85" s="7">
        <f t="shared" ca="1" si="5"/>
        <v>9.913311744958013E-2</v>
      </c>
      <c r="E85" s="7">
        <f t="shared" ca="1" si="6"/>
        <v>0.65961565786048326</v>
      </c>
      <c r="F85" s="7">
        <f t="shared" ca="1" si="7"/>
        <v>2.1749129232141413E-2</v>
      </c>
      <c r="G85" s="7">
        <f ca="1">$C$11/(1+D85)^1
 +$D$11/(1+D85)^2
 +$E$11/(1+D85)^3
 +$F$11/(1+D85)^4
 +$G$11/(1+D85)^5
 +$H$11/(1+D85)^6
 +$I$11/(1+D85)^7
 + ( $I$11*(1+F85)/(D85-F85) )/(1+D85)^7</f>
        <v>340.30792307475144</v>
      </c>
      <c r="H85" s="7">
        <f ca="1">(G85-$C$8)/$C$9</f>
        <v>1.8591017812909962</v>
      </c>
    </row>
    <row r="86" spans="3:8" x14ac:dyDescent="0.35">
      <c r="C86" s="8">
        <f t="shared" ca="1" si="4"/>
        <v>0.4807536685396</v>
      </c>
      <c r="D86" s="7">
        <f t="shared" ca="1" si="5"/>
        <v>8.9854924029128702E-2</v>
      </c>
      <c r="E86" s="7">
        <f t="shared" ca="1" si="6"/>
        <v>0.15793244947233842</v>
      </c>
      <c r="F86" s="7">
        <f t="shared" ca="1" si="7"/>
        <v>1.5620185930595862E-2</v>
      </c>
      <c r="G86" s="7">
        <f ca="1">$C$11/(1+D86)^1
 +$D$11/(1+D86)^2
 +$E$11/(1+D86)^3
 +$F$11/(1+D86)^4
 +$G$11/(1+D86)^5
 +$H$11/(1+D86)^6
 +$I$11/(1+D86)^7
 + ( $I$11*(1+F86)/(D86-F86) )/(1+D86)^7</f>
        <v>365.92240997957202</v>
      </c>
      <c r="H86" s="7">
        <f ca="1">(G86-$C$8)/$C$9</f>
        <v>2.0039145747375171</v>
      </c>
    </row>
    <row r="87" spans="3:8" x14ac:dyDescent="0.35">
      <c r="C87" s="8">
        <f t="shared" ca="1" si="4"/>
        <v>0.29682517793934549</v>
      </c>
      <c r="D87" s="7">
        <f t="shared" ca="1" si="5"/>
        <v>8.5601174504192412E-2</v>
      </c>
      <c r="E87" s="7">
        <f t="shared" ca="1" si="6"/>
        <v>0.80971119411327808</v>
      </c>
      <c r="F87" s="7">
        <f t="shared" ca="1" si="7"/>
        <v>2.3830902725897055E-2</v>
      </c>
      <c r="G87" s="7">
        <f ca="1">$C$11/(1+D87)^1
 +$D$11/(1+D87)^2
 +$E$11/(1+D87)^3
 +$F$11/(1+D87)^4
 +$G$11/(1+D87)^5
 +$H$11/(1+D87)^6
 +$I$11/(1+D87)^7
 + ( $I$11*(1+F87)/(D87-F87) )/(1+D87)^7</f>
        <v>425.86466396309083</v>
      </c>
      <c r="H87" s="7">
        <f ca="1">(G87-$C$8)/$C$9</f>
        <v>2.3428011305014178</v>
      </c>
    </row>
    <row r="88" spans="3:8" x14ac:dyDescent="0.35">
      <c r="C88" s="8">
        <f t="shared" ca="1" si="4"/>
        <v>0.69599917370752329</v>
      </c>
      <c r="D88" s="7">
        <f t="shared" ca="1" si="5"/>
        <v>9.4601277828724489E-2</v>
      </c>
      <c r="E88" s="7">
        <f t="shared" ca="1" si="6"/>
        <v>0.25562849127205967</v>
      </c>
      <c r="F88" s="7">
        <f t="shared" ca="1" si="7"/>
        <v>1.7150223650656805E-2</v>
      </c>
      <c r="G88" s="7">
        <f ca="1">$C$11/(1+D88)^1
 +$D$11/(1+D88)^2
 +$E$11/(1+D88)^3
 +$F$11/(1+D88)^4
 +$G$11/(1+D88)^5
 +$H$11/(1+D88)^6
 +$I$11/(1+D88)^7
 + ( $I$11*(1+F88)/(D88-F88) )/(1+D88)^7</f>
        <v>347.46498067107535</v>
      </c>
      <c r="H88" s="7">
        <f ca="1">(G88-$C$8)/$C$9</f>
        <v>1.8995645673398651</v>
      </c>
    </row>
    <row r="89" spans="3:8" x14ac:dyDescent="0.35">
      <c r="C89" s="8">
        <f t="shared" ca="1" si="4"/>
        <v>0.89122673283951326</v>
      </c>
      <c r="D89" s="7">
        <f t="shared" ca="1" si="5"/>
        <v>0.10078896594376181</v>
      </c>
      <c r="E89" s="7">
        <f t="shared" ca="1" si="6"/>
        <v>0.50099805553573384</v>
      </c>
      <c r="F89" s="7">
        <f t="shared" ca="1" si="7"/>
        <v>2.0009985540908701E-2</v>
      </c>
      <c r="G89" s="7">
        <f ca="1">$C$11/(1+D89)^1
 +$D$11/(1+D89)^2
 +$E$11/(1+D89)^3
 +$F$11/(1+D89)^4
 +$G$11/(1+D89)^5
 +$H$11/(1+D89)^6
 +$I$11/(1+D89)^7
 + ( $I$11*(1+F89)/(D89-F89) )/(1+D89)^7</f>
        <v>328.03691561469623</v>
      </c>
      <c r="H89" s="7">
        <f ca="1">(G89-$C$8)/$C$9</f>
        <v>1.7897270217927195</v>
      </c>
    </row>
    <row r="90" spans="3:8" x14ac:dyDescent="0.35">
      <c r="C90" s="8">
        <f t="shared" ca="1" si="4"/>
        <v>0.52221910525413195</v>
      </c>
      <c r="D90" s="7">
        <f t="shared" ca="1" si="5"/>
        <v>9.0695360715574685E-2</v>
      </c>
      <c r="E90" s="7">
        <f t="shared" ca="1" si="6"/>
        <v>0.12751749561674008</v>
      </c>
      <c r="F90" s="7">
        <f t="shared" ca="1" si="7"/>
        <v>1.5050098922134894E-2</v>
      </c>
      <c r="G90" s="7">
        <f ca="1">$C$11/(1+D90)^1
 +$D$11/(1+D90)^2
 +$E$11/(1+D90)^3
 +$F$11/(1+D90)^4
 +$G$11/(1+D90)^5
 +$H$11/(1+D90)^6
 +$I$11/(1+D90)^7
 + ( $I$11*(1+F90)/(D90-F90) )/(1+D90)^7</f>
        <v>359.7464574263671</v>
      </c>
      <c r="H90" s="7">
        <f ca="1">(G90-$C$8)/$C$9</f>
        <v>1.9689985155267249</v>
      </c>
    </row>
    <row r="91" spans="3:8" x14ac:dyDescent="0.35">
      <c r="C91" s="8">
        <f t="shared" ca="1" si="4"/>
        <v>0.79504547808723114</v>
      </c>
      <c r="D91" s="7">
        <f t="shared" ca="1" si="5"/>
        <v>9.735624553022483E-2</v>
      </c>
      <c r="E91" s="7">
        <f t="shared" ca="1" si="6"/>
        <v>0.60059130187198673</v>
      </c>
      <c r="F91" s="7">
        <f t="shared" ca="1" si="7"/>
        <v>2.1062341490882375E-2</v>
      </c>
      <c r="G91" s="7">
        <f ca="1">$C$11/(1+D91)^1
 +$D$11/(1+D91)^2
 +$E$11/(1+D91)^3
 +$F$11/(1+D91)^4
 +$G$11/(1+D91)^5
 +$H$11/(1+D91)^6
 +$I$11/(1+D91)^7
 + ( $I$11*(1+F91)/(D91-F91) )/(1+D91)^7</f>
        <v>346.50660722551703</v>
      </c>
      <c r="H91" s="7">
        <f ca="1">(G91-$C$8)/$C$9</f>
        <v>1.8941463547349446</v>
      </c>
    </row>
    <row r="92" spans="3:8" x14ac:dyDescent="0.35">
      <c r="C92" s="8">
        <f t="shared" ca="1" si="4"/>
        <v>0.81014826081836222</v>
      </c>
      <c r="D92" s="7">
        <f t="shared" ca="1" si="5"/>
        <v>9.7831008399966848E-2</v>
      </c>
      <c r="E92" s="7">
        <f t="shared" ca="1" si="6"/>
        <v>0.16494495737462123</v>
      </c>
      <c r="F92" s="7">
        <f t="shared" ca="1" si="7"/>
        <v>1.5743604397495031E-2</v>
      </c>
      <c r="G92" s="7">
        <f ca="1">$C$11/(1+D92)^1
 +$D$11/(1+D92)^2
 +$E$11/(1+D92)^3
 +$F$11/(1+D92)^4
 +$G$11/(1+D92)^5
 +$H$11/(1+D92)^6
 +$I$11/(1+D92)^7
 + ( $I$11*(1+F92)/(D92-F92) )/(1+D92)^7</f>
        <v>329.05910454602451</v>
      </c>
      <c r="H92" s="7">
        <f ca="1">(G92-$C$8)/$C$9</f>
        <v>1.7955060184646341</v>
      </c>
    </row>
    <row r="93" spans="3:8" x14ac:dyDescent="0.35">
      <c r="C93" s="8">
        <f t="shared" ca="1" si="4"/>
        <v>0.37134197531176105</v>
      </c>
      <c r="D93" s="7">
        <f t="shared" ca="1" si="5"/>
        <v>8.7449940394042733E-2</v>
      </c>
      <c r="E93" s="7">
        <f t="shared" ca="1" si="6"/>
        <v>0.30318234230482832</v>
      </c>
      <c r="F93" s="7">
        <f t="shared" ca="1" si="7"/>
        <v>1.7786942176552082E-2</v>
      </c>
      <c r="G93" s="7">
        <f ca="1">$C$11/(1+D93)^1
 +$D$11/(1+D93)^2
 +$E$11/(1+D93)^3
 +$F$11/(1+D93)^4
 +$G$11/(1+D93)^5
 +$H$11/(1+D93)^6
 +$I$11/(1+D93)^7
 + ( $I$11*(1+F93)/(D93-F93) )/(1+D93)^7</f>
        <v>387.03318940757077</v>
      </c>
      <c r="H93" s="7">
        <f ca="1">(G93-$C$8)/$C$9</f>
        <v>2.1232654308433445</v>
      </c>
    </row>
    <row r="94" spans="3:8" x14ac:dyDescent="0.35">
      <c r="C94" s="8">
        <f t="shared" ca="1" si="4"/>
        <v>0.20783307403565654</v>
      </c>
      <c r="D94" s="7">
        <f t="shared" ca="1" si="5"/>
        <v>8.3054620665084011E-2</v>
      </c>
      <c r="E94" s="7">
        <f t="shared" ca="1" si="6"/>
        <v>0.28879547582955822</v>
      </c>
      <c r="F94" s="7">
        <f t="shared" ca="1" si="7"/>
        <v>1.7599940471208421E-2</v>
      </c>
      <c r="G94" s="7">
        <f ca="1">$C$11/(1+D94)^1
 +$D$11/(1+D94)^2
 +$E$11/(1+D94)^3
 +$F$11/(1+D94)^4
 +$G$11/(1+D94)^5
 +$H$11/(1+D94)^6
 +$I$11/(1+D94)^7
 + ( $I$11*(1+F94)/(D94-F94) )/(1+D94)^7</f>
        <v>413.40999791088962</v>
      </c>
      <c r="H94" s="7">
        <f ca="1">(G94-$C$8)/$C$9</f>
        <v>2.2723880478906016</v>
      </c>
    </row>
    <row r="95" spans="3:8" x14ac:dyDescent="0.35">
      <c r="C95" s="8">
        <f t="shared" ca="1" si="4"/>
        <v>4.8276062233556627E-2</v>
      </c>
      <c r="D95" s="7">
        <f t="shared" ca="1" si="5"/>
        <v>7.629177010319961E-2</v>
      </c>
      <c r="E95" s="7">
        <f t="shared" ca="1" si="6"/>
        <v>0.6259242931246769</v>
      </c>
      <c r="F95" s="7">
        <f t="shared" ca="1" si="7"/>
        <v>2.1350425364501175E-2</v>
      </c>
      <c r="G95" s="7">
        <f ca="1">$C$11/(1+D95)^1
 +$D$11/(1+D95)^2
 +$E$11/(1+D95)^3
 +$F$11/(1+D95)^4
 +$G$11/(1+D95)^5
 +$H$11/(1+D95)^6
 +$I$11/(1+D95)^7
 + ( $I$11*(1+F95)/(D95-F95) )/(1+D95)^7</f>
        <v>486.71256102831552</v>
      </c>
      <c r="H95" s="7">
        <f ca="1">(G95-$C$8)/$C$9</f>
        <v>2.6868077850990248</v>
      </c>
    </row>
    <row r="96" spans="3:8" x14ac:dyDescent="0.35">
      <c r="C96" s="8">
        <f t="shared" ca="1" si="4"/>
        <v>0.28483460041986453</v>
      </c>
      <c r="D96" s="7">
        <f t="shared" ca="1" si="5"/>
        <v>8.5282812972234168E-2</v>
      </c>
      <c r="E96" s="7">
        <f t="shared" ca="1" si="6"/>
        <v>0.88998837133896369</v>
      </c>
      <c r="F96" s="7">
        <f t="shared" ca="1" si="7"/>
        <v>2.5309336322842227E-2</v>
      </c>
      <c r="G96" s="7">
        <f ca="1">$C$11/(1+D96)^1
 +$D$11/(1+D96)^2
 +$E$11/(1+D96)^3
 +$F$11/(1+D96)^4
 +$G$11/(1+D96)^5
 +$H$11/(1+D96)^6
 +$I$11/(1+D96)^7
 + ( $I$11*(1+F96)/(D96-F96) )/(1+D96)^7</f>
        <v>435.89484678553993</v>
      </c>
      <c r="H96" s="7">
        <f ca="1">(G96-$C$8)/$C$9</f>
        <v>2.3995072749069419</v>
      </c>
    </row>
    <row r="97" spans="3:8" x14ac:dyDescent="0.35">
      <c r="C97" s="8">
        <f t="shared" ca="1" si="4"/>
        <v>0.50941662543601973</v>
      </c>
      <c r="D97" s="7">
        <f t="shared" ca="1" si="5"/>
        <v>9.0438239475491428E-2</v>
      </c>
      <c r="E97" s="7">
        <f t="shared" ca="1" si="6"/>
        <v>0.25424398245349955</v>
      </c>
      <c r="F97" s="7">
        <f t="shared" ca="1" si="7"/>
        <v>1.7130834207208852E-2</v>
      </c>
      <c r="G97" s="7">
        <f ca="1">$C$11/(1+D97)^1
 +$D$11/(1+D97)^2
 +$E$11/(1+D97)^3
 +$F$11/(1+D97)^4
 +$G$11/(1+D97)^5
 +$H$11/(1+D97)^6
 +$I$11/(1+D97)^7
 + ( $I$11*(1+F97)/(D97-F97) )/(1+D97)^7</f>
        <v>368.10022414252194</v>
      </c>
      <c r="H97" s="7">
        <f ca="1">(G97-$C$8)/$C$9</f>
        <v>2.0162269569342035</v>
      </c>
    </row>
    <row r="98" spans="3:8" x14ac:dyDescent="0.35">
      <c r="C98" s="8">
        <f t="shared" ca="1" si="4"/>
        <v>0.27211297436368909</v>
      </c>
      <c r="D98" s="7">
        <f t="shared" ca="1" si="5"/>
        <v>8.4937624944355278E-2</v>
      </c>
      <c r="E98" s="7">
        <f t="shared" ca="1" si="6"/>
        <v>8.1469424941991497E-2</v>
      </c>
      <c r="F98" s="7">
        <f t="shared" ca="1" si="7"/>
        <v>1.4036568466952877E-2</v>
      </c>
      <c r="G98" s="7">
        <f ca="1">$C$11/(1+D98)^1
 +$D$11/(1+D98)^2
 +$E$11/(1+D98)^3
 +$F$11/(1+D98)^4
 +$G$11/(1+D98)^5
 +$H$11/(1+D98)^6
 +$I$11/(1+D98)^7
 + ( $I$11*(1+F98)/(D98-F98) )/(1+D98)^7</f>
        <v>386.92112819146496</v>
      </c>
      <c r="H98" s="7">
        <f ca="1">(G98-$C$8)/$C$9</f>
        <v>2.1226318871068801</v>
      </c>
    </row>
    <row r="99" spans="3:8" x14ac:dyDescent="0.35">
      <c r="C99" s="8">
        <f t="shared" ca="1" si="4"/>
        <v>0.46245118043673228</v>
      </c>
      <c r="D99" s="7">
        <f t="shared" ca="1" si="5"/>
        <v>8.947331425202501E-2</v>
      </c>
      <c r="E99" s="7">
        <f t="shared" ca="1" si="6"/>
        <v>0.37033258528273605</v>
      </c>
      <c r="F99" s="7">
        <f t="shared" ca="1" si="7"/>
        <v>1.8606190623995451E-2</v>
      </c>
      <c r="G99" s="7">
        <f ca="1">$C$11/(1+D99)^1
 +$D$11/(1+D99)^2
 +$E$11/(1+D99)^3
 +$F$11/(1+D99)^4
 +$G$11/(1+D99)^5
 +$H$11/(1+D99)^6
 +$I$11/(1+D99)^7
 + ( $I$11*(1+F99)/(D99-F99) )/(1+D99)^7</f>
        <v>378.66907701090372</v>
      </c>
      <c r="H99" s="7">
        <f ca="1">(G99-$C$8)/$C$9</f>
        <v>2.0759784996093607</v>
      </c>
    </row>
    <row r="100" spans="3:8" x14ac:dyDescent="0.35">
      <c r="C100" s="8">
        <f t="shared" ca="1" si="4"/>
        <v>0.29418530066481208</v>
      </c>
      <c r="D100" s="7">
        <f t="shared" ca="1" si="5"/>
        <v>8.5531643394861537E-2</v>
      </c>
      <c r="E100" s="7">
        <f t="shared" ca="1" si="6"/>
        <v>0.70461482490916838</v>
      </c>
      <c r="F100" s="7">
        <f t="shared" ca="1" si="7"/>
        <v>2.2313841335350516E-2</v>
      </c>
      <c r="G100" s="7">
        <f ca="1">$C$11/(1+D100)^1
 +$D$11/(1+D100)^2
 +$E$11/(1+D100)^3
 +$F$11/(1+D100)^4
 +$G$11/(1+D100)^5
 +$H$11/(1+D100)^6
 +$I$11/(1+D100)^7
 + ( $I$11*(1+F100)/(D100-F100) )/(1+D100)^7</f>
        <v>418.86237520667487</v>
      </c>
      <c r="H100" s="7">
        <f ca="1">(G100-$C$8)/$C$9</f>
        <v>2.3032133378939101</v>
      </c>
    </row>
    <row r="101" spans="3:8" x14ac:dyDescent="0.35">
      <c r="C101" s="8">
        <f t="shared" ca="1" si="4"/>
        <v>0.83013627739335216</v>
      </c>
      <c r="D101" s="7">
        <f t="shared" ca="1" si="5"/>
        <v>9.848940906672532E-2</v>
      </c>
      <c r="E101" s="7">
        <f t="shared" ca="1" si="6"/>
        <v>0.83799980751922809</v>
      </c>
      <c r="F101" s="7">
        <f t="shared" ca="1" si="7"/>
        <v>2.430789683015545E-2</v>
      </c>
      <c r="G101" s="7">
        <f ca="1">$C$11/(1+D101)^1
 +$D$11/(1+D101)^2
 +$E$11/(1+D101)^3
 +$F$11/(1+D101)^4
 +$G$11/(1+D101)^5
 +$H$11/(1+D101)^6
 +$I$11/(1+D101)^7
 + ( $I$11*(1+F101)/(D101-F101) )/(1+D101)^7</f>
        <v>351.35901263643484</v>
      </c>
      <c r="H101" s="7">
        <f ca="1">(G101-$C$8)/$C$9</f>
        <v>1.9215796734307713</v>
      </c>
    </row>
    <row r="102" spans="3:8" x14ac:dyDescent="0.35">
      <c r="C102" s="8">
        <f t="shared" ca="1" si="4"/>
        <v>0.27200259060529519</v>
      </c>
      <c r="D102" s="7">
        <f t="shared" ca="1" si="5"/>
        <v>8.4934594882230388E-2</v>
      </c>
      <c r="E102" s="7">
        <f t="shared" ca="1" si="6"/>
        <v>0.94055253427092023</v>
      </c>
      <c r="F102" s="7">
        <f t="shared" ca="1" si="7"/>
        <v>2.6551885566600791E-2</v>
      </c>
      <c r="G102" s="7">
        <f ca="1">$C$11/(1+D102)^1
 +$D$11/(1+D102)^2
 +$E$11/(1+D102)^3
 +$F$11/(1+D102)^4
 +$G$11/(1+D102)^5
 +$H$11/(1+D102)^6
 +$I$11/(1+D102)^7
 + ( $I$11*(1+F102)/(D102-F102) )/(1+D102)^7</f>
        <v>445.43114084123124</v>
      </c>
      <c r="H102" s="7">
        <f ca="1">(G102-$C$8)/$C$9</f>
        <v>2.4534211942629534</v>
      </c>
    </row>
    <row r="103" spans="3:8" x14ac:dyDescent="0.35">
      <c r="C103" s="8">
        <f t="shared" ca="1" si="4"/>
        <v>0.46264644062030735</v>
      </c>
      <c r="D103" s="7">
        <f t="shared" ca="1" si="5"/>
        <v>8.9477424914722478E-2</v>
      </c>
      <c r="E103" s="7">
        <f t="shared" ca="1" si="6"/>
        <v>0.7975535660054599</v>
      </c>
      <c r="F103" s="7">
        <f t="shared" ca="1" si="7"/>
        <v>2.3636880733562508E-2</v>
      </c>
      <c r="G103" s="7">
        <f ca="1">$C$11/(1+D103)^1
 +$D$11/(1+D103)^2
 +$E$11/(1+D103)^3
 +$F$11/(1+D103)^4
 +$G$11/(1+D103)^5
 +$H$11/(1+D103)^6
 +$I$11/(1+D103)^7
 + ( $I$11*(1+F103)/(D103-F103) )/(1+D103)^7</f>
        <v>398.98629154286596</v>
      </c>
      <c r="H103" s="7">
        <f ca="1">(G103-$C$8)/$C$9</f>
        <v>2.1908428965562297</v>
      </c>
    </row>
    <row r="104" spans="3:8" x14ac:dyDescent="0.35">
      <c r="C104" s="8">
        <f t="shared" ca="1" si="4"/>
        <v>0.75508064698486654</v>
      </c>
      <c r="D104" s="7">
        <f t="shared" ca="1" si="5"/>
        <v>9.6178383041344115E-2</v>
      </c>
      <c r="E104" s="7">
        <f t="shared" ca="1" si="6"/>
        <v>0.61284398488706449</v>
      </c>
      <c r="F104" s="7">
        <f t="shared" ca="1" si="7"/>
        <v>2.1200499842457692E-2</v>
      </c>
      <c r="G104" s="7">
        <f ca="1">$C$11/(1+D104)^1
 +$D$11/(1+D104)^2
 +$E$11/(1+D104)^3
 +$F$11/(1+D104)^4
 +$G$11/(1+D104)^5
 +$H$11/(1+D104)^6
 +$I$11/(1+D104)^7
 + ( $I$11*(1+F104)/(D104-F104) )/(1+D104)^7</f>
        <v>352.62640403270098</v>
      </c>
      <c r="H104" s="7">
        <f ca="1">(G104-$C$8)/$C$9</f>
        <v>1.9287449346036916</v>
      </c>
    </row>
    <row r="105" spans="3:8" x14ac:dyDescent="0.35">
      <c r="C105" s="8">
        <f t="shared" ca="1" si="4"/>
        <v>0.79613538718824939</v>
      </c>
      <c r="D105" s="7">
        <f t="shared" ca="1" si="5"/>
        <v>9.7389908882440007E-2</v>
      </c>
      <c r="E105" s="7">
        <f t="shared" ca="1" si="6"/>
        <v>0.60869454963394609</v>
      </c>
      <c r="F105" s="7">
        <f t="shared" ca="1" si="7"/>
        <v>2.1153470167731826E-2</v>
      </c>
      <c r="G105" s="7">
        <f ca="1">$C$11/(1+D105)^1
 +$D$11/(1+D105)^2
 +$E$11/(1+D105)^3
 +$F$11/(1+D105)^4
 +$G$11/(1+D105)^5
 +$H$11/(1+D105)^6
 +$I$11/(1+D105)^7
 + ( $I$11*(1+F105)/(D105-F105) )/(1+D105)^7</f>
        <v>346.62995266439339</v>
      </c>
      <c r="H105" s="7">
        <f ca="1">(G105-$C$8)/$C$9</f>
        <v>1.894843694393902</v>
      </c>
    </row>
    <row r="106" spans="3:8" x14ac:dyDescent="0.35">
      <c r="C106" s="8">
        <f t="shared" ca="1" si="4"/>
        <v>0.32274949907660133</v>
      </c>
      <c r="D106" s="7">
        <f t="shared" ca="1" si="5"/>
        <v>8.6268207929664942E-2</v>
      </c>
      <c r="E106" s="7">
        <f t="shared" ca="1" si="6"/>
        <v>0.20387568018404256</v>
      </c>
      <c r="F106" s="7">
        <f t="shared" ca="1" si="7"/>
        <v>1.6385541170238313E-2</v>
      </c>
      <c r="G106" s="7">
        <f ca="1">$C$11/(1+D106)^1
 +$D$11/(1+D106)^2
 +$E$11/(1+D106)^3
 +$F$11/(1+D106)^4
 +$G$11/(1+D106)^5
 +$H$11/(1+D106)^6
 +$I$11/(1+D106)^7
 + ( $I$11*(1+F106)/(D106-F106) )/(1+D106)^7</f>
        <v>388.38574082361333</v>
      </c>
      <c r="H106" s="7">
        <f ca="1">(G106-$C$8)/$C$9</f>
        <v>2.1309121484826625</v>
      </c>
    </row>
    <row r="107" spans="3:8" x14ac:dyDescent="0.35">
      <c r="C107" s="8">
        <f t="shared" ca="1" si="4"/>
        <v>0.1399312382113802</v>
      </c>
      <c r="D107" s="7">
        <f t="shared" ca="1" si="5"/>
        <v>8.0711844627949558E-2</v>
      </c>
      <c r="E107" s="7">
        <f t="shared" ca="1" si="6"/>
        <v>2.9818192047096126E-2</v>
      </c>
      <c r="F107" s="7">
        <f t="shared" ca="1" si="7"/>
        <v>1.2442056184738433E-2</v>
      </c>
      <c r="G107" s="7">
        <f ca="1">$C$11/(1+D107)^1
 +$D$11/(1+D107)^2
 +$E$11/(1+D107)^3
 +$F$11/(1+D107)^4
 +$G$11/(1+D107)^5
 +$H$11/(1+D107)^6
 +$I$11/(1+D107)^7
 + ( $I$11*(1+F107)/(D107-F107) )/(1+D107)^7</f>
        <v>405.70634523367994</v>
      </c>
      <c r="H107" s="7">
        <f ca="1">(G107-$C$8)/$C$9</f>
        <v>2.2288350589873356</v>
      </c>
    </row>
    <row r="108" spans="3:8" x14ac:dyDescent="0.35">
      <c r="C108" s="8">
        <f t="shared" ca="1" si="4"/>
        <v>0.93956362363401935</v>
      </c>
      <c r="D108" s="7">
        <f t="shared" ca="1" si="5"/>
        <v>0.10313411523797079</v>
      </c>
      <c r="E108" s="7">
        <f t="shared" ca="1" si="6"/>
        <v>0.40788756458522912</v>
      </c>
      <c r="F108" s="7">
        <f t="shared" ca="1" si="7"/>
        <v>1.9032027065783507E-2</v>
      </c>
      <c r="G108" s="7">
        <f ca="1">$C$11/(1+D108)^1
 +$D$11/(1+D108)^2
 +$E$11/(1+D108)^3
 +$F$11/(1+D108)^4
 +$G$11/(1+D108)^5
 +$H$11/(1+D108)^6
 +$I$11/(1+D108)^7
 + ( $I$11*(1+F108)/(D108-F108) )/(1+D108)^7</f>
        <v>315.90081590735446</v>
      </c>
      <c r="H108" s="7">
        <f ca="1">(G108-$C$8)/$C$9</f>
        <v>1.7211149700777615</v>
      </c>
    </row>
    <row r="109" spans="3:8" x14ac:dyDescent="0.35">
      <c r="C109" s="8">
        <f t="shared" ca="1" si="4"/>
        <v>0.53375020445921739</v>
      </c>
      <c r="D109" s="7">
        <f t="shared" ca="1" si="5"/>
        <v>9.0929739369326634E-2</v>
      </c>
      <c r="E109" s="7">
        <f t="shared" ca="1" si="6"/>
        <v>5.0749419494470316E-2</v>
      </c>
      <c r="F109" s="7">
        <f t="shared" ca="1" si="7"/>
        <v>1.3185888243315208E-2</v>
      </c>
      <c r="G109" s="7">
        <f ca="1">$C$11/(1+D109)^1
 +$D$11/(1+D109)^2
 +$E$11/(1+D109)^3
 +$F$11/(1+D109)^4
 +$G$11/(1+D109)^5
 +$H$11/(1+D109)^6
 +$I$11/(1+D109)^7
 + ( $I$11*(1+F109)/(D109-F109) )/(1+D109)^7</f>
        <v>352.66548510124176</v>
      </c>
      <c r="H109" s="7">
        <f ca="1">(G109-$C$8)/$C$9</f>
        <v>1.9289658813955322</v>
      </c>
    </row>
    <row r="110" spans="3:8" x14ac:dyDescent="0.35">
      <c r="C110" s="8">
        <f t="shared" ca="1" si="4"/>
        <v>0.43416551476427745</v>
      </c>
      <c r="D110" s="7">
        <f t="shared" ca="1" si="5"/>
        <v>8.8868378894507799E-2</v>
      </c>
      <c r="E110" s="7">
        <f t="shared" ca="1" si="6"/>
        <v>1.7787921054265299E-2</v>
      </c>
      <c r="F110" s="7">
        <f t="shared" ca="1" si="7"/>
        <v>1.1886155934925069E-2</v>
      </c>
      <c r="G110" s="7">
        <f ca="1">$C$11/(1+D110)^1
 +$D$11/(1+D110)^2
 +$E$11/(1+D110)^3
 +$F$11/(1+D110)^4
 +$G$11/(1+D110)^5
 +$H$11/(1+D110)^6
 +$I$11/(1+D110)^7
 + ( $I$11*(1+F110)/(D110-F110) )/(1+D110)^7</f>
        <v>358.555142597805</v>
      </c>
      <c r="H110" s="7">
        <f ca="1">(G110-$C$8)/$C$9</f>
        <v>1.9622633570658354</v>
      </c>
    </row>
    <row r="111" spans="3:8" x14ac:dyDescent="0.35">
      <c r="C111" s="8">
        <f t="shared" ca="1" si="4"/>
        <v>0.48791428802050674</v>
      </c>
      <c r="D111" s="7">
        <f t="shared" ca="1" si="5"/>
        <v>9.0002242778668987E-2</v>
      </c>
      <c r="E111" s="7">
        <f t="shared" ca="1" si="6"/>
        <v>0.54722648733629864</v>
      </c>
      <c r="F111" s="7">
        <f t="shared" ca="1" si="7"/>
        <v>2.0483976537821049E-2</v>
      </c>
      <c r="G111" s="7">
        <f ca="1">$C$11/(1+D111)^1
 +$D$11/(1+D111)^2
 +$E$11/(1+D111)^3
 +$F$11/(1+D111)^4
 +$G$11/(1+D111)^5
 +$H$11/(1+D111)^6
 +$I$11/(1+D111)^7
 + ( $I$11*(1+F111)/(D111-F111) )/(1+D111)^7</f>
        <v>382.85720575314645</v>
      </c>
      <c r="H111" s="7">
        <f ca="1">(G111-$C$8)/$C$9</f>
        <v>2.0996562966595795</v>
      </c>
    </row>
    <row r="112" spans="3:8" x14ac:dyDescent="0.35">
      <c r="C112" s="8">
        <f t="shared" ca="1" si="4"/>
        <v>0.93527891254571516</v>
      </c>
      <c r="D112" s="7">
        <f t="shared" ca="1" si="5"/>
        <v>0.10289489984487607</v>
      </c>
      <c r="E112" s="7">
        <f t="shared" ca="1" si="6"/>
        <v>0.28638633996419083</v>
      </c>
      <c r="F112" s="7">
        <f t="shared" ca="1" si="7"/>
        <v>1.756817468038616E-2</v>
      </c>
      <c r="G112" s="7">
        <f ca="1">$C$11/(1+D112)^1
 +$D$11/(1+D112)^2
 +$E$11/(1+D112)^3
 +$F$11/(1+D112)^4
 +$G$11/(1+D112)^5
 +$H$11/(1+D112)^6
 +$I$11/(1+D112)^7
 + ( $I$11*(1+F112)/(D112-F112) )/(1+D112)^7</f>
        <v>313.26010585712635</v>
      </c>
      <c r="H112" s="7">
        <f ca="1">(G112-$C$8)/$C$9</f>
        <v>1.7061855826386609</v>
      </c>
    </row>
    <row r="113" spans="3:8" x14ac:dyDescent="0.35">
      <c r="C113" s="8">
        <f t="shared" ca="1" si="4"/>
        <v>0.57218775350655815</v>
      </c>
      <c r="D113" s="7">
        <f t="shared" ca="1" si="5"/>
        <v>9.1732719078503097E-2</v>
      </c>
      <c r="E113" s="7">
        <f t="shared" ca="1" si="6"/>
        <v>0.80663314606664427</v>
      </c>
      <c r="F113" s="7">
        <f t="shared" ca="1" si="7"/>
        <v>2.3781208253473095E-2</v>
      </c>
      <c r="G113" s="7">
        <f ca="1">$C$11/(1+D113)^1
 +$D$11/(1+D113)^2
 +$E$11/(1+D113)^3
 +$F$11/(1+D113)^4
 +$G$11/(1+D113)^5
 +$H$11/(1+D113)^6
 +$I$11/(1+D113)^7
 + ( $I$11*(1+F113)/(D113-F113) )/(1+D113)^7</f>
        <v>385.86143845954098</v>
      </c>
      <c r="H113" s="7">
        <f ca="1">(G113-$C$8)/$C$9</f>
        <v>2.1166408777676446</v>
      </c>
    </row>
    <row r="114" spans="3:8" x14ac:dyDescent="0.35">
      <c r="C114" s="8">
        <f t="shared" ca="1" si="4"/>
        <v>0.75317503846873046</v>
      </c>
      <c r="D114" s="7">
        <f t="shared" ca="1" si="5"/>
        <v>9.6124717300379414E-2</v>
      </c>
      <c r="E114" s="7">
        <f t="shared" ca="1" si="6"/>
        <v>0.50292949731433889</v>
      </c>
      <c r="F114" s="7">
        <f t="shared" ca="1" si="7"/>
        <v>2.0029338009082236E-2</v>
      </c>
      <c r="G114" s="7">
        <f ca="1">$C$11/(1+D114)^1
 +$D$11/(1+D114)^2
 +$E$11/(1+D114)^3
 +$F$11/(1+D114)^4
 +$G$11/(1+D114)^5
 +$H$11/(1+D114)^6
 +$I$11/(1+D114)^7
 + ( $I$11*(1+F114)/(D114-F114) )/(1+D114)^7</f>
        <v>349.15335705669338</v>
      </c>
      <c r="H114" s="7">
        <f ca="1">(G114-$C$8)/$C$9</f>
        <v>1.9091098883802202</v>
      </c>
    </row>
    <row r="115" spans="3:8" x14ac:dyDescent="0.35">
      <c r="C115" s="8">
        <f t="shared" ca="1" si="4"/>
        <v>7.6703907470671573E-2</v>
      </c>
      <c r="D115" s="7">
        <f t="shared" ca="1" si="5"/>
        <v>7.7930775758143125E-2</v>
      </c>
      <c r="E115" s="7">
        <f t="shared" ca="1" si="6"/>
        <v>0.58842179074280143</v>
      </c>
      <c r="F115" s="7">
        <f t="shared" ca="1" si="7"/>
        <v>2.0927203195737286E-2</v>
      </c>
      <c r="G115" s="7">
        <f ca="1">$C$11/(1+D115)^1
 +$D$11/(1+D115)^2
 +$E$11/(1+D115)^3
 +$F$11/(1+D115)^4
 +$G$11/(1+D115)^5
 +$H$11/(1+D115)^6
 +$I$11/(1+D115)^7
 + ( $I$11*(1+F115)/(D115-F115) )/(1+D115)^7</f>
        <v>469.491393423548</v>
      </c>
      <c r="H115" s="7">
        <f ca="1">(G115-$C$8)/$C$9</f>
        <v>2.5894470455876752</v>
      </c>
    </row>
    <row r="116" spans="3:8" x14ac:dyDescent="0.35">
      <c r="C116" s="8">
        <f t="shared" ca="1" si="4"/>
        <v>0.96281449980421296</v>
      </c>
      <c r="D116" s="7">
        <f t="shared" ca="1" si="5"/>
        <v>0.10461439974072398</v>
      </c>
      <c r="E116" s="7">
        <f t="shared" ca="1" si="6"/>
        <v>0.38906141700441199</v>
      </c>
      <c r="F116" s="7">
        <f t="shared" ca="1" si="7"/>
        <v>1.8821127104904585E-2</v>
      </c>
      <c r="G116" s="7">
        <f ca="1">$C$11/(1+D116)^1
 +$D$11/(1+D116)^2
 +$E$11/(1+D116)^3
 +$F$11/(1+D116)^4
 +$G$11/(1+D116)^5
 +$H$11/(1+D116)^6
 +$I$11/(1+D116)^7
 + ( $I$11*(1+F116)/(D116-F116) )/(1+D116)^7</f>
        <v>309.6696657535532</v>
      </c>
      <c r="H116" s="7">
        <f ca="1">(G116-$C$8)/$C$9</f>
        <v>1.6858868484484011</v>
      </c>
    </row>
    <row r="117" spans="3:8" x14ac:dyDescent="0.35">
      <c r="C117" s="8">
        <f t="shared" ca="1" si="4"/>
        <v>0.20514760399959953</v>
      </c>
      <c r="D117" s="7">
        <f t="shared" ca="1" si="5"/>
        <v>8.2970005215098092E-2</v>
      </c>
      <c r="E117" s="7">
        <f t="shared" ca="1" si="6"/>
        <v>0.76913326445553154</v>
      </c>
      <c r="F117" s="7">
        <f t="shared" ca="1" si="7"/>
        <v>2.3204902715273777E-2</v>
      </c>
      <c r="G117" s="7">
        <f ca="1">$C$11/(1+D117)^1
 +$D$11/(1+D117)^2
 +$E$11/(1+D117)^3
 +$F$11/(1+D117)^4
 +$G$11/(1+D117)^5
 +$H$11/(1+D117)^6
 +$I$11/(1+D117)^7
 + ( $I$11*(1+F117)/(D117-F117) )/(1+D117)^7</f>
        <v>442.02526966460397</v>
      </c>
      <c r="H117" s="7">
        <f ca="1">(G117-$C$8)/$C$9</f>
        <v>2.4341659298089322</v>
      </c>
    </row>
    <row r="118" spans="3:8" x14ac:dyDescent="0.35">
      <c r="C118" s="8">
        <f t="shared" ca="1" si="4"/>
        <v>0.5450051898547309</v>
      </c>
      <c r="D118" s="7">
        <f t="shared" ca="1" si="5"/>
        <v>9.1161317670460346E-2</v>
      </c>
      <c r="E118" s="7">
        <f t="shared" ca="1" si="6"/>
        <v>0.93274897176308291</v>
      </c>
      <c r="F118" s="7">
        <f t="shared" ca="1" si="7"/>
        <v>2.6332547798895885E-2</v>
      </c>
      <c r="G118" s="7">
        <f ca="1">$C$11/(1+D118)^1
 +$D$11/(1+D118)^2
 +$E$11/(1+D118)^3
 +$F$11/(1+D118)^4
 +$G$11/(1+D118)^5
 +$H$11/(1+D118)^6
 +$I$11/(1+D118)^7
 + ( $I$11*(1+F118)/(D118-F118) )/(1+D118)^7</f>
        <v>400.17645180938047</v>
      </c>
      <c r="H118" s="7">
        <f ca="1">(G118-$C$8)/$C$9</f>
        <v>2.1975715276423591</v>
      </c>
    </row>
    <row r="119" spans="3:8" x14ac:dyDescent="0.35">
      <c r="C119" s="8">
        <f t="shared" ca="1" si="4"/>
        <v>0.7060344894149343</v>
      </c>
      <c r="D119" s="7">
        <f t="shared" ca="1" si="5"/>
        <v>9.4857572907345686E-2</v>
      </c>
      <c r="E119" s="7">
        <f t="shared" ca="1" si="6"/>
        <v>0.93926236335783675</v>
      </c>
      <c r="F119" s="7">
        <f t="shared" ca="1" si="7"/>
        <v>2.6514669695935168E-2</v>
      </c>
      <c r="G119" s="7">
        <f ca="1">$C$11/(1+D119)^1
 +$D$11/(1+D119)^2
 +$E$11/(1+D119)^3
 +$F$11/(1+D119)^4
 +$G$11/(1+D119)^5
 +$H$11/(1+D119)^6
 +$I$11/(1+D119)^7
 + ( $I$11*(1+F119)/(D119-F119) )/(1+D119)^7</f>
        <v>378.56180861744235</v>
      </c>
      <c r="H119" s="7">
        <f ca="1">(G119-$C$8)/$C$9</f>
        <v>2.0753720523374173</v>
      </c>
    </row>
    <row r="120" spans="3:8" x14ac:dyDescent="0.35">
      <c r="C120" s="8">
        <f t="shared" ca="1" si="4"/>
        <v>0.29536291460713593</v>
      </c>
      <c r="D120" s="7">
        <f t="shared" ca="1" si="5"/>
        <v>8.5562698672719054E-2</v>
      </c>
      <c r="E120" s="7">
        <f t="shared" ca="1" si="6"/>
        <v>0.8374453006359438</v>
      </c>
      <c r="F120" s="7">
        <f t="shared" ca="1" si="7"/>
        <v>2.4298163464916655E-2</v>
      </c>
      <c r="G120" s="7">
        <f ca="1">$C$11/(1+D120)^1
 +$D$11/(1+D120)^2
 +$E$11/(1+D120)^3
 +$F$11/(1+D120)^4
 +$G$11/(1+D120)^5
 +$H$11/(1+D120)^6
 +$I$11/(1+D120)^7
 + ( $I$11*(1+F120)/(D120-F120) )/(1+D120)^7</f>
        <v>428.52135603846511</v>
      </c>
      <c r="H120" s="7">
        <f ca="1">(G120-$C$8)/$C$9</f>
        <v>2.3578208731256507</v>
      </c>
    </row>
    <row r="121" spans="3:8" x14ac:dyDescent="0.35">
      <c r="C121" s="8">
        <f t="shared" ca="1" si="4"/>
        <v>0.66306303217441764</v>
      </c>
      <c r="D121" s="7">
        <f t="shared" ca="1" si="5"/>
        <v>9.3788558518627829E-2</v>
      </c>
      <c r="E121" s="7">
        <f t="shared" ca="1" si="6"/>
        <v>0.64645748323880436</v>
      </c>
      <c r="F121" s="7">
        <f t="shared" ca="1" si="7"/>
        <v>2.1591165160841894E-2</v>
      </c>
      <c r="G121" s="7">
        <f ca="1">$C$11/(1+D121)^1
 +$D$11/(1+D121)^2
 +$E$11/(1+D121)^3
 +$F$11/(1+D121)^4
 +$G$11/(1+D121)^5
 +$H$11/(1+D121)^6
 +$I$11/(1+D121)^7
 + ( $I$11*(1+F121)/(D121-F121) )/(1+D121)^7</f>
        <v>366.11649354998718</v>
      </c>
      <c r="H121" s="7">
        <f ca="1">(G121-$C$8)/$C$9</f>
        <v>2.0050118359904294</v>
      </c>
    </row>
    <row r="122" spans="3:8" x14ac:dyDescent="0.35">
      <c r="C122" s="8">
        <f t="shared" ca="1" si="4"/>
        <v>0.56783130319154695</v>
      </c>
      <c r="D122" s="7">
        <f t="shared" ca="1" si="5"/>
        <v>9.1639945982906437E-2</v>
      </c>
      <c r="E122" s="7">
        <f t="shared" ca="1" si="6"/>
        <v>0.38203670501847764</v>
      </c>
      <c r="F122" s="7">
        <f t="shared" ca="1" si="7"/>
        <v>1.8741129275081998E-2</v>
      </c>
      <c r="G122" s="7">
        <f ca="1">$C$11/(1+D122)^1
 +$D$11/(1+D122)^2
 +$E$11/(1+D122)^3
 +$F$11/(1+D122)^4
 +$G$11/(1+D122)^5
 +$H$11/(1+D122)^6
 +$I$11/(1+D122)^7
 + ( $I$11*(1+F122)/(D122-F122) )/(1+D122)^7</f>
        <v>367.41433733619021</v>
      </c>
      <c r="H122" s="7">
        <f ca="1">(G122-$C$8)/$C$9</f>
        <v>2.012349261285562</v>
      </c>
    </row>
    <row r="123" spans="3:8" x14ac:dyDescent="0.35">
      <c r="C123" s="8">
        <f t="shared" ca="1" si="4"/>
        <v>0.68851727252954609</v>
      </c>
      <c r="D123" s="7">
        <f t="shared" ca="1" si="5"/>
        <v>9.4412937177679873E-2</v>
      </c>
      <c r="E123" s="7">
        <f t="shared" ca="1" si="6"/>
        <v>0.34667024964115556</v>
      </c>
      <c r="F123" s="7">
        <f t="shared" ca="1" si="7"/>
        <v>1.8326707027885102E-2</v>
      </c>
      <c r="G123" s="7">
        <f ca="1">$C$11/(1+D123)^1
 +$D$11/(1+D123)^2
 +$E$11/(1+D123)^3
 +$F$11/(1+D123)^4
 +$G$11/(1+D123)^5
 +$H$11/(1+D123)^6
 +$I$11/(1+D123)^7
 + ( $I$11*(1+F123)/(D123-F123) )/(1+D123)^7</f>
        <v>352.02774352376184</v>
      </c>
      <c r="H123" s="7">
        <f ca="1">(G123-$C$8)/$C$9</f>
        <v>1.9253603772261523</v>
      </c>
    </row>
    <row r="124" spans="3:8" x14ac:dyDescent="0.35">
      <c r="C124" s="8">
        <f t="shared" ca="1" si="4"/>
        <v>0.83546796055010919</v>
      </c>
      <c r="D124" s="7">
        <f t="shared" ca="1" si="5"/>
        <v>9.8671496534364536E-2</v>
      </c>
      <c r="E124" s="7">
        <f t="shared" ca="1" si="6"/>
        <v>0.69676586708832067</v>
      </c>
      <c r="F124" s="7">
        <f t="shared" ca="1" si="7"/>
        <v>2.2212392756286701E-2</v>
      </c>
      <c r="G124" s="7">
        <f ca="1">$C$11/(1+D124)^1
 +$D$11/(1+D124)^2
 +$E$11/(1+D124)^3
 +$F$11/(1+D124)^4
 +$G$11/(1+D124)^5
 +$H$11/(1+D124)^6
 +$I$11/(1+D124)^7
 + ( $I$11*(1+F124)/(D124-F124) )/(1+D124)^7</f>
        <v>343.85280511920973</v>
      </c>
      <c r="H124" s="7">
        <f ca="1">(G124-$C$8)/$C$9</f>
        <v>1.8791429506965724</v>
      </c>
    </row>
    <row r="125" spans="3:8" x14ac:dyDescent="0.35">
      <c r="C125" s="8">
        <f t="shared" ca="1" si="4"/>
        <v>0.74388558259382509</v>
      </c>
      <c r="D125" s="7">
        <f t="shared" ca="1" si="5"/>
        <v>9.5866025131732535E-2</v>
      </c>
      <c r="E125" s="7">
        <f t="shared" ca="1" si="6"/>
        <v>0.71138541440152459</v>
      </c>
      <c r="F125" s="7">
        <f t="shared" ca="1" si="7"/>
        <v>2.2402440054879784E-2</v>
      </c>
      <c r="G125" s="7">
        <f ca="1">$C$11/(1+D125)^1
 +$D$11/(1+D125)^2
 +$E$11/(1+D125)^3
 +$F$11/(1+D125)^4
 +$G$11/(1+D125)^5
 +$H$11/(1+D125)^6
 +$I$11/(1+D125)^7
 + ( $I$11*(1+F125)/(D125-F125) )/(1+D125)^7</f>
        <v>358.15729990407425</v>
      </c>
      <c r="H125" s="7">
        <f ca="1">(G125-$C$8)/$C$9</f>
        <v>1.9600141333337531</v>
      </c>
    </row>
    <row r="126" spans="3:8" x14ac:dyDescent="0.35">
      <c r="C126" s="8">
        <f t="shared" ca="1" si="4"/>
        <v>0.71024348362200596</v>
      </c>
      <c r="D126" s="7">
        <f t="shared" ca="1" si="5"/>
        <v>9.4966368277264623E-2</v>
      </c>
      <c r="E126" s="7">
        <f t="shared" ca="1" si="6"/>
        <v>0.79363619037795285</v>
      </c>
      <c r="F126" s="7">
        <f t="shared" ca="1" si="7"/>
        <v>2.3575611941639155E-2</v>
      </c>
      <c r="G126" s="7">
        <f ca="1">$C$11/(1+D126)^1
 +$D$11/(1+D126)^2
 +$E$11/(1+D126)^3
 +$F$11/(1+D126)^4
 +$G$11/(1+D126)^5
 +$H$11/(1+D126)^6
 +$I$11/(1+D126)^7
 + ( $I$11*(1+F126)/(D126-F126) )/(1+D126)^7</f>
        <v>366.92884948616899</v>
      </c>
      <c r="H126" s="7">
        <f ca="1">(G126-$C$8)/$C$9</f>
        <v>2.0096045312424748</v>
      </c>
    </row>
    <row r="127" spans="3:8" x14ac:dyDescent="0.35">
      <c r="C127" s="8">
        <f t="shared" ca="1" si="4"/>
        <v>0.87956938804231632</v>
      </c>
      <c r="D127" s="7">
        <f t="shared" ca="1" si="5"/>
        <v>0.10030794772367621</v>
      </c>
      <c r="E127" s="7">
        <f t="shared" ca="1" si="6"/>
        <v>0.46273394937839885</v>
      </c>
      <c r="F127" s="7">
        <f t="shared" ca="1" si="7"/>
        <v>1.9620124213110754E-2</v>
      </c>
      <c r="G127" s="7">
        <f ca="1">$C$11/(1+D127)^1
 +$D$11/(1+D127)^2
 +$E$11/(1+D127)^3
 +$F$11/(1+D127)^4
 +$G$11/(1+D127)^5
 +$H$11/(1+D127)^6
 +$I$11/(1+D127)^7
 + ( $I$11*(1+F127)/(D127-F127) )/(1+D127)^7</f>
        <v>329.02452561525649</v>
      </c>
      <c r="H127" s="7">
        <f ca="1">(G127-$C$8)/$C$9</f>
        <v>1.795310524735733</v>
      </c>
    </row>
    <row r="128" spans="3:8" x14ac:dyDescent="0.35">
      <c r="C128" s="8">
        <f t="shared" ca="1" si="4"/>
        <v>0.52819113733223721</v>
      </c>
      <c r="D128" s="7">
        <f t="shared" ca="1" si="5"/>
        <v>9.0816389472238163E-2</v>
      </c>
      <c r="E128" s="7">
        <f t="shared" ca="1" si="6"/>
        <v>0.6216785510619075</v>
      </c>
      <c r="F128" s="7">
        <f t="shared" ca="1" si="7"/>
        <v>2.1301477723910889E-2</v>
      </c>
      <c r="G128" s="7">
        <f ca="1">$C$11/(1+D128)^1
 +$D$11/(1+D128)^2
 +$E$11/(1+D128)^3
 +$F$11/(1+D128)^4
 +$G$11/(1+D128)^5
 +$H$11/(1+D128)^6
 +$I$11/(1+D128)^7
 + ( $I$11*(1+F128)/(D128-F128) )/(1+D128)^7</f>
        <v>381.37179067307579</v>
      </c>
      <c r="H128" s="7">
        <f ca="1">(G128-$C$8)/$C$9</f>
        <v>2.0912584275954083</v>
      </c>
    </row>
    <row r="129" spans="3:8" x14ac:dyDescent="0.35">
      <c r="C129" s="8">
        <f t="shared" ca="1" si="4"/>
        <v>0.32390357118152258</v>
      </c>
      <c r="D129" s="7">
        <f t="shared" ca="1" si="5"/>
        <v>8.6297267512342318E-2</v>
      </c>
      <c r="E129" s="7">
        <f t="shared" ca="1" si="6"/>
        <v>0.91106211147321881</v>
      </c>
      <c r="F129" s="7">
        <f t="shared" ca="1" si="7"/>
        <v>2.5782467818100702E-2</v>
      </c>
      <c r="G129" s="7">
        <f ca="1">$C$11/(1+D129)^1
 +$D$11/(1+D129)^2
 +$E$11/(1+D129)^3
 +$F$11/(1+D129)^4
 +$G$11/(1+D129)^5
 +$H$11/(1+D129)^6
 +$I$11/(1+D129)^7
 + ( $I$11*(1+F129)/(D129-F129) )/(1+D129)^7</f>
        <v>430.86322466895376</v>
      </c>
      <c r="H129" s="7">
        <f ca="1">(G129-$C$8)/$C$9</f>
        <v>2.3710607455277799</v>
      </c>
    </row>
    <row r="130" spans="3:8" x14ac:dyDescent="0.35">
      <c r="C130" s="8">
        <f t="shared" ca="1" si="4"/>
        <v>0.40063106602526077</v>
      </c>
      <c r="D130" s="7">
        <f t="shared" ca="1" si="5"/>
        <v>8.8125051010706529E-2</v>
      </c>
      <c r="E130" s="7">
        <f t="shared" ca="1" si="6"/>
        <v>6.9368736085711591E-2</v>
      </c>
      <c r="F130" s="7">
        <f t="shared" ca="1" si="7"/>
        <v>1.3724747940081626E-2</v>
      </c>
      <c r="G130" s="7">
        <f ca="1">$C$11/(1+D130)^1
 +$D$11/(1+D130)^2
 +$E$11/(1+D130)^3
 +$F$11/(1+D130)^4
 +$G$11/(1+D130)^5
 +$H$11/(1+D130)^6
 +$I$11/(1+D130)^7
 + ( $I$11*(1+F130)/(D130-F130) )/(1+D130)^7</f>
        <v>368.39942283190578</v>
      </c>
      <c r="H130" s="7">
        <f ca="1">(G130-$C$8)/$C$9</f>
        <v>2.0179184918131261</v>
      </c>
    </row>
    <row r="131" spans="3:8" x14ac:dyDescent="0.35">
      <c r="C131" s="8">
        <f t="shared" ca="1" si="4"/>
        <v>0.87258395679016942</v>
      </c>
      <c r="D131" s="7">
        <f t="shared" ca="1" si="5"/>
        <v>0.1000308218140276</v>
      </c>
      <c r="E131" s="7">
        <f t="shared" ca="1" si="6"/>
        <v>0.24898818919432286</v>
      </c>
      <c r="F131" s="7">
        <f t="shared" ca="1" si="7"/>
        <v>1.7056744138684962E-2</v>
      </c>
      <c r="G131" s="7">
        <f ca="1">$C$11/(1+D131)^1
 +$D$11/(1+D131)^2
 +$E$11/(1+D131)^3
 +$F$11/(1+D131)^4
 +$G$11/(1+D131)^5
 +$H$11/(1+D131)^6
 +$I$11/(1+D131)^7
 + ( $I$11*(1+F131)/(D131-F131) )/(1+D131)^7</f>
        <v>323.37103266735318</v>
      </c>
      <c r="H131" s="7">
        <f ca="1">(G131-$C$8)/$C$9</f>
        <v>1.7633482172509789</v>
      </c>
    </row>
    <row r="132" spans="3:8" x14ac:dyDescent="0.35">
      <c r="C132" s="8">
        <f t="shared" ca="1" si="4"/>
        <v>0.86642454793208024</v>
      </c>
      <c r="D132" s="7">
        <f t="shared" ca="1" si="5"/>
        <v>9.9792705911311397E-2</v>
      </c>
      <c r="E132" s="7">
        <f t="shared" ca="1" si="6"/>
        <v>0.97417635641719935</v>
      </c>
      <c r="F132" s="7">
        <f t="shared" ca="1" si="7"/>
        <v>2.7727396049338968E-2</v>
      </c>
      <c r="G132" s="7">
        <f ca="1">$C$11/(1+D132)^1
 +$D$11/(1+D132)^2
 +$E$11/(1+D132)^3
 +$F$11/(1+D132)^4
 +$G$11/(1+D132)^5
 +$H$11/(1+D132)^6
 +$I$11/(1+D132)^7
 + ( $I$11*(1+F132)/(D132-F132) )/(1+D132)^7</f>
        <v>356.25745952986739</v>
      </c>
      <c r="H132" s="7">
        <f ca="1">(G132-$C$8)/$C$9</f>
        <v>1.9492732899698517</v>
      </c>
    </row>
    <row r="133" spans="3:8" x14ac:dyDescent="0.35">
      <c r="C133" s="8">
        <f t="shared" ca="1" si="4"/>
        <v>8.0526695104676471E-2</v>
      </c>
      <c r="D133" s="7">
        <f t="shared" ca="1" si="5"/>
        <v>7.812600086056079E-2</v>
      </c>
      <c r="E133" s="7">
        <f t="shared" ca="1" si="6"/>
        <v>3.6458714736150477E-2</v>
      </c>
      <c r="F133" s="7">
        <f t="shared" ca="1" si="7"/>
        <v>1.2700322748715437E-2</v>
      </c>
      <c r="G133" s="7">
        <f ca="1">$C$11/(1+D133)^1
 +$D$11/(1+D133)^2
 +$E$11/(1+D133)^3
 +$F$11/(1+D133)^4
 +$G$11/(1+D133)^5
 +$H$11/(1+D133)^6
 +$I$11/(1+D133)^7
 + ( $I$11*(1+F133)/(D133-F133) )/(1+D133)^7</f>
        <v>423.66633911447275</v>
      </c>
      <c r="H133" s="7">
        <f ca="1">(G133-$C$8)/$C$9</f>
        <v>2.3303727901089593</v>
      </c>
    </row>
    <row r="134" spans="3:8" x14ac:dyDescent="0.35">
      <c r="C134" s="8">
        <f t="shared" ca="1" si="4"/>
        <v>0.59905014349806485</v>
      </c>
      <c r="D134" s="7">
        <f t="shared" ca="1" si="5"/>
        <v>9.2315518439278196E-2</v>
      </c>
      <c r="E134" s="7">
        <f t="shared" ca="1" si="6"/>
        <v>0.30210149826112576</v>
      </c>
      <c r="F134" s="7">
        <f t="shared" ca="1" si="7"/>
        <v>1.7773049572222289E-2</v>
      </c>
      <c r="G134" s="7">
        <f ca="1">$C$11/(1+D134)^1
 +$D$11/(1+D134)^2
 +$E$11/(1+D134)^3
 +$F$11/(1+D134)^4
 +$G$11/(1+D134)^5
 +$H$11/(1+D134)^6
 +$I$11/(1+D134)^7
 + ( $I$11*(1+F134)/(D134-F134) )/(1+D134)^7</f>
        <v>360.61071654880095</v>
      </c>
      <c r="H134" s="7">
        <f ca="1">(G134-$C$8)/$C$9</f>
        <v>1.9738846480597068</v>
      </c>
    </row>
    <row r="135" spans="3:8" x14ac:dyDescent="0.35">
      <c r="C135" s="8">
        <f t="shared" ca="1" si="4"/>
        <v>0.76746173848881072</v>
      </c>
      <c r="D135" s="7">
        <f t="shared" ca="1" si="5"/>
        <v>9.6532266561194208E-2</v>
      </c>
      <c r="E135" s="7">
        <f t="shared" ca="1" si="6"/>
        <v>0.8335743632560848</v>
      </c>
      <c r="F135" s="7">
        <f t="shared" ca="1" si="7"/>
        <v>2.4230673579283019E-2</v>
      </c>
      <c r="G135" s="7">
        <f ca="1">$C$11/(1+D135)^1
 +$D$11/(1+D135)^2
 +$E$11/(1+D135)^3
 +$F$11/(1+D135)^4
 +$G$11/(1+D135)^5
 +$H$11/(1+D135)^6
 +$I$11/(1+D135)^7
 + ( $I$11*(1+F135)/(D135-F135) )/(1+D135)^7</f>
        <v>360.99545066885457</v>
      </c>
      <c r="H135" s="7">
        <f ca="1">(G135-$C$8)/$C$9</f>
        <v>1.9760597618094446</v>
      </c>
    </row>
    <row r="136" spans="3:8" x14ac:dyDescent="0.35">
      <c r="C136" s="8">
        <f t="shared" ca="1" si="4"/>
        <v>0.59581871702170575</v>
      </c>
      <c r="D136" s="7">
        <f t="shared" ca="1" si="5"/>
        <v>9.2244398046727072E-2</v>
      </c>
      <c r="E136" s="7">
        <f t="shared" ca="1" si="6"/>
        <v>0.57088799889138397</v>
      </c>
      <c r="F136" s="7">
        <f t="shared" ca="1" si="7"/>
        <v>2.0735961991565278E-2</v>
      </c>
      <c r="G136" s="7">
        <f ca="1">$C$11/(1+D136)^1
 +$D$11/(1+D136)^2
 +$E$11/(1+D136)^3
 +$F$11/(1+D136)^4
 +$G$11/(1+D136)^5
 +$H$11/(1+D136)^6
 +$I$11/(1+D136)^7
 + ( $I$11*(1+F136)/(D136-F136) )/(1+D136)^7</f>
        <v>371.3095297560302</v>
      </c>
      <c r="H136" s="7">
        <f ca="1">(G136-$C$8)/$C$9</f>
        <v>2.0343709280643951</v>
      </c>
    </row>
    <row r="137" spans="3:8" x14ac:dyDescent="0.35">
      <c r="C137" s="8">
        <f t="shared" ca="1" si="4"/>
        <v>0.53026061507140665</v>
      </c>
      <c r="D137" s="7">
        <f t="shared" ca="1" si="5"/>
        <v>9.085850788876941E-2</v>
      </c>
      <c r="E137" s="7">
        <f t="shared" ca="1" si="6"/>
        <v>9.3335524666266267E-2</v>
      </c>
      <c r="F137" s="7">
        <f t="shared" ca="1" si="7"/>
        <v>1.4320544518142736E-2</v>
      </c>
      <c r="G137" s="7">
        <f ca="1">$C$11/(1+D137)^1
 +$D$11/(1+D137)^2
 +$E$11/(1+D137)^3
 +$F$11/(1+D137)^4
 +$G$11/(1+D137)^5
 +$H$11/(1+D137)^6
 +$I$11/(1+D137)^7
 + ( $I$11*(1+F137)/(D137-F137) )/(1+D137)^7</f>
        <v>356.57951858839095</v>
      </c>
      <c r="H137" s="7">
        <f ca="1">(G137-$C$8)/$C$9</f>
        <v>1.9510940670985466</v>
      </c>
    </row>
    <row r="138" spans="3:8" x14ac:dyDescent="0.35">
      <c r="C138" s="8">
        <f t="shared" ca="1" si="4"/>
        <v>0.43174536856519796</v>
      </c>
      <c r="D138" s="7">
        <f t="shared" ca="1" si="5"/>
        <v>8.8815716893689237E-2</v>
      </c>
      <c r="E138" s="7">
        <f t="shared" ca="1" si="6"/>
        <v>0.40566835640867271</v>
      </c>
      <c r="F138" s="7">
        <f t="shared" ca="1" si="7"/>
        <v>1.9007423121056018E-2</v>
      </c>
      <c r="G138" s="7">
        <f ca="1">$C$11/(1+D138)^1
 +$D$11/(1+D138)^2
 +$E$11/(1+D138)^3
 +$F$11/(1+D138)^4
 +$G$11/(1+D138)^5
 +$H$11/(1+D138)^6
 +$I$11/(1+D138)^7
 + ( $I$11*(1+F138)/(D138-F138) )/(1+D138)^7</f>
        <v>383.92275429142148</v>
      </c>
      <c r="H138" s="7">
        <f ca="1">(G138-$C$8)/$C$9</f>
        <v>2.1056804290559783</v>
      </c>
    </row>
    <row r="139" spans="3:8" x14ac:dyDescent="0.35">
      <c r="C139" s="8">
        <f t="shared" ca="1" si="4"/>
        <v>0.42373795954961047</v>
      </c>
      <c r="D139" s="7">
        <f t="shared" ca="1" si="5"/>
        <v>8.8640416487586332E-2</v>
      </c>
      <c r="E139" s="7">
        <f t="shared" ca="1" si="6"/>
        <v>0.3702829058043875</v>
      </c>
      <c r="F139" s="7">
        <f t="shared" ca="1" si="7"/>
        <v>1.8605613351811566E-2</v>
      </c>
      <c r="G139" s="7">
        <f ca="1">$C$11/(1+D139)^1
 +$D$11/(1+D139)^2
 +$E$11/(1+D139)^3
 +$F$11/(1+D139)^4
 +$G$11/(1+D139)^5
 +$H$11/(1+D139)^6
 +$I$11/(1+D139)^7
 + ( $I$11*(1+F139)/(D139-F139) )/(1+D139)^7</f>
        <v>383.36950609112569</v>
      </c>
      <c r="H139" s="7">
        <f ca="1">(G139-$C$8)/$C$9</f>
        <v>2.1025526124554821</v>
      </c>
    </row>
    <row r="140" spans="3:8" x14ac:dyDescent="0.35">
      <c r="C140" s="8">
        <f t="shared" ca="1" si="4"/>
        <v>0.57950949305376565</v>
      </c>
      <c r="D140" s="7">
        <f t="shared" ca="1" si="5"/>
        <v>9.1889710233735544E-2</v>
      </c>
      <c r="E140" s="7">
        <f t="shared" ca="1" si="6"/>
        <v>0.56138818607221763</v>
      </c>
      <c r="F140" s="7">
        <f t="shared" ca="1" si="7"/>
        <v>2.0633978283948064E-2</v>
      </c>
      <c r="G140" s="7">
        <f ca="1">$C$11/(1+D140)^1
 +$D$11/(1+D140)^2
 +$E$11/(1+D140)^3
 +$F$11/(1+D140)^4
 +$G$11/(1+D140)^5
 +$H$11/(1+D140)^6
 +$I$11/(1+D140)^7
 + ( $I$11*(1+F140)/(D140-F140) )/(1+D140)^7</f>
        <v>372.86457140369885</v>
      </c>
      <c r="H140" s="7">
        <f ca="1">(G140-$C$8)/$C$9</f>
        <v>2.0431624344397266</v>
      </c>
    </row>
    <row r="141" spans="3:8" x14ac:dyDescent="0.35">
      <c r="C141" s="8">
        <f t="shared" ca="1" si="4"/>
        <v>2.7466033561191927E-2</v>
      </c>
      <c r="D141" s="7">
        <f t="shared" ca="1" si="5"/>
        <v>7.4745750469649389E-2</v>
      </c>
      <c r="E141" s="7">
        <f t="shared" ca="1" si="6"/>
        <v>0.38266200092611669</v>
      </c>
      <c r="F141" s="7">
        <f t="shared" ca="1" si="7"/>
        <v>1.8748279841501604E-2</v>
      </c>
      <c r="G141" s="7">
        <f ca="1">$C$11/(1+D141)^1
 +$D$11/(1+D141)^2
 +$E$11/(1+D141)^3
 +$F$11/(1+D141)^4
 +$G$11/(1+D141)^5
 +$H$11/(1+D141)^6
 +$I$11/(1+D141)^7
 + ( $I$11*(1+F141)/(D141-F141) )/(1+D141)^7</f>
        <v>483.4748473746788</v>
      </c>
      <c r="H141" s="7">
        <f ca="1">(G141-$C$8)/$C$9</f>
        <v>2.6685032076813591</v>
      </c>
    </row>
    <row r="142" spans="3:8" x14ac:dyDescent="0.35">
      <c r="C142" s="8">
        <f t="shared" ca="1" si="4"/>
        <v>0.30515463831472145</v>
      </c>
      <c r="D142" s="7">
        <f t="shared" ca="1" si="5"/>
        <v>8.5818558828732516E-2</v>
      </c>
      <c r="E142" s="7">
        <f t="shared" ca="1" si="6"/>
        <v>0.36405272587163739</v>
      </c>
      <c r="F142" s="7">
        <f t="shared" ca="1" si="7"/>
        <v>1.8532909537451306E-2</v>
      </c>
      <c r="G142" s="7">
        <f ca="1">$C$11/(1+D142)^1
 +$D$11/(1+D142)^2
 +$E$11/(1+D142)^3
 +$F$11/(1+D142)^4
 +$G$11/(1+D142)^5
 +$H$11/(1+D142)^6
 +$I$11/(1+D142)^7
 + ( $I$11*(1+F142)/(D142-F142) )/(1+D142)^7</f>
        <v>399.86475944760866</v>
      </c>
      <c r="H142" s="7">
        <f ca="1">(G142-$C$8)/$C$9</f>
        <v>2.1958093591565393</v>
      </c>
    </row>
    <row r="143" spans="3:8" x14ac:dyDescent="0.35">
      <c r="C143" s="8">
        <f t="shared" ca="1" si="4"/>
        <v>0.2877499060746691</v>
      </c>
      <c r="D143" s="7">
        <f t="shared" ca="1" si="5"/>
        <v>8.5360824293677362E-2</v>
      </c>
      <c r="E143" s="7">
        <f t="shared" ca="1" si="6"/>
        <v>0.85521415165439663</v>
      </c>
      <c r="F143" s="7">
        <f t="shared" ca="1" si="7"/>
        <v>2.4618813358642848E-2</v>
      </c>
      <c r="G143" s="7">
        <f ca="1">$C$11/(1+D143)^1
 +$D$11/(1+D143)^2
 +$E$11/(1+D143)^3
 +$F$11/(1+D143)^4
 +$G$11/(1+D143)^5
 +$H$11/(1+D143)^6
 +$I$11/(1+D143)^7
 + ( $I$11*(1+F143)/(D143-F143) )/(1+D143)^7</f>
        <v>431.65601895508172</v>
      </c>
      <c r="H143" s="7">
        <f ca="1">(G143-$C$8)/$C$9</f>
        <v>2.3755428480047587</v>
      </c>
    </row>
    <row r="144" spans="3:8" x14ac:dyDescent="0.35">
      <c r="C144" s="8">
        <f t="shared" ca="1" si="4"/>
        <v>0.8851469504254188</v>
      </c>
      <c r="D144" s="7">
        <f t="shared" ca="1" si="5"/>
        <v>0.10053504470860146</v>
      </c>
      <c r="E144" s="7">
        <f t="shared" ca="1" si="6"/>
        <v>7.773977986999081E-3</v>
      </c>
      <c r="F144" s="7">
        <f t="shared" ca="1" si="7"/>
        <v>1.1246914430664678E-2</v>
      </c>
      <c r="G144" s="7">
        <f ca="1">$C$11/(1+D144)^1
 +$D$11/(1+D144)^2
 +$E$11/(1+D144)^3
 +$F$11/(1+D144)^4
 +$G$11/(1+D144)^5
 +$H$11/(1+D144)^6
 +$I$11/(1+D144)^7
 + ( $I$11*(1+F144)/(D144-F144) )/(1+D144)^7</f>
        <v>307.47739875479851</v>
      </c>
      <c r="H144" s="7">
        <f ca="1">(G144-$C$8)/$C$9</f>
        <v>1.6734927564156405</v>
      </c>
    </row>
    <row r="145" spans="3:8" x14ac:dyDescent="0.35">
      <c r="C145" s="8">
        <f t="shared" ref="C145:C208" ca="1" si="8">RAND()</f>
        <v>0.25204896593418735</v>
      </c>
      <c r="D145" s="7">
        <f t="shared" ref="D145:D208" ca="1" si="9">IF(C145&lt;(0.0905-0.07)/(0.11-0.07),
 0.07+SQRT(C145*(0.11-0.07)*(0.0905-0.07)),
 0.11-SQRT((1-C145)*(0.11-0.07)*(0.11-0.0905))
)</f>
        <v>8.4376374788730071E-2</v>
      </c>
      <c r="E145" s="7">
        <f t="shared" ref="E145:E208" ca="1" si="10">RAND()</f>
        <v>0.91466066005957192</v>
      </c>
      <c r="F145" s="7">
        <f t="shared" ref="F145:F208" ca="1" si="11">MIN(
 IF(E145&lt;(0.02-0.01)/(0.03-0.01),
   0.01+SQRT(E145*(0.03-0.01)*(0.02-0.01)),
   0.03-SQRT((1-E145)*(0.03-0.01)*(0.03-0.02))
 ),
 D145-0.005
)</f>
        <v>2.5868672369796168E-2</v>
      </c>
      <c r="G145" s="7">
        <f ca="1">$C$11/(1+D145)^1
 +$D$11/(1+D145)^2
 +$E$11/(1+D145)^3
 +$F$11/(1+D145)^4
 +$G$11/(1+D145)^5
 +$H$11/(1+D145)^6
 +$I$11/(1+D145)^7
 + ( $I$11*(1+F145)/(D145-F145) )/(1+D145)^7</f>
        <v>445.94951832485816</v>
      </c>
      <c r="H145" s="7">
        <f ca="1">(G145-$C$8)/$C$9</f>
        <v>2.4563518675082436</v>
      </c>
    </row>
    <row r="146" spans="3:8" x14ac:dyDescent="0.35">
      <c r="C146" s="8">
        <f t="shared" ca="1" si="8"/>
        <v>0.45783789949449871</v>
      </c>
      <c r="D146" s="7">
        <f t="shared" ca="1" si="9"/>
        <v>8.9375940689047556E-2</v>
      </c>
      <c r="E146" s="7">
        <f t="shared" ca="1" si="10"/>
        <v>0.42556262041586734</v>
      </c>
      <c r="F146" s="7">
        <f t="shared" ca="1" si="11"/>
        <v>1.9225644914214586E-2</v>
      </c>
      <c r="G146" s="7">
        <f ca="1">$C$11/(1+D146)^1
 +$D$11/(1+D146)^2
 +$E$11/(1+D146)^3
 +$F$11/(1+D146)^4
 +$G$11/(1+D146)^5
 +$H$11/(1+D146)^6
 +$I$11/(1+D146)^7
 + ( $I$11*(1+F146)/(D146-F146) )/(1+D146)^7</f>
        <v>381.56850936398843</v>
      </c>
      <c r="H146" s="7">
        <f ca="1">(G146-$C$8)/$C$9</f>
        <v>2.0923705866349414</v>
      </c>
    </row>
    <row r="147" spans="3:8" x14ac:dyDescent="0.35">
      <c r="C147" s="8">
        <f t="shared" ca="1" si="8"/>
        <v>0.2119315123012715</v>
      </c>
      <c r="D147" s="7">
        <f t="shared" ca="1" si="9"/>
        <v>8.3182709891636189E-2</v>
      </c>
      <c r="E147" s="7">
        <f t="shared" ca="1" si="10"/>
        <v>0.45319984318841733</v>
      </c>
      <c r="F147" s="7">
        <f t="shared" ca="1" si="11"/>
        <v>1.952050254123612E-2</v>
      </c>
      <c r="G147" s="7">
        <f ca="1">$C$11/(1+D147)^1
 +$D$11/(1+D147)^2
 +$E$11/(1+D147)^3
 +$F$11/(1+D147)^4
 +$G$11/(1+D147)^5
 +$H$11/(1+D147)^6
 +$I$11/(1+D147)^7
 + ( $I$11*(1+F147)/(D147-F147) )/(1+D147)^7</f>
        <v>421.55378428801976</v>
      </c>
      <c r="H147" s="7">
        <f ca="1">(G147-$C$8)/$C$9</f>
        <v>2.3184293548621651</v>
      </c>
    </row>
    <row r="148" spans="3:8" x14ac:dyDescent="0.35">
      <c r="C148" s="8">
        <f t="shared" ca="1" si="8"/>
        <v>0.20133505839432497</v>
      </c>
      <c r="D148" s="7">
        <f t="shared" ca="1" si="9"/>
        <v>8.2848920105726642E-2</v>
      </c>
      <c r="E148" s="7">
        <f t="shared" ca="1" si="10"/>
        <v>0.36698027933527533</v>
      </c>
      <c r="F148" s="7">
        <f t="shared" ca="1" si="11"/>
        <v>1.8567149810004204E-2</v>
      </c>
      <c r="G148" s="7">
        <f ca="1">$C$11/(1+D148)^1
 +$D$11/(1+D148)^2
 +$E$11/(1+D148)^3
 +$F$11/(1+D148)^4
 +$G$11/(1+D148)^5
 +$H$11/(1+D148)^6
 +$I$11/(1+D148)^7
 + ( $I$11*(1+F148)/(D148-F148) )/(1+D148)^7</f>
        <v>419.28165329318733</v>
      </c>
      <c r="H148" s="7">
        <f ca="1">(G148-$C$8)/$C$9</f>
        <v>2.305583747700064</v>
      </c>
    </row>
    <row r="149" spans="3:8" x14ac:dyDescent="0.35">
      <c r="C149" s="8">
        <f t="shared" ca="1" si="8"/>
        <v>0.35684904633277048</v>
      </c>
      <c r="D149" s="7">
        <f t="shared" ca="1" si="9"/>
        <v>8.7106028703146501E-2</v>
      </c>
      <c r="E149" s="7">
        <f t="shared" ca="1" si="10"/>
        <v>1.7353957644697271E-2</v>
      </c>
      <c r="F149" s="7">
        <f t="shared" ca="1" si="11"/>
        <v>1.1863006046404428E-2</v>
      </c>
      <c r="G149" s="7">
        <f ca="1">$C$11/(1+D149)^1
 +$D$11/(1+D149)^2
 +$E$11/(1+D149)^3
 +$F$11/(1+D149)^4
 +$G$11/(1+D149)^5
 +$H$11/(1+D149)^6
 +$I$11/(1+D149)^7
 + ( $I$11*(1+F149)/(D149-F149) )/(1+D149)^7</f>
        <v>367.32867582864515</v>
      </c>
      <c r="H149" s="7">
        <f ca="1">(G149-$C$8)/$C$9</f>
        <v>2.0118649696327742</v>
      </c>
    </row>
    <row r="150" spans="3:8" x14ac:dyDescent="0.35">
      <c r="C150" s="8">
        <f t="shared" ca="1" si="8"/>
        <v>0.19759460637111348</v>
      </c>
      <c r="D150" s="7">
        <f t="shared" ca="1" si="9"/>
        <v>8.2729005350942117E-2</v>
      </c>
      <c r="E150" s="7">
        <f t="shared" ca="1" si="10"/>
        <v>0.5556881332257898</v>
      </c>
      <c r="F150" s="7">
        <f t="shared" ca="1" si="11"/>
        <v>2.0573315887607031E-2</v>
      </c>
      <c r="G150" s="7">
        <f ca="1">$C$11/(1+D150)^1
 +$D$11/(1+D150)^2
 +$E$11/(1+D150)^3
 +$F$11/(1+D150)^4
 +$G$11/(1+D150)^5
 +$H$11/(1+D150)^6
 +$I$11/(1+D150)^7
 + ( $I$11*(1+F150)/(D150-F150) )/(1+D150)^7</f>
        <v>429.94874840234098</v>
      </c>
      <c r="H150" s="7">
        <f ca="1">(G150-$C$8)/$C$9</f>
        <v>2.3658907078377487</v>
      </c>
    </row>
    <row r="151" spans="3:8" x14ac:dyDescent="0.35">
      <c r="C151" s="8">
        <f t="shared" ca="1" si="8"/>
        <v>0.49375453231609923</v>
      </c>
      <c r="D151" s="7">
        <f t="shared" ca="1" si="9"/>
        <v>9.012159825906485E-2</v>
      </c>
      <c r="E151" s="7">
        <f t="shared" ca="1" si="10"/>
        <v>0.71060959632971188</v>
      </c>
      <c r="F151" s="7">
        <f t="shared" ca="1" si="11"/>
        <v>2.2392235496937512E-2</v>
      </c>
      <c r="G151" s="7">
        <f ca="1">$C$11/(1+D151)^1
 +$D$11/(1+D151)^2
 +$E$11/(1+D151)^3
 +$F$11/(1+D151)^4
 +$G$11/(1+D151)^5
 +$H$11/(1+D151)^6
 +$I$11/(1+D151)^7
 + ( $I$11*(1+F151)/(D151-F151) )/(1+D151)^7</f>
        <v>389.77973968383566</v>
      </c>
      <c r="H151" s="7">
        <f ca="1">(G151-$C$8)/$C$9</f>
        <v>2.1387931913378315</v>
      </c>
    </row>
    <row r="152" spans="3:8" x14ac:dyDescent="0.35">
      <c r="C152" s="8">
        <f t="shared" ca="1" si="8"/>
        <v>0.8802739729304998</v>
      </c>
      <c r="D152" s="7">
        <f t="shared" ca="1" si="9"/>
        <v>0.10033634121493261</v>
      </c>
      <c r="E152" s="7">
        <f t="shared" ca="1" si="10"/>
        <v>0.12669406878925193</v>
      </c>
      <c r="F152" s="7">
        <f t="shared" ca="1" si="11"/>
        <v>1.5033767352376388E-2</v>
      </c>
      <c r="G152" s="7">
        <f ca="1">$C$11/(1+D152)^1
 +$D$11/(1+D152)^2
 +$E$11/(1+D152)^3
 +$F$11/(1+D152)^4
 +$G$11/(1+D152)^5
 +$H$11/(1+D152)^6
 +$I$11/(1+D152)^7
 + ( $I$11*(1+F152)/(D152-F152) )/(1+D152)^7</f>
        <v>317.06222375427762</v>
      </c>
      <c r="H152" s="7">
        <f ca="1">(G152-$C$8)/$C$9</f>
        <v>1.7276810479097557</v>
      </c>
    </row>
    <row r="153" spans="3:8" x14ac:dyDescent="0.35">
      <c r="C153" s="8">
        <f t="shared" ca="1" si="8"/>
        <v>0.66144922438652121</v>
      </c>
      <c r="D153" s="7">
        <f t="shared" ca="1" si="9"/>
        <v>9.3749781386747028E-2</v>
      </c>
      <c r="E153" s="7">
        <f t="shared" ca="1" si="10"/>
        <v>0.23068293447997557</v>
      </c>
      <c r="F153" s="7">
        <f t="shared" ca="1" si="11"/>
        <v>1.6792391839109043E-2</v>
      </c>
      <c r="G153" s="7">
        <f ca="1">$C$11/(1+D153)^1
 +$D$11/(1+D153)^2
 +$E$11/(1+D153)^3
 +$F$11/(1+D153)^4
 +$G$11/(1+D153)^5
 +$H$11/(1+D153)^6
 +$I$11/(1+D153)^7
 + ( $I$11*(1+F153)/(D153-F153) )/(1+D153)^7</f>
        <v>350.39635165408072</v>
      </c>
      <c r="H153" s="7">
        <f ca="1">(G153-$C$8)/$C$9</f>
        <v>1.9161372210203567</v>
      </c>
    </row>
    <row r="154" spans="3:8" x14ac:dyDescent="0.35">
      <c r="C154" s="8">
        <f t="shared" ca="1" si="8"/>
        <v>0.77167481631992751</v>
      </c>
      <c r="D154" s="7">
        <f t="shared" ca="1" si="9"/>
        <v>9.6654826967384172E-2</v>
      </c>
      <c r="E154" s="7">
        <f t="shared" ca="1" si="10"/>
        <v>0.9301285496827526</v>
      </c>
      <c r="F154" s="7">
        <f t="shared" ca="1" si="11"/>
        <v>2.6261779826782607E-2</v>
      </c>
      <c r="G154" s="7">
        <f ca="1">$C$11/(1+D154)^1
 +$D$11/(1+D154)^2
 +$E$11/(1+D154)^3
 +$F$11/(1+D154)^4
 +$G$11/(1+D154)^5
 +$H$11/(1+D154)^6
 +$I$11/(1+D154)^7
 + ( $I$11*(1+F154)/(D154-F154) )/(1+D154)^7</f>
        <v>367.5864657538994</v>
      </c>
      <c r="H154" s="7">
        <f ca="1">(G154-$C$8)/$C$9</f>
        <v>2.0133223979754602</v>
      </c>
    </row>
    <row r="155" spans="3:8" x14ac:dyDescent="0.35">
      <c r="C155" s="8">
        <f t="shared" ca="1" si="8"/>
        <v>0.22385646916291391</v>
      </c>
      <c r="D155" s="7">
        <f t="shared" ca="1" si="9"/>
        <v>8.3548516697911607E-2</v>
      </c>
      <c r="E155" s="7">
        <f t="shared" ca="1" si="10"/>
        <v>0.21351447386397049</v>
      </c>
      <c r="F155" s="7">
        <f t="shared" ca="1" si="11"/>
        <v>1.6534745195705344E-2</v>
      </c>
      <c r="G155" s="7">
        <f ca="1">$C$11/(1+D155)^1
 +$D$11/(1+D155)^2
 +$E$11/(1+D155)^3
 +$F$11/(1+D155)^4
 +$G$11/(1+D155)^5
 +$H$11/(1+D155)^6
 +$I$11/(1+D155)^7
 + ( $I$11*(1+F155)/(D155-F155) )/(1+D155)^7</f>
        <v>405.48367184406885</v>
      </c>
      <c r="H155" s="7">
        <f ca="1">(G155-$C$8)/$C$9</f>
        <v>2.2275761637498239</v>
      </c>
    </row>
    <row r="156" spans="3:8" x14ac:dyDescent="0.35">
      <c r="C156" s="8">
        <f t="shared" ca="1" si="8"/>
        <v>0.87972271540716884</v>
      </c>
      <c r="D156" s="7">
        <f t="shared" ca="1" si="9"/>
        <v>0.10031411945239833</v>
      </c>
      <c r="E156" s="7">
        <f t="shared" ca="1" si="10"/>
        <v>0.27074408546988771</v>
      </c>
      <c r="F156" s="7">
        <f t="shared" ca="1" si="11"/>
        <v>1.7358587982349436E-2</v>
      </c>
      <c r="G156" s="7">
        <f ca="1">$C$11/(1+D156)^1
 +$D$11/(1+D156)^2
 +$E$11/(1+D156)^3
 +$F$11/(1+D156)^4
 +$G$11/(1+D156)^5
 +$H$11/(1+D156)^6
 +$I$11/(1+D156)^7
 + ( $I$11*(1+F156)/(D156-F156) )/(1+D156)^7</f>
        <v>322.99174292916348</v>
      </c>
      <c r="H156" s="7">
        <f ca="1">(G156-$C$8)/$C$9</f>
        <v>1.7612038835886672</v>
      </c>
    </row>
    <row r="157" spans="3:8" x14ac:dyDescent="0.35">
      <c r="C157" s="8">
        <f t="shared" ca="1" si="8"/>
        <v>0.92101843361950042</v>
      </c>
      <c r="D157" s="7">
        <f t="shared" ca="1" si="9"/>
        <v>0.10215107511968743</v>
      </c>
      <c r="E157" s="7">
        <f t="shared" ca="1" si="10"/>
        <v>0.43156311483746979</v>
      </c>
      <c r="F157" s="7">
        <f t="shared" ca="1" si="11"/>
        <v>1.9290458705978619E-2</v>
      </c>
      <c r="G157" s="7">
        <f ca="1">$C$11/(1+D157)^1
 +$D$11/(1+D157)^2
 +$E$11/(1+D157)^3
 +$F$11/(1+D157)^4
 +$G$11/(1+D157)^5
 +$H$11/(1+D157)^6
 +$I$11/(1+D157)^7
 + ( $I$11*(1+F157)/(D157-F157) )/(1+D157)^7</f>
        <v>320.48188007165453</v>
      </c>
      <c r="H157" s="7">
        <f ca="1">(G157-$C$8)/$C$9</f>
        <v>1.7470142473521852</v>
      </c>
    </row>
    <row r="158" spans="3:8" x14ac:dyDescent="0.35">
      <c r="C158" s="8">
        <f t="shared" ca="1" si="8"/>
        <v>0.38641044197583851</v>
      </c>
      <c r="D158" s="7">
        <f t="shared" ca="1" si="9"/>
        <v>8.7800465230442368E-2</v>
      </c>
      <c r="E158" s="7">
        <f t="shared" ca="1" si="10"/>
        <v>0.74683246928143976</v>
      </c>
      <c r="F158" s="7">
        <f t="shared" ca="1" si="11"/>
        <v>2.2884277538878287E-2</v>
      </c>
      <c r="G158" s="7">
        <f ca="1">$C$11/(1+D158)^1
 +$D$11/(1+D158)^2
 +$E$11/(1+D158)^3
 +$F$11/(1+D158)^4
 +$G$11/(1+D158)^5
 +$H$11/(1+D158)^6
 +$I$11/(1+D158)^7
 + ( $I$11*(1+F158)/(D158-F158) )/(1+D158)^7</f>
        <v>406.36520176021378</v>
      </c>
      <c r="H158" s="7">
        <f ca="1">(G158-$C$8)/$C$9</f>
        <v>2.2325599375860117</v>
      </c>
    </row>
    <row r="159" spans="3:8" x14ac:dyDescent="0.35">
      <c r="C159" s="8">
        <f t="shared" ca="1" si="8"/>
        <v>0.80069568804527214</v>
      </c>
      <c r="D159" s="7">
        <f t="shared" ca="1" si="9"/>
        <v>9.753174577879134E-2</v>
      </c>
      <c r="E159" s="7">
        <f t="shared" ca="1" si="10"/>
        <v>0.66361362848619732</v>
      </c>
      <c r="F159" s="7">
        <f t="shared" ca="1" si="11"/>
        <v>2.1797727491556958E-2</v>
      </c>
      <c r="G159" s="7">
        <f ca="1">$C$11/(1+D159)^1
 +$D$11/(1+D159)^2
 +$E$11/(1+D159)^3
 +$F$11/(1+D159)^4
 +$G$11/(1+D159)^5
 +$H$11/(1+D159)^6
 +$I$11/(1+D159)^7
 + ( $I$11*(1+F159)/(D159-F159) )/(1+D159)^7</f>
        <v>347.96840091561529</v>
      </c>
      <c r="H159" s="7">
        <f ca="1">(G159-$C$8)/$C$9</f>
        <v>1.9024106790796884</v>
      </c>
    </row>
    <row r="160" spans="3:8" x14ac:dyDescent="0.35">
      <c r="C160" s="8">
        <f t="shared" ca="1" si="8"/>
        <v>6.6831067188002358E-2</v>
      </c>
      <c r="D160" s="7">
        <f t="shared" ca="1" si="9"/>
        <v>7.7402801840800686E-2</v>
      </c>
      <c r="E160" s="7">
        <f t="shared" ca="1" si="10"/>
        <v>0.34937402908695714</v>
      </c>
      <c r="F160" s="7">
        <f t="shared" ca="1" si="11"/>
        <v>1.8359115133636542E-2</v>
      </c>
      <c r="G160" s="7">
        <f ca="1">$C$11/(1+D160)^1
 +$D$11/(1+D160)^2
 +$E$11/(1+D160)^3
 +$F$11/(1+D160)^4
 +$G$11/(1+D160)^5
 +$H$11/(1+D160)^6
 +$I$11/(1+D160)^7
 + ( $I$11*(1+F160)/(D160-F160) )/(1+D160)^7</f>
        <v>458.50270544919601</v>
      </c>
      <c r="H160" s="7">
        <f ca="1">(G160-$C$8)/$C$9</f>
        <v>2.52732194396877</v>
      </c>
    </row>
    <row r="161" spans="3:8" x14ac:dyDescent="0.35">
      <c r="C161" s="8">
        <f t="shared" ca="1" si="8"/>
        <v>0.64696415148424513</v>
      </c>
      <c r="D161" s="7">
        <f t="shared" ca="1" si="9"/>
        <v>9.3405785289978657E-2</v>
      </c>
      <c r="E161" s="7">
        <f t="shared" ca="1" si="10"/>
        <v>0.95940208042130148</v>
      </c>
      <c r="F161" s="7">
        <f t="shared" ca="1" si="11"/>
        <v>2.7150511639655338E-2</v>
      </c>
      <c r="G161" s="7">
        <f ca="1">$C$11/(1+D161)^1
 +$D$11/(1+D161)^2
 +$E$11/(1+D161)^3
 +$F$11/(1+D161)^4
 +$G$11/(1+D161)^5
 +$H$11/(1+D161)^6
 +$I$11/(1+D161)^7
 + ( $I$11*(1+F161)/(D161-F161) )/(1+D161)^7</f>
        <v>389.722342856144</v>
      </c>
      <c r="H161" s="7">
        <f ca="1">(G161-$C$8)/$C$9</f>
        <v>2.1384686954779735</v>
      </c>
    </row>
    <row r="162" spans="3:8" x14ac:dyDescent="0.35">
      <c r="C162" s="8">
        <f t="shared" ca="1" si="8"/>
        <v>0.34796434262123721</v>
      </c>
      <c r="D162" s="7">
        <f t="shared" ca="1" si="9"/>
        <v>8.6891736469333597E-2</v>
      </c>
      <c r="E162" s="7">
        <f t="shared" ca="1" si="10"/>
        <v>0.1064051477006156</v>
      </c>
      <c r="F162" s="7">
        <f t="shared" ca="1" si="11"/>
        <v>1.4613136627081743E-2</v>
      </c>
      <c r="G162" s="7">
        <f ca="1">$C$11/(1+D162)^1
 +$D$11/(1+D162)^2
 +$E$11/(1+D162)^3
 +$F$11/(1+D162)^4
 +$G$11/(1+D162)^5
 +$H$11/(1+D162)^6
 +$I$11/(1+D162)^7
 + ( $I$11*(1+F162)/(D162-F162) )/(1+D162)^7</f>
        <v>378.13812206488507</v>
      </c>
      <c r="H162" s="7">
        <f ca="1">(G162-$C$8)/$C$9</f>
        <v>2.0729767190461614</v>
      </c>
    </row>
    <row r="163" spans="3:8" x14ac:dyDescent="0.35">
      <c r="C163" s="8">
        <f t="shared" ca="1" si="8"/>
        <v>0.46259582264900057</v>
      </c>
      <c r="D163" s="7">
        <f t="shared" ca="1" si="9"/>
        <v>8.9476359376746473E-2</v>
      </c>
      <c r="E163" s="7">
        <f t="shared" ca="1" si="10"/>
        <v>0.25235699299980374</v>
      </c>
      <c r="F163" s="7">
        <f t="shared" ca="1" si="11"/>
        <v>1.7104322529274747E-2</v>
      </c>
      <c r="G163" s="7">
        <f ca="1">$C$11/(1+D163)^1
 +$D$11/(1+D163)^2
 +$E$11/(1+D163)^3
 +$F$11/(1+D163)^4
 +$G$11/(1+D163)^5
 +$H$11/(1+D163)^6
 +$I$11/(1+D163)^7
 + ( $I$11*(1+F163)/(D163-F163) )/(1+D163)^7</f>
        <v>373.12762553354696</v>
      </c>
      <c r="H163" s="7">
        <f ca="1">(G163-$C$8)/$C$9</f>
        <v>2.0446496242285557</v>
      </c>
    </row>
    <row r="164" spans="3:8" x14ac:dyDescent="0.35">
      <c r="C164" s="8">
        <f t="shared" ca="1" si="8"/>
        <v>0.97599083102533113</v>
      </c>
      <c r="D164" s="7">
        <f t="shared" ca="1" si="9"/>
        <v>0.10567251206815759</v>
      </c>
      <c r="E164" s="7">
        <f t="shared" ca="1" si="10"/>
        <v>0.96739985200887968</v>
      </c>
      <c r="F164" s="7">
        <f t="shared" ca="1" si="11"/>
        <v>2.744656513726626E-2</v>
      </c>
      <c r="G164" s="7">
        <f ca="1">$C$11/(1+D164)^1
 +$D$11/(1+D164)^2
 +$E$11/(1+D164)^3
 +$F$11/(1+D164)^4
 +$G$11/(1+D164)^5
 +$H$11/(1+D164)^6
 +$I$11/(1+D164)^7
 + ( $I$11*(1+F164)/(D164-F164) )/(1+D164)^7</f>
        <v>327.6309131743289</v>
      </c>
      <c r="H164" s="7">
        <f ca="1">(G164-$C$8)/$C$9</f>
        <v>1.7874316665215337</v>
      </c>
    </row>
    <row r="165" spans="3:8" x14ac:dyDescent="0.35">
      <c r="C165" s="8">
        <f t="shared" ca="1" si="8"/>
        <v>0.92460859131630369</v>
      </c>
      <c r="D165" s="7">
        <f t="shared" ca="1" si="9"/>
        <v>0.10233153869584757</v>
      </c>
      <c r="E165" s="7">
        <f t="shared" ca="1" si="10"/>
        <v>0.82228494741700586</v>
      </c>
      <c r="F165" s="7">
        <f t="shared" ca="1" si="11"/>
        <v>2.4038204086300939E-2</v>
      </c>
      <c r="G165" s="7">
        <f ca="1">$C$11/(1+D165)^1
 +$D$11/(1+D165)^2
 +$E$11/(1+D165)^3
 +$F$11/(1+D165)^4
 +$G$11/(1+D165)^5
 +$H$11/(1+D165)^6
 +$I$11/(1+D165)^7
 + ( $I$11*(1+F165)/(D165-F165) )/(1+D165)^7</f>
        <v>332.59254728909622</v>
      </c>
      <c r="H165" s="7">
        <f ca="1">(G165-$C$8)/$C$9</f>
        <v>1.815482515202941</v>
      </c>
    </row>
    <row r="166" spans="3:8" x14ac:dyDescent="0.35">
      <c r="C166" s="8">
        <f t="shared" ca="1" si="8"/>
        <v>0.90669311374478068</v>
      </c>
      <c r="D166" s="7">
        <f t="shared" ca="1" si="9"/>
        <v>0.10146891734425981</v>
      </c>
      <c r="E166" s="7">
        <f t="shared" ca="1" si="10"/>
        <v>0.25505270766390498</v>
      </c>
      <c r="F166" s="7">
        <f t="shared" ca="1" si="11"/>
        <v>1.7142166445328826E-2</v>
      </c>
      <c r="G166" s="7">
        <f ca="1">$C$11/(1+D166)^1
 +$D$11/(1+D166)^2
 +$E$11/(1+D166)^3
 +$F$11/(1+D166)^4
 +$G$11/(1+D166)^5
 +$H$11/(1+D166)^6
 +$I$11/(1+D166)^7
 + ( $I$11*(1+F166)/(D166-F166) )/(1+D166)^7</f>
        <v>317.79451274781184</v>
      </c>
      <c r="H166" s="7">
        <f ca="1">(G166-$C$8)/$C$9</f>
        <v>1.7318210806637937</v>
      </c>
    </row>
    <row r="167" spans="3:8" x14ac:dyDescent="0.35">
      <c r="C167" s="8">
        <f t="shared" ca="1" si="8"/>
        <v>0.98937924522325427</v>
      </c>
      <c r="D167" s="7">
        <f t="shared" ca="1" si="9"/>
        <v>0.10712177333660783</v>
      </c>
      <c r="E167" s="7">
        <f t="shared" ca="1" si="10"/>
        <v>0.26772058792664732</v>
      </c>
      <c r="F167" s="7">
        <f t="shared" ca="1" si="11"/>
        <v>1.7317384613735255E-2</v>
      </c>
      <c r="G167" s="7">
        <f ca="1">$C$11/(1+D167)^1
 +$D$11/(1+D167)^2
 +$E$11/(1+D167)^3
 +$F$11/(1+D167)^4
 +$G$11/(1+D167)^5
 +$H$11/(1+D167)^6
 +$I$11/(1+D167)^7
 + ( $I$11*(1+F167)/(D167-F167) )/(1+D167)^7</f>
        <v>297.18895614659016</v>
      </c>
      <c r="H167" s="7">
        <f ca="1">(G167-$C$8)/$C$9</f>
        <v>1.6153265272873707</v>
      </c>
    </row>
    <row r="168" spans="3:8" x14ac:dyDescent="0.35">
      <c r="C168" s="8">
        <f t="shared" ca="1" si="8"/>
        <v>0.73728286404665455</v>
      </c>
      <c r="D168" s="7">
        <f t="shared" ca="1" si="9"/>
        <v>9.5684995073573698E-2</v>
      </c>
      <c r="E168" s="7">
        <f t="shared" ca="1" si="10"/>
        <v>2.8678757436550018E-2</v>
      </c>
      <c r="F168" s="7">
        <f t="shared" ca="1" si="11"/>
        <v>1.2394942898548941E-2</v>
      </c>
      <c r="G168" s="7">
        <f ca="1">$C$11/(1+D168)^1
 +$D$11/(1+D168)^2
 +$E$11/(1+D168)^3
 +$F$11/(1+D168)^4
 +$G$11/(1+D168)^5
 +$H$11/(1+D168)^6
 +$I$11/(1+D168)^7
 + ( $I$11*(1+F168)/(D168-F168) )/(1+D168)^7</f>
        <v>329.18268176558354</v>
      </c>
      <c r="H168" s="7">
        <f ca="1">(G168-$C$8)/$C$9</f>
        <v>1.7962046685073696</v>
      </c>
    </row>
    <row r="169" spans="3:8" x14ac:dyDescent="0.35">
      <c r="C169" s="8">
        <f t="shared" ca="1" si="8"/>
        <v>0.63815276463307813</v>
      </c>
      <c r="D169" s="7">
        <f t="shared" ca="1" si="9"/>
        <v>9.3199974893286644E-2</v>
      </c>
      <c r="E169" s="7">
        <f t="shared" ca="1" si="10"/>
        <v>0.33564033565627027</v>
      </c>
      <c r="F169" s="7">
        <f t="shared" ca="1" si="11"/>
        <v>1.8193171982282201E-2</v>
      </c>
      <c r="G169" s="7">
        <f ca="1">$C$11/(1+D169)^1
 +$D$11/(1+D169)^2
 +$E$11/(1+D169)^3
 +$F$11/(1+D169)^4
 +$G$11/(1+D169)^5
 +$H$11/(1+D169)^6
 +$I$11/(1+D169)^7
 + ( $I$11*(1+F169)/(D169-F169) )/(1+D169)^7</f>
        <v>357.55826217086531</v>
      </c>
      <c r="H169" s="7">
        <f ca="1">(G169-$C$8)/$C$9</f>
        <v>1.9566274432997812</v>
      </c>
    </row>
    <row r="170" spans="3:8" x14ac:dyDescent="0.35">
      <c r="C170" s="8">
        <f t="shared" ca="1" si="8"/>
        <v>0.12845295461680661</v>
      </c>
      <c r="D170" s="7">
        <f t="shared" ca="1" si="9"/>
        <v>8.0263109800922008E-2</v>
      </c>
      <c r="E170" s="7">
        <f t="shared" ca="1" si="10"/>
        <v>0.12780829457791387</v>
      </c>
      <c r="F170" s="7">
        <f t="shared" ca="1" si="11"/>
        <v>1.5055853925459356E-2</v>
      </c>
      <c r="G170" s="7">
        <f ca="1">$C$11/(1+D170)^1
 +$D$11/(1+D170)^2
 +$E$11/(1+D170)^3
 +$F$11/(1+D170)^4
 +$G$11/(1+D170)^5
 +$H$11/(1+D170)^6
 +$I$11/(1+D170)^7
 + ( $I$11*(1+F170)/(D170-F170) )/(1+D170)^7</f>
        <v>420.254907334672</v>
      </c>
      <c r="H170" s="7">
        <f ca="1">(G170-$C$8)/$C$9</f>
        <v>2.3110860885044775</v>
      </c>
    </row>
    <row r="171" spans="3:8" x14ac:dyDescent="0.35">
      <c r="C171" s="8">
        <f t="shared" ca="1" si="8"/>
        <v>0.19940653359524485</v>
      </c>
      <c r="D171" s="7">
        <f t="shared" ca="1" si="9"/>
        <v>8.278723416334044E-2</v>
      </c>
      <c r="E171" s="7">
        <f t="shared" ca="1" si="10"/>
        <v>0.92275872440742401</v>
      </c>
      <c r="F171" s="7">
        <f t="shared" ca="1" si="11"/>
        <v>2.6069573163317348E-2</v>
      </c>
      <c r="G171" s="7">
        <f ca="1">$C$11/(1+D171)^1
 +$D$11/(1+D171)^2
 +$E$11/(1+D171)^3
 +$F$11/(1+D171)^4
 +$G$11/(1+D171)^5
 +$H$11/(1+D171)^6
 +$I$11/(1+D171)^7
 + ( $I$11*(1+F171)/(D171-F171) )/(1+D171)^7</f>
        <v>460.02398509032969</v>
      </c>
      <c r="H171" s="7">
        <f ca="1">(G171-$C$8)/$C$9</f>
        <v>2.5359225751375489</v>
      </c>
    </row>
    <row r="172" spans="3:8" x14ac:dyDescent="0.35">
      <c r="C172" s="8">
        <f t="shared" ca="1" si="8"/>
        <v>0.88734133391835257</v>
      </c>
      <c r="D172" s="7">
        <f t="shared" ca="1" si="9"/>
        <v>0.10062589953415876</v>
      </c>
      <c r="E172" s="7">
        <f t="shared" ca="1" si="10"/>
        <v>0.93993698206181187</v>
      </c>
      <c r="F172" s="7">
        <f t="shared" ca="1" si="11"/>
        <v>2.653407969110113E-2</v>
      </c>
      <c r="G172" s="7">
        <f ca="1">$C$11/(1+D172)^1
 +$D$11/(1+D172)^2
 +$E$11/(1+D172)^3
 +$F$11/(1+D172)^4
 +$G$11/(1+D172)^5
 +$H$11/(1+D172)^6
 +$I$11/(1+D172)^7
 + ( $I$11*(1+F172)/(D172-F172) )/(1+D172)^7</f>
        <v>348.11770439456575</v>
      </c>
      <c r="H172" s="7">
        <f ca="1">(G172-$C$8)/$C$9</f>
        <v>1.9032547738272598</v>
      </c>
    </row>
    <row r="173" spans="3:8" x14ac:dyDescent="0.35">
      <c r="C173" s="8">
        <f t="shared" ca="1" si="8"/>
        <v>0.24353827435169895</v>
      </c>
      <c r="D173" s="7">
        <f t="shared" ca="1" si="9"/>
        <v>8.4131574044259652E-2</v>
      </c>
      <c r="E173" s="7">
        <f t="shared" ca="1" si="10"/>
        <v>0.83454950414038331</v>
      </c>
      <c r="F173" s="7">
        <f t="shared" ca="1" si="11"/>
        <v>2.4247600572637244E-2</v>
      </c>
      <c r="G173" s="7">
        <f ca="1">$C$11/(1+D173)^1
 +$D$11/(1+D173)^2
 +$E$11/(1+D173)^3
 +$F$11/(1+D173)^4
 +$G$11/(1+D173)^5
 +$H$11/(1+D173)^6
 +$I$11/(1+D173)^7
 + ( $I$11*(1+F173)/(D173-F173) )/(1+D173)^7</f>
        <v>438.85575543675492</v>
      </c>
      <c r="H173" s="7">
        <f ca="1">(G173-$C$8)/$C$9</f>
        <v>2.4162469212842317</v>
      </c>
    </row>
    <row r="174" spans="3:8" x14ac:dyDescent="0.35">
      <c r="C174" s="8">
        <f t="shared" ca="1" si="8"/>
        <v>0.17315693401029597</v>
      </c>
      <c r="D174" s="7">
        <f t="shared" ca="1" si="9"/>
        <v>8.1915900548781145E-2</v>
      </c>
      <c r="E174" s="7">
        <f t="shared" ca="1" si="10"/>
        <v>0.99679733440940688</v>
      </c>
      <c r="F174" s="7">
        <f t="shared" ca="1" si="11"/>
        <v>2.9199666870535382E-2</v>
      </c>
      <c r="G174" s="7">
        <f ca="1">$C$11/(1+D174)^1
 +$D$11/(1+D174)^2
 +$E$11/(1+D174)^3
 +$F$11/(1+D174)^4
 +$G$11/(1+D174)^5
 +$H$11/(1+D174)^6
 +$I$11/(1+D174)^7
 + ( $I$11*(1+F174)/(D174-F174) )/(1+D174)^7</f>
        <v>488.34310817060737</v>
      </c>
      <c r="H174" s="7">
        <f ca="1">(G174-$C$8)/$C$9</f>
        <v>2.6960261655959257</v>
      </c>
    </row>
    <row r="175" spans="3:8" x14ac:dyDescent="0.35">
      <c r="C175" s="8">
        <f t="shared" ca="1" si="8"/>
        <v>0.66152446457653125</v>
      </c>
      <c r="D175" s="7">
        <f t="shared" ca="1" si="9"/>
        <v>9.3751587227353383E-2</v>
      </c>
      <c r="E175" s="7">
        <f t="shared" ca="1" si="10"/>
        <v>0.75711084795114814</v>
      </c>
      <c r="F175" s="7">
        <f t="shared" ca="1" si="11"/>
        <v>2.3030220203638398E-2</v>
      </c>
      <c r="G175" s="7">
        <f ca="1">$C$11/(1+D175)^1
 +$D$11/(1+D175)^2
 +$E$11/(1+D175)^3
 +$F$11/(1+D175)^4
 +$G$11/(1+D175)^5
 +$H$11/(1+D175)^6
 +$I$11/(1+D175)^7
 + ( $I$11*(1+F175)/(D175-F175) )/(1+D175)^7</f>
        <v>371.5084852103513</v>
      </c>
      <c r="H175" s="7">
        <f ca="1">(G175-$C$8)/$C$9</f>
        <v>2.0354957327586574</v>
      </c>
    </row>
    <row r="176" spans="3:8" x14ac:dyDescent="0.35">
      <c r="C176" s="8">
        <f t="shared" ca="1" si="8"/>
        <v>0.78684971434450601</v>
      </c>
      <c r="D176" s="7">
        <f t="shared" ca="1" si="9"/>
        <v>9.7105922956206389E-2</v>
      </c>
      <c r="E176" s="7">
        <f t="shared" ca="1" si="10"/>
        <v>0.47457000967396457</v>
      </c>
      <c r="F176" s="7">
        <f t="shared" ca="1" si="11"/>
        <v>1.9742381738301621E-2</v>
      </c>
      <c r="G176" s="7">
        <f ca="1">$C$11/(1+D176)^1
 +$D$11/(1+D176)^2
 +$E$11/(1+D176)^3
 +$F$11/(1+D176)^4
 +$G$11/(1+D176)^5
 +$H$11/(1+D176)^6
 +$I$11/(1+D176)^7
 + ( $I$11*(1+F176)/(D176-F176) )/(1+D176)^7</f>
        <v>343.63810996908978</v>
      </c>
      <c r="H176" s="7">
        <f ca="1">(G176-$C$8)/$C$9</f>
        <v>1.8779291608383637</v>
      </c>
    </row>
    <row r="177" spans="3:8" x14ac:dyDescent="0.35">
      <c r="C177" s="8">
        <f t="shared" ca="1" si="8"/>
        <v>3.2815911385601915E-3</v>
      </c>
      <c r="D177" s="7">
        <f t="shared" ca="1" si="9"/>
        <v>7.1640397736410094E-2</v>
      </c>
      <c r="E177" s="7">
        <f t="shared" ca="1" si="10"/>
        <v>0.73959699350785812</v>
      </c>
      <c r="F177" s="7">
        <f t="shared" ca="1" si="11"/>
        <v>2.2783310918542465E-2</v>
      </c>
      <c r="G177" s="7">
        <f ca="1">$C$11/(1+D177)^1
 +$D$11/(1+D177)^2
 +$E$11/(1+D177)^3
 +$F$11/(1+D177)^4
 +$G$11/(1+D177)^5
 +$H$11/(1+D177)^6
 +$I$11/(1+D177)^7
 + ( $I$11*(1+F177)/(D177-F177) )/(1+D177)^7</f>
        <v>545.44274389165014</v>
      </c>
      <c r="H177" s="7">
        <f ca="1">(G177-$C$8)/$C$9</f>
        <v>3.0188418356606181</v>
      </c>
    </row>
    <row r="178" spans="3:8" x14ac:dyDescent="0.35">
      <c r="C178" s="8">
        <f t="shared" ca="1" si="8"/>
        <v>0.98349394202608531</v>
      </c>
      <c r="D178" s="7">
        <f t="shared" ca="1" si="9"/>
        <v>0.10641186326631029</v>
      </c>
      <c r="E178" s="7">
        <f t="shared" ca="1" si="10"/>
        <v>0.74659165975999009</v>
      </c>
      <c r="F178" s="7">
        <f t="shared" ca="1" si="11"/>
        <v>2.2880894153898119E-2</v>
      </c>
      <c r="G178" s="7">
        <f ca="1">$C$11/(1+D178)^1
 +$D$11/(1+D178)^2
 +$E$11/(1+D178)^3
 +$F$11/(1+D178)^4
 +$G$11/(1+D178)^5
 +$H$11/(1+D178)^6
 +$I$11/(1+D178)^7
 + ( $I$11*(1+F178)/(D178-F178) )/(1+D178)^7</f>
        <v>312.54071199173291</v>
      </c>
      <c r="H178" s="7">
        <f ca="1">(G178-$C$8)/$C$9</f>
        <v>1.7021184531418638</v>
      </c>
    </row>
    <row r="179" spans="3:8" x14ac:dyDescent="0.35">
      <c r="C179" s="8">
        <f t="shared" ca="1" si="8"/>
        <v>0.68987619274909973</v>
      </c>
      <c r="D179" s="7">
        <f t="shared" ca="1" si="9"/>
        <v>9.444697554635427E-2</v>
      </c>
      <c r="E179" s="7">
        <f t="shared" ca="1" si="10"/>
        <v>4.9154451699772173E-2</v>
      </c>
      <c r="F179" s="7">
        <f t="shared" ca="1" si="11"/>
        <v>1.3135425065274951E-2</v>
      </c>
      <c r="G179" s="7">
        <f ca="1">$C$11/(1+D179)^1
 +$D$11/(1+D179)^2
 +$E$11/(1+D179)^3
 +$F$11/(1+D179)^4
 +$G$11/(1+D179)^5
 +$H$11/(1+D179)^6
 +$I$11/(1+D179)^7
 + ( $I$11*(1+F179)/(D179-F179) )/(1+D179)^7</f>
        <v>336.46537566030099</v>
      </c>
      <c r="H179" s="7">
        <f ca="1">(G179-$C$8)/$C$9</f>
        <v>1.8373777457050033</v>
      </c>
    </row>
    <row r="180" spans="3:8" x14ac:dyDescent="0.35">
      <c r="C180" s="8">
        <f t="shared" ca="1" si="8"/>
        <v>1.2580625960314618E-2</v>
      </c>
      <c r="D180" s="7">
        <f t="shared" ca="1" si="9"/>
        <v>7.3211870683489305E-2</v>
      </c>
      <c r="E180" s="7">
        <f t="shared" ca="1" si="10"/>
        <v>0.61228796876570457</v>
      </c>
      <c r="F180" s="7">
        <f t="shared" ca="1" si="11"/>
        <v>2.1194183385576382E-2</v>
      </c>
      <c r="G180" s="7">
        <f ca="1">$C$11/(1+D180)^1
 +$D$11/(1+D180)^2
 +$E$11/(1+D180)^3
 +$F$11/(1+D180)^4
 +$G$11/(1+D180)^5
 +$H$11/(1+D180)^6
 +$I$11/(1+D180)^7
 + ( $I$11*(1+F180)/(D180-F180) )/(1+D180)^7</f>
        <v>515.42259647634899</v>
      </c>
      <c r="H180" s="7">
        <f ca="1">(G180-$C$8)/$C$9</f>
        <v>2.8491214183420905</v>
      </c>
    </row>
    <row r="181" spans="3:8" x14ac:dyDescent="0.35">
      <c r="C181" s="8">
        <f t="shared" ca="1" si="8"/>
        <v>0.76627383223819479</v>
      </c>
      <c r="D181" s="7">
        <f t="shared" ca="1" si="9"/>
        <v>9.6497910870750103E-2</v>
      </c>
      <c r="E181" s="7">
        <f t="shared" ca="1" si="10"/>
        <v>0.59536171417232309</v>
      </c>
      <c r="F181" s="7">
        <f t="shared" ca="1" si="11"/>
        <v>2.1004019944134193E-2</v>
      </c>
      <c r="G181" s="7">
        <f ca="1">$C$11/(1+D181)^1
 +$D$11/(1+D181)^2
 +$E$11/(1+D181)^3
 +$F$11/(1+D181)^4
 +$G$11/(1+D181)^5
 +$H$11/(1+D181)^6
 +$I$11/(1+D181)^7
 + ( $I$11*(1+F181)/(D181-F181) )/(1+D181)^7</f>
        <v>350.43761666886826</v>
      </c>
      <c r="H181" s="7">
        <f ca="1">(G181-$C$8)/$C$9</f>
        <v>1.9163705148624393</v>
      </c>
    </row>
    <row r="182" spans="3:8" x14ac:dyDescent="0.35">
      <c r="C182" s="8">
        <f t="shared" ca="1" si="8"/>
        <v>0.50703882864400307</v>
      </c>
      <c r="D182" s="7">
        <f t="shared" ca="1" si="9"/>
        <v>9.0390484042515581E-2</v>
      </c>
      <c r="E182" s="7">
        <f t="shared" ca="1" si="10"/>
        <v>0.6977001223150745</v>
      </c>
      <c r="F182" s="7">
        <f t="shared" ca="1" si="11"/>
        <v>2.2224398702544921E-2</v>
      </c>
      <c r="G182" s="7">
        <f ca="1">$C$11/(1+D182)^1
 +$D$11/(1+D182)^2
 +$E$11/(1+D182)^3
 +$F$11/(1+D182)^4
 +$G$11/(1+D182)^5
 +$H$11/(1+D182)^6
 +$I$11/(1+D182)^7
 + ( $I$11*(1+F182)/(D182-F182) )/(1+D182)^7</f>
        <v>387.4981465031708</v>
      </c>
      <c r="H182" s="7">
        <f ca="1">(G182-$C$8)/$C$9</f>
        <v>2.1258940892309521</v>
      </c>
    </row>
    <row r="183" spans="3:8" x14ac:dyDescent="0.35">
      <c r="C183" s="8">
        <f t="shared" ca="1" si="8"/>
        <v>0.92685890727125397</v>
      </c>
      <c r="D183" s="7">
        <f t="shared" ca="1" si="9"/>
        <v>0.10244685149567269</v>
      </c>
      <c r="E183" s="7">
        <f t="shared" ca="1" si="10"/>
        <v>0.66009266209221662</v>
      </c>
      <c r="F183" s="7">
        <f t="shared" ca="1" si="11"/>
        <v>2.1754912518259333E-2</v>
      </c>
      <c r="G183" s="7">
        <f ca="1">$C$11/(1+D183)^1
 +$D$11/(1+D183)^2
 +$E$11/(1+D183)^3
 +$F$11/(1+D183)^4
 +$G$11/(1+D183)^5
 +$H$11/(1+D183)^6
 +$I$11/(1+D183)^7
 + ( $I$11*(1+F183)/(D183-F183) )/(1+D183)^7</f>
        <v>325.74099688328351</v>
      </c>
      <c r="H183" s="7">
        <f ca="1">(G183-$C$8)/$C$9</f>
        <v>1.776746929462254</v>
      </c>
    </row>
    <row r="184" spans="3:8" x14ac:dyDescent="0.35">
      <c r="C184" s="8">
        <f t="shared" ca="1" si="8"/>
        <v>0.73288877838587274</v>
      </c>
      <c r="D184" s="7">
        <f t="shared" ca="1" si="9"/>
        <v>9.5565778411739022E-2</v>
      </c>
      <c r="E184" s="7">
        <f t="shared" ca="1" si="10"/>
        <v>0.71595833825461674</v>
      </c>
      <c r="F184" s="7">
        <f t="shared" ca="1" si="11"/>
        <v>2.2462869753740709E-2</v>
      </c>
      <c r="G184" s="7">
        <f ca="1">$C$11/(1+D184)^1
 +$D$11/(1+D184)^2
 +$E$11/(1+D184)^3
 +$F$11/(1+D184)^4
 +$G$11/(1+D184)^5
 +$H$11/(1+D184)^6
 +$I$11/(1+D184)^7
 + ( $I$11*(1+F184)/(D184-F184) )/(1+D184)^7</f>
        <v>359.89454144945012</v>
      </c>
      <c r="H184" s="7">
        <f ca="1">(G184-$C$8)/$C$9</f>
        <v>1.9698357160190529</v>
      </c>
    </row>
    <row r="185" spans="3:8" x14ac:dyDescent="0.35">
      <c r="C185" s="8">
        <f t="shared" ca="1" si="8"/>
        <v>0.5383945270325512</v>
      </c>
      <c r="D185" s="7">
        <f t="shared" ca="1" si="9"/>
        <v>9.1024956682141403E-2</v>
      </c>
      <c r="E185" s="7">
        <f t="shared" ca="1" si="10"/>
        <v>0.78948637517940756</v>
      </c>
      <c r="F185" s="7">
        <f t="shared" ca="1" si="11"/>
        <v>2.3511338738682802E-2</v>
      </c>
      <c r="G185" s="7">
        <f ca="1">$C$11/(1+D185)^1
 +$D$11/(1+D185)^2
 +$E$11/(1+D185)^3
 +$F$11/(1+D185)^4
 +$G$11/(1+D185)^5
 +$H$11/(1+D185)^6
 +$I$11/(1+D185)^7
 + ( $I$11*(1+F185)/(D185-F185) )/(1+D185)^7</f>
        <v>388.96598678809755</v>
      </c>
      <c r="H185" s="7">
        <f ca="1">(G185-$C$8)/$C$9</f>
        <v>2.1341925983044865</v>
      </c>
    </row>
    <row r="186" spans="3:8" x14ac:dyDescent="0.35">
      <c r="C186" s="8">
        <f t="shared" ca="1" si="8"/>
        <v>0.94979204369345338</v>
      </c>
      <c r="D186" s="7">
        <f t="shared" ca="1" si="9"/>
        <v>0.10374202860991628</v>
      </c>
      <c r="E186" s="7">
        <f t="shared" ca="1" si="10"/>
        <v>0.43706261648480549</v>
      </c>
      <c r="F186" s="7">
        <f t="shared" ca="1" si="11"/>
        <v>1.9349466471246426E-2</v>
      </c>
      <c r="G186" s="7">
        <f ca="1">$C$11/(1+D186)^1
 +$D$11/(1+D186)^2
 +$E$11/(1+D186)^3
 +$F$11/(1+D186)^4
 +$G$11/(1+D186)^5
 +$H$11/(1+D186)^6
 +$I$11/(1+D186)^7
 + ( $I$11*(1+F186)/(D186-F186) )/(1+D186)^7</f>
        <v>314.29709792317522</v>
      </c>
      <c r="H186" s="7">
        <f ca="1">(G186-$C$8)/$C$9</f>
        <v>1.7120482695792356</v>
      </c>
    </row>
    <row r="187" spans="3:8" x14ac:dyDescent="0.35">
      <c r="C187" s="8">
        <f t="shared" ca="1" si="8"/>
        <v>0.66713135635147414</v>
      </c>
      <c r="D187" s="7">
        <f t="shared" ca="1" si="9"/>
        <v>9.3886727767276745E-2</v>
      </c>
      <c r="E187" s="7">
        <f t="shared" ca="1" si="10"/>
        <v>0.79116029006166178</v>
      </c>
      <c r="F187" s="7">
        <f t="shared" ca="1" si="11"/>
        <v>2.3537187764783224E-2</v>
      </c>
      <c r="G187" s="7">
        <f ca="1">$C$11/(1+D187)^1
 +$D$11/(1+D187)^2
 +$E$11/(1+D187)^3
 +$F$11/(1+D187)^4
 +$G$11/(1+D187)^5
 +$H$11/(1+D187)^6
 +$I$11/(1+D187)^7
 + ( $I$11*(1+F187)/(D187-F187) )/(1+D187)^7</f>
        <v>372.64447061541648</v>
      </c>
      <c r="H187" s="7">
        <f ca="1">(G187-$C$8)/$C$9</f>
        <v>2.0419180835335622</v>
      </c>
    </row>
    <row r="188" spans="3:8" x14ac:dyDescent="0.35">
      <c r="C188" s="8">
        <f t="shared" ca="1" si="8"/>
        <v>0.59967865547352939</v>
      </c>
      <c r="D188" s="7">
        <f t="shared" ca="1" si="9"/>
        <v>9.2329384596719702E-2</v>
      </c>
      <c r="E188" s="7">
        <f t="shared" ca="1" si="10"/>
        <v>0.98234965049573131</v>
      </c>
      <c r="F188" s="7">
        <f t="shared" ca="1" si="11"/>
        <v>2.8121151975051269E-2</v>
      </c>
      <c r="G188" s="7">
        <f ca="1">$C$11/(1+D188)^1
 +$D$11/(1+D188)^2
 +$E$11/(1+D188)^3
 +$F$11/(1+D188)^4
 +$G$11/(1+D188)^5
 +$H$11/(1+D188)^6
 +$I$11/(1+D188)^7
 + ( $I$11*(1+F188)/(D188-F188) )/(1+D188)^7</f>
        <v>400.68845154346081</v>
      </c>
      <c r="H188" s="7">
        <f ca="1">(G188-$C$8)/$C$9</f>
        <v>2.2004661439589599</v>
      </c>
    </row>
    <row r="189" spans="3:8" x14ac:dyDescent="0.35">
      <c r="C189" s="8">
        <f t="shared" ca="1" si="8"/>
        <v>0.42758013639611736</v>
      </c>
      <c r="D189" s="7">
        <f t="shared" ca="1" si="9"/>
        <v>8.8724735294385779E-2</v>
      </c>
      <c r="E189" s="7">
        <f t="shared" ca="1" si="10"/>
        <v>0.55501680961319444</v>
      </c>
      <c r="F189" s="7">
        <f t="shared" ca="1" si="11"/>
        <v>2.0566197051169605E-2</v>
      </c>
      <c r="G189" s="7">
        <f ca="1">$C$11/(1+D189)^1
 +$D$11/(1+D189)^2
 +$E$11/(1+D189)^3
 +$F$11/(1+D189)^4
 +$G$11/(1+D189)^5
 +$H$11/(1+D189)^6
 +$I$11/(1+D189)^7
 + ( $I$11*(1+F189)/(D189-F189) )/(1+D189)^7</f>
        <v>390.66008059473859</v>
      </c>
      <c r="H189" s="7">
        <f ca="1">(G189-$C$8)/$C$9</f>
        <v>2.1437702430729226</v>
      </c>
    </row>
    <row r="190" spans="3:8" x14ac:dyDescent="0.35">
      <c r="C190" s="8">
        <f t="shared" ca="1" si="8"/>
        <v>0.7816936556831412</v>
      </c>
      <c r="D190" s="7">
        <f t="shared" ca="1" si="9"/>
        <v>9.6950902384948232E-2</v>
      </c>
      <c r="E190" s="7">
        <f t="shared" ca="1" si="10"/>
        <v>0.7650221238017747</v>
      </c>
      <c r="F190" s="7">
        <f t="shared" ca="1" si="11"/>
        <v>2.3144668116010351E-2</v>
      </c>
      <c r="G190" s="7">
        <f ca="1">$C$11/(1+D190)^1
 +$D$11/(1+D190)^2
 +$E$11/(1+D190)^3
 +$F$11/(1+D190)^4
 +$G$11/(1+D190)^5
 +$H$11/(1+D190)^6
 +$I$11/(1+D190)^7
 + ( $I$11*(1+F190)/(D190-F190) )/(1+D190)^7</f>
        <v>355.17128464461211</v>
      </c>
      <c r="H190" s="7">
        <f ca="1">(G190-$C$8)/$C$9</f>
        <v>1.9431325454806201</v>
      </c>
    </row>
    <row r="191" spans="3:8" x14ac:dyDescent="0.35">
      <c r="C191" s="8">
        <f t="shared" ca="1" si="8"/>
        <v>0.26200829041524698</v>
      </c>
      <c r="D191" s="7">
        <f t="shared" ca="1" si="9"/>
        <v>8.4657653227597607E-2</v>
      </c>
      <c r="E191" s="7">
        <f t="shared" ca="1" si="10"/>
        <v>0.43589605024616174</v>
      </c>
      <c r="F191" s="7">
        <f t="shared" ca="1" si="11"/>
        <v>1.9336980778026286E-2</v>
      </c>
      <c r="G191" s="7">
        <f ca="1">$C$11/(1+D191)^1
 +$D$11/(1+D191)^2
 +$E$11/(1+D191)^3
 +$F$11/(1+D191)^4
 +$G$11/(1+D191)^5
 +$H$11/(1+D191)^6
 +$I$11/(1+D191)^7
 + ( $I$11*(1+F191)/(D191-F191) )/(1+D191)^7</f>
        <v>410.79159077880399</v>
      </c>
      <c r="H191" s="7">
        <f ca="1">(G191-$C$8)/$C$9</f>
        <v>2.2575847511239484</v>
      </c>
    </row>
    <row r="192" spans="3:8" x14ac:dyDescent="0.35">
      <c r="C192" s="8">
        <f t="shared" ca="1" si="8"/>
        <v>0.50860119327878328</v>
      </c>
      <c r="D192" s="7">
        <f t="shared" ca="1" si="9"/>
        <v>9.0421874999338389E-2</v>
      </c>
      <c r="E192" s="7">
        <f t="shared" ca="1" si="10"/>
        <v>0.67136385167684154</v>
      </c>
      <c r="F192" s="7">
        <f t="shared" ca="1" si="11"/>
        <v>2.1892766830500576E-2</v>
      </c>
      <c r="G192" s="7">
        <f ca="1">$C$11/(1+D192)^1
 +$D$11/(1+D192)^2
 +$E$11/(1+D192)^3
 +$F$11/(1+D192)^4
 +$G$11/(1+D192)^5
 +$H$11/(1+D192)^6
 +$I$11/(1+D192)^7
 + ( $I$11*(1+F192)/(D192-F192) )/(1+D192)^7</f>
        <v>385.98089205044585</v>
      </c>
      <c r="H192" s="7">
        <f ca="1">(G192-$C$8)/$C$9</f>
        <v>2.1173162146678304</v>
      </c>
    </row>
    <row r="193" spans="3:8" x14ac:dyDescent="0.35">
      <c r="C193" s="8">
        <f t="shared" ca="1" si="8"/>
        <v>0.42625746670402587</v>
      </c>
      <c r="D193" s="7">
        <f t="shared" ca="1" si="9"/>
        <v>8.8695751461155589E-2</v>
      </c>
      <c r="E193" s="7">
        <f t="shared" ca="1" si="10"/>
        <v>0.54813916551846786</v>
      </c>
      <c r="F193" s="7">
        <f t="shared" ca="1" si="11"/>
        <v>2.0493572337817616E-2</v>
      </c>
      <c r="G193" s="7">
        <f ca="1">$C$11/(1+D193)^1
 +$D$11/(1+D193)^2
 +$E$11/(1+D193)^3
 +$F$11/(1+D193)^4
 +$G$11/(1+D193)^5
 +$H$11/(1+D193)^6
 +$I$11/(1+D193)^7
 + ( $I$11*(1+F193)/(D193-F193) )/(1+D193)^7</f>
        <v>390.53696750652205</v>
      </c>
      <c r="H193" s="7">
        <f ca="1">(G193-$C$8)/$C$9</f>
        <v>2.1430742170201382</v>
      </c>
    </row>
    <row r="194" spans="3:8" x14ac:dyDescent="0.35">
      <c r="C194" s="8">
        <f t="shared" ca="1" si="8"/>
        <v>0.41332461844020674</v>
      </c>
      <c r="D194" s="7">
        <f t="shared" ca="1" si="9"/>
        <v>8.8409948047753137E-2</v>
      </c>
      <c r="E194" s="7">
        <f t="shared" ca="1" si="10"/>
        <v>0.92958194315154818</v>
      </c>
      <c r="F194" s="7">
        <f t="shared" ca="1" si="11"/>
        <v>2.6247186206365899E-2</v>
      </c>
      <c r="G194" s="7">
        <f ca="1">$C$11/(1+D194)^1
 +$D$11/(1+D194)^2
 +$E$11/(1+D194)^3
 +$F$11/(1+D194)^4
 +$G$11/(1+D194)^5
 +$H$11/(1+D194)^6
 +$I$11/(1+D194)^7
 + ( $I$11*(1+F194)/(D194-F194) )/(1+D194)^7</f>
        <v>418.11131877053708</v>
      </c>
      <c r="H194" s="7">
        <f ca="1">(G194-$C$8)/$C$9</f>
        <v>2.2989672024566774</v>
      </c>
    </row>
    <row r="195" spans="3:8" x14ac:dyDescent="0.35">
      <c r="C195" s="8">
        <f t="shared" ca="1" si="8"/>
        <v>1.5218192959054022E-2</v>
      </c>
      <c r="D195" s="7">
        <f t="shared" ca="1" si="9"/>
        <v>7.3532551234791133E-2</v>
      </c>
      <c r="E195" s="7">
        <f t="shared" ca="1" si="10"/>
        <v>1.7725295945080433E-2</v>
      </c>
      <c r="F195" s="7">
        <f t="shared" ca="1" si="11"/>
        <v>1.1882832756517712E-2</v>
      </c>
      <c r="G195" s="7">
        <f ca="1">$C$11/(1+D195)^1
 +$D$11/(1+D195)^2
 +$E$11/(1+D195)^3
 +$F$11/(1+D195)^4
 +$G$11/(1+D195)^5
 +$H$11/(1+D195)^6
 +$I$11/(1+D195)^7
 + ( $I$11*(1+F195)/(D195-F195) )/(1+D195)^7</f>
        <v>452.68040585294722</v>
      </c>
      <c r="H195" s="7">
        <f ca="1">(G195-$C$8)/$C$9</f>
        <v>2.4944052795847309</v>
      </c>
    </row>
    <row r="196" spans="3:8" x14ac:dyDescent="0.35">
      <c r="C196" s="8">
        <f t="shared" ca="1" si="8"/>
        <v>0.24459260886578926</v>
      </c>
      <c r="D196" s="7">
        <f t="shared" ca="1" si="9"/>
        <v>8.4162130463667786E-2</v>
      </c>
      <c r="E196" s="7">
        <f t="shared" ca="1" si="10"/>
        <v>0.95118649835031721</v>
      </c>
      <c r="F196" s="7">
        <f t="shared" ca="1" si="11"/>
        <v>2.6875467982251332E-2</v>
      </c>
      <c r="G196" s="7">
        <f ca="1">$C$11/(1+D196)^1
 +$D$11/(1+D196)^2
 +$E$11/(1+D196)^3
 +$F$11/(1+D196)^4
 +$G$11/(1+D196)^5
 +$H$11/(1+D196)^6
 +$I$11/(1+D196)^7
 + ( $I$11*(1+F196)/(D196-F196) )/(1+D196)^7</f>
        <v>453.4990698292554</v>
      </c>
      <c r="H196" s="7">
        <f ca="1">(G196-$C$8)/$C$9</f>
        <v>2.4990336376597431</v>
      </c>
    </row>
    <row r="197" spans="3:8" x14ac:dyDescent="0.35">
      <c r="C197" s="8">
        <f t="shared" ca="1" si="8"/>
        <v>0.81726954692833242</v>
      </c>
      <c r="D197" s="7">
        <f t="shared" ca="1" si="9"/>
        <v>9.8061417446116114E-2</v>
      </c>
      <c r="E197" s="7">
        <f t="shared" ca="1" si="10"/>
        <v>0.5777889421185548</v>
      </c>
      <c r="F197" s="7">
        <f t="shared" ca="1" si="11"/>
        <v>2.0810755658037541E-2</v>
      </c>
      <c r="G197" s="7">
        <f ca="1">$C$11/(1+D197)^1
 +$D$11/(1+D197)^2
 +$E$11/(1+D197)^3
 +$F$11/(1+D197)^4
 +$G$11/(1+D197)^5
 +$H$11/(1+D197)^6
 +$I$11/(1+D197)^7
 + ( $I$11*(1+F197)/(D197-F197) )/(1+D197)^7</f>
        <v>342.43223213442769</v>
      </c>
      <c r="H197" s="7">
        <f ca="1">(G197-$C$8)/$C$9</f>
        <v>1.8711116696880805</v>
      </c>
    </row>
    <row r="198" spans="3:8" x14ac:dyDescent="0.35">
      <c r="C198" s="8">
        <f t="shared" ca="1" si="8"/>
        <v>0.5369096821954471</v>
      </c>
      <c r="D198" s="7">
        <f t="shared" ca="1" si="9"/>
        <v>9.0994462704581294E-2</v>
      </c>
      <c r="E198" s="7">
        <f t="shared" ca="1" si="10"/>
        <v>0.45190595708974102</v>
      </c>
      <c r="F198" s="7">
        <f t="shared" ca="1" si="11"/>
        <v>1.950690230400777E-2</v>
      </c>
      <c r="G198" s="7">
        <f ca="1">$C$11/(1+D198)^1
 +$D$11/(1+D198)^2
 +$E$11/(1+D198)^3
 +$F$11/(1+D198)^4
 +$G$11/(1+D198)^5
 +$H$11/(1+D198)^6
 +$I$11/(1+D198)^7
 + ( $I$11*(1+F198)/(D198-F198) )/(1+D198)^7</f>
        <v>373.61816994256367</v>
      </c>
      <c r="H198" s="7">
        <f ca="1">(G198-$C$8)/$C$9</f>
        <v>2.0474229417829242</v>
      </c>
    </row>
    <row r="199" spans="3:8" x14ac:dyDescent="0.35">
      <c r="C199" s="8">
        <f t="shared" ca="1" si="8"/>
        <v>0.20797567162479791</v>
      </c>
      <c r="D199" s="7">
        <f t="shared" ca="1" si="9"/>
        <v>8.3059098388952216E-2</v>
      </c>
      <c r="E199" s="7">
        <f t="shared" ca="1" si="10"/>
        <v>0.33396440134791328</v>
      </c>
      <c r="F199" s="7">
        <f t="shared" ca="1" si="11"/>
        <v>1.8172691127748719E-2</v>
      </c>
      <c r="G199" s="7">
        <f ca="1">$C$11/(1+D199)^1
 +$D$11/(1+D199)^2
 +$E$11/(1+D199)^3
 +$F$11/(1+D199)^4
 +$G$11/(1+D199)^5
 +$H$11/(1+D199)^6
 +$I$11/(1+D199)^7
 + ( $I$11*(1+F199)/(D199-F199) )/(1+D199)^7</f>
        <v>416.0164084838371</v>
      </c>
      <c r="H199" s="7">
        <f ca="1">(G199-$C$8)/$C$9</f>
        <v>2.2871235215051846</v>
      </c>
    </row>
    <row r="200" spans="3:8" x14ac:dyDescent="0.35">
      <c r="C200" s="8">
        <f t="shared" ca="1" si="8"/>
        <v>3.9980531860137503E-2</v>
      </c>
      <c r="D200" s="7">
        <f t="shared" ca="1" si="9"/>
        <v>7.5725734548973855E-2</v>
      </c>
      <c r="E200" s="7">
        <f t="shared" ca="1" si="10"/>
        <v>0.97793841671397486</v>
      </c>
      <c r="F200" s="7">
        <f t="shared" ca="1" si="11"/>
        <v>2.7899448487371702E-2</v>
      </c>
      <c r="G200" s="7">
        <f ca="1">$C$11/(1+D200)^1
 +$D$11/(1+D200)^2
 +$E$11/(1+D200)^3
 +$F$11/(1+D200)^4
 +$G$11/(1+D200)^5
 +$H$11/(1+D200)^6
 +$I$11/(1+D200)^7
 + ( $I$11*(1+F200)/(D200-F200) )/(1+D200)^7</f>
        <v>543.22775697001316</v>
      </c>
      <c r="H200" s="7">
        <f ca="1">(G200-$C$8)/$C$9</f>
        <v>3.0063192953980842</v>
      </c>
    </row>
    <row r="201" spans="3:8" x14ac:dyDescent="0.35">
      <c r="C201" s="8">
        <f t="shared" ca="1" si="8"/>
        <v>0.62998819324961441</v>
      </c>
      <c r="D201" s="7">
        <f t="shared" ca="1" si="9"/>
        <v>9.3011497733310897E-2</v>
      </c>
      <c r="E201" s="7">
        <f t="shared" ca="1" si="10"/>
        <v>0.67745466036204804</v>
      </c>
      <c r="F201" s="7">
        <f t="shared" ca="1" si="11"/>
        <v>2.1968246273223364E-2</v>
      </c>
      <c r="G201" s="7">
        <f ca="1">$C$11/(1+D201)^1
 +$D$11/(1+D201)^2
 +$E$11/(1+D201)^3
 +$F$11/(1+D201)^4
 +$G$11/(1+D201)^5
 +$H$11/(1+D201)^6
 +$I$11/(1+D201)^7
 + ( $I$11*(1+F201)/(D201-F201) )/(1+D201)^7</f>
        <v>371.64230770432107</v>
      </c>
      <c r="H201" s="7">
        <f ca="1">(G201-$C$8)/$C$9</f>
        <v>2.0362523049769394</v>
      </c>
    </row>
    <row r="202" spans="3:8" x14ac:dyDescent="0.35">
      <c r="C202" s="8">
        <f t="shared" ca="1" si="8"/>
        <v>0.50645081876581732</v>
      </c>
      <c r="D202" s="7">
        <f t="shared" ca="1" si="9"/>
        <v>9.0378657251839981E-2</v>
      </c>
      <c r="E202" s="7">
        <f t="shared" ca="1" si="10"/>
        <v>0.96800709917178018</v>
      </c>
      <c r="F202" s="7">
        <f t="shared" ca="1" si="11"/>
        <v>2.747045850683489E-2</v>
      </c>
      <c r="G202" s="7">
        <f ca="1">$C$11/(1+D202)^1
 +$D$11/(1+D202)^2
 +$E$11/(1+D202)^3
 +$F$11/(1+D202)^4
 +$G$11/(1+D202)^5
 +$H$11/(1+D202)^6
 +$I$11/(1+D202)^7
 + ( $I$11*(1+F202)/(D202-F202) )/(1+D202)^7</f>
        <v>410.53844204829647</v>
      </c>
      <c r="H202" s="7">
        <f ca="1">(G202-$C$8)/$C$9</f>
        <v>2.2561535620098172</v>
      </c>
    </row>
    <row r="203" spans="3:8" x14ac:dyDescent="0.35">
      <c r="C203" s="8">
        <f t="shared" ca="1" si="8"/>
        <v>0.93172895840141834</v>
      </c>
      <c r="D203" s="7">
        <f t="shared" ca="1" si="9"/>
        <v>0.10270264346171207</v>
      </c>
      <c r="E203" s="7">
        <f t="shared" ca="1" si="10"/>
        <v>0.32894204366758528</v>
      </c>
      <c r="F203" s="7">
        <f t="shared" ca="1" si="11"/>
        <v>1.8111005408302787E-2</v>
      </c>
      <c r="G203" s="7">
        <f ca="1">$C$11/(1+D203)^1
 +$D$11/(1+D203)^2
 +$E$11/(1+D203)^3
 +$F$11/(1+D203)^4
 +$G$11/(1+D203)^5
 +$H$11/(1+D203)^6
 +$I$11/(1+D203)^7
 + ( $I$11*(1+F203)/(D203-F203) )/(1+D203)^7</f>
        <v>315.32659303911043</v>
      </c>
      <c r="H203" s="7">
        <f ca="1">(G203-$C$8)/$C$9</f>
        <v>1.7178685721342741</v>
      </c>
    </row>
    <row r="204" spans="3:8" x14ac:dyDescent="0.35">
      <c r="C204" s="8">
        <f t="shared" ca="1" si="8"/>
        <v>0.39824375319771776</v>
      </c>
      <c r="D204" s="7">
        <f t="shared" ca="1" si="9"/>
        <v>8.8070967810887399E-2</v>
      </c>
      <c r="E204" s="7">
        <f t="shared" ca="1" si="10"/>
        <v>0.4441400919767915</v>
      </c>
      <c r="F204" s="7">
        <f t="shared" ca="1" si="11"/>
        <v>1.9424861717572215E-2</v>
      </c>
      <c r="G204" s="7">
        <f ca="1">$C$11/(1+D204)^1
 +$D$11/(1+D204)^2
 +$E$11/(1+D204)^3
 +$F$11/(1+D204)^4
 +$G$11/(1+D204)^5
 +$H$11/(1+D204)^6
 +$I$11/(1+D204)^7
 + ( $I$11*(1+F204)/(D204-F204) )/(1+D204)^7</f>
        <v>389.91654212668811</v>
      </c>
      <c r="H204" s="7">
        <f ca="1">(G204-$C$8)/$C$9</f>
        <v>2.1395666108474001</v>
      </c>
    </row>
    <row r="205" spans="3:8" x14ac:dyDescent="0.35">
      <c r="C205" s="8">
        <f t="shared" ca="1" si="8"/>
        <v>0.88750702649130575</v>
      </c>
      <c r="D205" s="7">
        <f t="shared" ca="1" si="9"/>
        <v>0.10063279554313126</v>
      </c>
      <c r="E205" s="7">
        <f t="shared" ca="1" si="10"/>
        <v>0.71084168187867669</v>
      </c>
      <c r="F205" s="7">
        <f t="shared" ca="1" si="11"/>
        <v>2.2395286749372818E-2</v>
      </c>
      <c r="G205" s="7">
        <f ca="1">$C$11/(1+D205)^1
 +$D$11/(1+D205)^2
 +$E$11/(1+D205)^3
 +$F$11/(1+D205)^4
 +$G$11/(1+D205)^5
 +$H$11/(1+D205)^6
 +$I$11/(1+D205)^7
 + ( $I$11*(1+F205)/(D205-F205) )/(1+D205)^7</f>
        <v>335.41360910544893</v>
      </c>
      <c r="H205" s="7">
        <f ca="1">(G205-$C$8)/$C$9</f>
        <v>1.8314315304469071</v>
      </c>
    </row>
    <row r="206" spans="3:8" x14ac:dyDescent="0.35">
      <c r="C206" s="8">
        <f t="shared" ca="1" si="8"/>
        <v>0.6931624110192065</v>
      </c>
      <c r="D206" s="7">
        <f t="shared" ca="1" si="9"/>
        <v>9.4529598602330359E-2</v>
      </c>
      <c r="E206" s="7">
        <f t="shared" ca="1" si="10"/>
        <v>0.38061930714838987</v>
      </c>
      <c r="F206" s="7">
        <f t="shared" ca="1" si="11"/>
        <v>1.8724898935212828E-2</v>
      </c>
      <c r="G206" s="7">
        <f ca="1">$C$11/(1+D206)^1
 +$D$11/(1+D206)^2
 +$E$11/(1+D206)^3
 +$F$11/(1+D206)^4
 +$G$11/(1+D206)^5
 +$H$11/(1+D206)^6
 +$I$11/(1+D206)^7
 + ( $I$11*(1+F206)/(D206-F206) )/(1+D206)^7</f>
        <v>352.72855702459981</v>
      </c>
      <c r="H206" s="7">
        <f ca="1">(G206-$C$8)/$C$9</f>
        <v>1.9293224616949332</v>
      </c>
    </row>
    <row r="207" spans="3:8" x14ac:dyDescent="0.35">
      <c r="C207" s="8">
        <f t="shared" ca="1" si="8"/>
        <v>0.24290229410365027</v>
      </c>
      <c r="D207" s="7">
        <f t="shared" ca="1" si="9"/>
        <v>8.4113110258373008E-2</v>
      </c>
      <c r="E207" s="7">
        <f t="shared" ca="1" si="10"/>
        <v>0.24926699183406142</v>
      </c>
      <c r="F207" s="7">
        <f t="shared" ca="1" si="11"/>
        <v>1.7060693901226158E-2</v>
      </c>
      <c r="G207" s="7">
        <f ca="1">$C$11/(1+D207)^1
 +$D$11/(1+D207)^2
 +$E$11/(1+D207)^3
 +$F$11/(1+D207)^4
 +$G$11/(1+D207)^5
 +$H$11/(1+D207)^6
 +$I$11/(1+D207)^7
 + ( $I$11*(1+F207)/(D207-F207) )/(1+D207)^7</f>
        <v>404.20189372729538</v>
      </c>
      <c r="H207" s="7">
        <f ca="1">(G207-$C$8)/$C$9</f>
        <v>2.2203295665269978</v>
      </c>
    </row>
    <row r="208" spans="3:8" x14ac:dyDescent="0.35">
      <c r="C208" s="8">
        <f t="shared" ca="1" si="8"/>
        <v>8.3605383661580435E-2</v>
      </c>
      <c r="D208" s="7">
        <f t="shared" ca="1" si="9"/>
        <v>7.8279880107978372E-2</v>
      </c>
      <c r="E208" s="7">
        <f t="shared" ca="1" si="10"/>
        <v>0.47755297957681131</v>
      </c>
      <c r="F208" s="7">
        <f t="shared" ca="1" si="11"/>
        <v>1.9772952262001604E-2</v>
      </c>
      <c r="G208" s="7">
        <f ca="1">$C$11/(1+D208)^1
 +$D$11/(1+D208)^2
 +$E$11/(1+D208)^3
 +$F$11/(1+D208)^4
 +$G$11/(1+D208)^5
 +$H$11/(1+D208)^6
 +$I$11/(1+D208)^7
 + ( $I$11*(1+F208)/(D208-F208) )/(1+D208)^7</f>
        <v>459.62682260025088</v>
      </c>
      <c r="H208" s="7">
        <f ca="1">(G208-$C$8)/$C$9</f>
        <v>2.5336771969711154</v>
      </c>
    </row>
    <row r="209" spans="3:8" x14ac:dyDescent="0.35">
      <c r="C209" s="8">
        <f t="shared" ref="C209:C272" ca="1" si="12">RAND()</f>
        <v>0.88637365995842943</v>
      </c>
      <c r="D209" s="7">
        <f t="shared" ref="D209:D272" ca="1" si="13">IF(C209&lt;(0.0905-0.07)/(0.11-0.07),
 0.07+SQRT(C209*(0.11-0.07)*(0.0905-0.07)),
 0.11-SQRT((1-C209)*(0.11-0.07)*(0.11-0.0905))
)</f>
        <v>0.10058572651595329</v>
      </c>
      <c r="E209" s="7">
        <f t="shared" ref="E209:E272" ca="1" si="14">RAND()</f>
        <v>0.96463438890220754</v>
      </c>
      <c r="F209" s="7">
        <f t="shared" ref="F209:F272" ca="1" si="15">MIN(
 IF(E209&lt;(0.02-0.01)/(0.03-0.01),
   0.01+SQRT(E209*(0.03-0.01)*(0.02-0.01)),
   0.03-SQRT((1-E209)*(0.03-0.01)*(0.03-0.02))
 ),
 D209-0.005
)</f>
        <v>2.7340465788985129E-2</v>
      </c>
      <c r="G209" s="7">
        <f ca="1">$C$11/(1+D209)^1
 +$D$11/(1+D209)^2
 +$E$11/(1+D209)^3
 +$F$11/(1+D209)^4
 +$G$11/(1+D209)^5
 +$H$11/(1+D209)^6
 +$I$11/(1+D209)^7
 + ( $I$11*(1+F209)/(D209-F209) )/(1+D209)^7</f>
        <v>350.95300076994795</v>
      </c>
      <c r="H209" s="7">
        <f ca="1">(G209-$C$8)/$C$9</f>
        <v>1.9192842648685433</v>
      </c>
    </row>
    <row r="210" spans="3:8" x14ac:dyDescent="0.35">
      <c r="C210" s="8">
        <f t="shared" ca="1" si="12"/>
        <v>0.1723894477674649</v>
      </c>
      <c r="D210" s="7">
        <f t="shared" ca="1" si="13"/>
        <v>8.1889463704024723E-2</v>
      </c>
      <c r="E210" s="7">
        <f t="shared" ca="1" si="14"/>
        <v>9.9855878345826987E-2</v>
      </c>
      <c r="F210" s="7">
        <f t="shared" ca="1" si="15"/>
        <v>1.4468912134867434E-2</v>
      </c>
      <c r="G210" s="7">
        <f ca="1">$C$11/(1+D210)^1
 +$D$11/(1+D210)^2
 +$E$11/(1+D210)^3
 +$F$11/(1+D210)^4
 +$G$11/(1+D210)^5
 +$H$11/(1+D210)^6
 +$I$11/(1+D210)^7
 + ( $I$11*(1+F210)/(D210-F210) )/(1+D210)^7</f>
        <v>407.01025732819147</v>
      </c>
      <c r="H210" s="7">
        <f ca="1">(G210-$C$8)/$C$9</f>
        <v>2.2362067917695128</v>
      </c>
    </row>
    <row r="211" spans="3:8" x14ac:dyDescent="0.35">
      <c r="C211" s="8">
        <f t="shared" ca="1" si="12"/>
        <v>0.4060551501247639</v>
      </c>
      <c r="D211" s="7">
        <f t="shared" ca="1" si="13"/>
        <v>8.8247334684887713E-2</v>
      </c>
      <c r="E211" s="7">
        <f t="shared" ca="1" si="14"/>
        <v>0.2433657713402082</v>
      </c>
      <c r="F211" s="7">
        <f t="shared" ca="1" si="15"/>
        <v>1.6976614814366752E-2</v>
      </c>
      <c r="G211" s="7">
        <f ca="1">$C$11/(1+D211)^1
 +$D$11/(1+D211)^2
 +$E$11/(1+D211)^3
 +$F$11/(1+D211)^4
 +$G$11/(1+D211)^5
 +$H$11/(1+D211)^6
 +$I$11/(1+D211)^7
 + ( $I$11*(1+F211)/(D211-F211) )/(1+D211)^7</f>
        <v>379.39411231822055</v>
      </c>
      <c r="H211" s="7">
        <f ca="1">(G211-$C$8)/$C$9</f>
        <v>2.0800775232825677</v>
      </c>
    </row>
    <row r="212" spans="3:8" x14ac:dyDescent="0.35">
      <c r="C212" s="8">
        <f t="shared" ca="1" si="12"/>
        <v>0.70981973776084695</v>
      </c>
      <c r="D212" s="7">
        <f t="shared" ca="1" si="13"/>
        <v>9.4955379547940089E-2</v>
      </c>
      <c r="E212" s="7">
        <f t="shared" ca="1" si="14"/>
        <v>0.81120683969463359</v>
      </c>
      <c r="F212" s="7">
        <f t="shared" ca="1" si="15"/>
        <v>2.3855194709262686E-2</v>
      </c>
      <c r="G212" s="7">
        <f ca="1">$C$11/(1+D212)^1
 +$D$11/(1+D212)^2
 +$E$11/(1+D212)^3
 +$F$11/(1+D212)^4
 +$G$11/(1+D212)^5
 +$H$11/(1+D212)^6
 +$I$11/(1+D212)^7
 + ( $I$11*(1+F212)/(D212-F212) )/(1+D212)^7</f>
        <v>367.99610358513121</v>
      </c>
      <c r="H212" s="7">
        <f ca="1">(G212-$C$8)/$C$9</f>
        <v>2.0156383061122298</v>
      </c>
    </row>
    <row r="213" spans="3:8" x14ac:dyDescent="0.35">
      <c r="C213" s="8">
        <f t="shared" ca="1" si="12"/>
        <v>0.92043299981312721</v>
      </c>
      <c r="D213" s="7">
        <f t="shared" ca="1" si="13"/>
        <v>0.10212203959480877</v>
      </c>
      <c r="E213" s="7">
        <f t="shared" ca="1" si="14"/>
        <v>0.4465918658614686</v>
      </c>
      <c r="F213" s="7">
        <f t="shared" ca="1" si="15"/>
        <v>1.9450839813069193E-2</v>
      </c>
      <c r="G213" s="7">
        <f ca="1">$C$11/(1+D213)^1
 +$D$11/(1+D213)^2
 +$E$11/(1+D213)^3
 +$F$11/(1+D213)^4
 +$G$11/(1+D213)^5
 +$H$11/(1+D213)^6
 +$I$11/(1+D213)^7
 + ( $I$11*(1+F213)/(D213-F213) )/(1+D213)^7</f>
        <v>321.01198101780892</v>
      </c>
      <c r="H213" s="7">
        <f ca="1">(G213-$C$8)/$C$9</f>
        <v>1.7500111997840846</v>
      </c>
    </row>
    <row r="214" spans="3:8" x14ac:dyDescent="0.35">
      <c r="C214" s="8">
        <f t="shared" ca="1" si="12"/>
        <v>0.12355390403139066</v>
      </c>
      <c r="D214" s="7">
        <f t="shared" ca="1" si="13"/>
        <v>8.0065495581725737E-2</v>
      </c>
      <c r="E214" s="7">
        <f t="shared" ca="1" si="14"/>
        <v>0.6840852047526228</v>
      </c>
      <c r="F214" s="7">
        <f t="shared" ca="1" si="15"/>
        <v>2.2051229085608554E-2</v>
      </c>
      <c r="G214" s="7">
        <f ca="1">$C$11/(1+D214)^1
 +$D$11/(1+D214)^2
 +$E$11/(1+D214)^3
 +$F$11/(1+D214)^4
 +$G$11/(1+D214)^5
 +$H$11/(1+D214)^6
 +$I$11/(1+D214)^7
 + ( $I$11*(1+F214)/(D214-F214) )/(1+D214)^7</f>
        <v>458.45305360215411</v>
      </c>
      <c r="H214" s="7">
        <f ca="1">(G214-$C$8)/$C$9</f>
        <v>2.5270412347475921</v>
      </c>
    </row>
    <row r="215" spans="3:8" x14ac:dyDescent="0.35">
      <c r="C215" s="8">
        <f t="shared" ca="1" si="12"/>
        <v>0.26286972113705198</v>
      </c>
      <c r="D215" s="7">
        <f t="shared" ca="1" si="13"/>
        <v>8.4681729166974265E-2</v>
      </c>
      <c r="E215" s="7">
        <f t="shared" ca="1" si="14"/>
        <v>0.7061436324963134</v>
      </c>
      <c r="F215" s="7">
        <f t="shared" ca="1" si="15"/>
        <v>2.2333757537050025E-2</v>
      </c>
      <c r="G215" s="7">
        <f ca="1">$C$11/(1+D215)^1
 +$D$11/(1+D215)^2
 +$E$11/(1+D215)^3
 +$F$11/(1+D215)^4
 +$G$11/(1+D215)^5
 +$H$11/(1+D215)^6
 +$I$11/(1+D215)^7
 + ( $I$11*(1+F215)/(D215-F215) )/(1+D215)^7</f>
        <v>424.88376971184357</v>
      </c>
      <c r="H215" s="7">
        <f ca="1">(G215-$C$8)/$C$9</f>
        <v>2.3372555953858183</v>
      </c>
    </row>
    <row r="216" spans="3:8" x14ac:dyDescent="0.35">
      <c r="C216" s="8">
        <f t="shared" ca="1" si="12"/>
        <v>0.46034792923916712</v>
      </c>
      <c r="D216" s="7">
        <f t="shared" ca="1" si="13"/>
        <v>8.9428980981413234E-2</v>
      </c>
      <c r="E216" s="7">
        <f t="shared" ca="1" si="14"/>
        <v>6.8916939784442244E-2</v>
      </c>
      <c r="F216" s="7">
        <f t="shared" ca="1" si="15"/>
        <v>1.3712598545074386E-2</v>
      </c>
      <c r="G216" s="7">
        <f ca="1">$C$11/(1+D216)^1
 +$D$11/(1+D216)^2
 +$E$11/(1+D216)^3
 +$F$11/(1+D216)^4
 +$G$11/(1+D216)^5
 +$H$11/(1+D216)^6
 +$I$11/(1+D216)^7
 + ( $I$11*(1+F216)/(D216-F216) )/(1+D216)^7</f>
        <v>361.6950939893195</v>
      </c>
      <c r="H216" s="7">
        <f ca="1">(G216-$C$8)/$C$9</f>
        <v>1.9800152306044747</v>
      </c>
    </row>
    <row r="217" spans="3:8" x14ac:dyDescent="0.35">
      <c r="C217" s="8">
        <f t="shared" ca="1" si="12"/>
        <v>0.59654374845292057</v>
      </c>
      <c r="D217" s="7">
        <f t="shared" ca="1" si="13"/>
        <v>9.2260330436935364E-2</v>
      </c>
      <c r="E217" s="7">
        <f t="shared" ca="1" si="14"/>
        <v>0.90208872681392327</v>
      </c>
      <c r="F217" s="7">
        <f t="shared" ca="1" si="15"/>
        <v>2.5574815864032846E-2</v>
      </c>
      <c r="G217" s="7">
        <f ca="1">$C$11/(1+D217)^1
 +$D$11/(1+D217)^2
 +$E$11/(1+D217)^3
 +$F$11/(1+D217)^4
 +$G$11/(1+D217)^5
 +$H$11/(1+D217)^6
 +$I$11/(1+D217)^7
 + ( $I$11*(1+F217)/(D217-F217) )/(1+D217)^7</f>
        <v>390.07278803754809</v>
      </c>
      <c r="H217" s="7">
        <f ca="1">(G217-$C$8)/$C$9</f>
        <v>2.1404499549838767</v>
      </c>
    </row>
    <row r="218" spans="3:8" x14ac:dyDescent="0.35">
      <c r="C218" s="8">
        <f t="shared" ca="1" si="12"/>
        <v>0.73321192985122752</v>
      </c>
      <c r="D218" s="7">
        <f t="shared" ca="1" si="13"/>
        <v>9.5574512323112176E-2</v>
      </c>
      <c r="E218" s="7">
        <f t="shared" ca="1" si="14"/>
        <v>0.44837661819857033</v>
      </c>
      <c r="F218" s="7">
        <f t="shared" ca="1" si="15"/>
        <v>1.9469705573021481E-2</v>
      </c>
      <c r="G218" s="7">
        <f ca="1">$C$11/(1+D218)^1
 +$D$11/(1+D218)^2
 +$E$11/(1+D218)^3
 +$F$11/(1+D218)^4
 +$G$11/(1+D218)^5
 +$H$11/(1+D218)^6
 +$I$11/(1+D218)^7
 + ( $I$11*(1+F218)/(D218-F218) )/(1+D218)^7</f>
        <v>350.0350041824845</v>
      </c>
      <c r="H218" s="7">
        <f ca="1">(G218-$C$8)/$C$9</f>
        <v>1.9140943248670539</v>
      </c>
    </row>
    <row r="219" spans="3:8" x14ac:dyDescent="0.35">
      <c r="C219" s="8">
        <f t="shared" ca="1" si="12"/>
        <v>0.37223435608477051</v>
      </c>
      <c r="D219" s="7">
        <f t="shared" ca="1" si="13"/>
        <v>8.7470894996808601E-2</v>
      </c>
      <c r="E219" s="7">
        <f t="shared" ca="1" si="14"/>
        <v>5.2770084857639121E-2</v>
      </c>
      <c r="F219" s="7">
        <f t="shared" ca="1" si="15"/>
        <v>1.3248694656554818E-2</v>
      </c>
      <c r="G219" s="7">
        <f ca="1">$C$11/(1+D219)^1
 +$D$11/(1+D219)^2
 +$E$11/(1+D219)^3
 +$F$11/(1+D219)^4
 +$G$11/(1+D219)^5
 +$H$11/(1+D219)^6
 +$I$11/(1+D219)^7
 + ( $I$11*(1+F219)/(D219-F219) )/(1+D219)^7</f>
        <v>370.17319664447029</v>
      </c>
      <c r="H219" s="7">
        <f ca="1">(G219-$C$8)/$C$9</f>
        <v>2.0279466115132876</v>
      </c>
    </row>
    <row r="220" spans="3:8" x14ac:dyDescent="0.35">
      <c r="C220" s="8">
        <f t="shared" ca="1" si="12"/>
        <v>0.28334128333130637</v>
      </c>
      <c r="D220" s="7">
        <f t="shared" ca="1" si="13"/>
        <v>8.5242698328434868E-2</v>
      </c>
      <c r="E220" s="7">
        <f t="shared" ca="1" si="14"/>
        <v>0.83584858281708696</v>
      </c>
      <c r="F220" s="7">
        <f t="shared" ca="1" si="15"/>
        <v>2.4270228325964236E-2</v>
      </c>
      <c r="G220" s="7">
        <f ca="1">$C$11/(1+D220)^1
 +$D$11/(1+D220)^2
 +$E$11/(1+D220)^3
 +$F$11/(1+D220)^4
 +$G$11/(1+D220)^5
 +$H$11/(1+D220)^6
 +$I$11/(1+D220)^7
 + ( $I$11*(1+F220)/(D220-F220) )/(1+D220)^7</f>
        <v>430.70481326764099</v>
      </c>
      <c r="H220" s="7">
        <f ca="1">(G220-$C$8)/$C$9</f>
        <v>2.3701651586818238</v>
      </c>
    </row>
    <row r="221" spans="3:8" x14ac:dyDescent="0.35">
      <c r="C221" s="8">
        <f t="shared" ca="1" si="12"/>
        <v>0.40496599538460709</v>
      </c>
      <c r="D221" s="7">
        <f t="shared" ca="1" si="13"/>
        <v>8.8222845996588403E-2</v>
      </c>
      <c r="E221" s="7">
        <f t="shared" ca="1" si="14"/>
        <v>0.40682262979910111</v>
      </c>
      <c r="F221" s="7">
        <f t="shared" ca="1" si="15"/>
        <v>1.9020228708842155E-2</v>
      </c>
      <c r="G221" s="7">
        <f ca="1">$C$11/(1+D221)^1
 +$D$11/(1+D221)^2
 +$E$11/(1+D221)^3
 +$F$11/(1+D221)^4
 +$G$11/(1+D221)^5
 +$H$11/(1+D221)^6
 +$I$11/(1+D221)^7
 + ( $I$11*(1+F221)/(D221-F221) )/(1+D221)^7</f>
        <v>387.40470463297095</v>
      </c>
      <c r="H221" s="7">
        <f ca="1">(G221-$C$8)/$C$9</f>
        <v>2.1253658109055342</v>
      </c>
    </row>
    <row r="222" spans="3:8" x14ac:dyDescent="0.35">
      <c r="C222" s="8">
        <f t="shared" ca="1" si="12"/>
        <v>0.80361923973487082</v>
      </c>
      <c r="D222" s="7">
        <f t="shared" ca="1" si="13"/>
        <v>9.7623530672813E-2</v>
      </c>
      <c r="E222" s="7">
        <f t="shared" ca="1" si="14"/>
        <v>0.38942702416532771</v>
      </c>
      <c r="F222" s="7">
        <f t="shared" ca="1" si="15"/>
        <v>1.8825270807916634E-2</v>
      </c>
      <c r="G222" s="7">
        <f ca="1">$C$11/(1+D222)^1
 +$D$11/(1+D222)^2
 +$E$11/(1+D222)^3
 +$F$11/(1+D222)^4
 +$G$11/(1+D222)^5
 +$H$11/(1+D222)^6
 +$I$11/(1+D222)^7
 + ( $I$11*(1+F222)/(D222-F222) )/(1+D222)^7</f>
        <v>338.55347590871389</v>
      </c>
      <c r="H222" s="7">
        <f ca="1">(G222-$C$8)/$C$9</f>
        <v>1.8491829257616117</v>
      </c>
    </row>
    <row r="223" spans="3:8" x14ac:dyDescent="0.35">
      <c r="C223" s="8">
        <f t="shared" ca="1" si="12"/>
        <v>8.3090856241400335E-2</v>
      </c>
      <c r="D223" s="7">
        <f t="shared" ca="1" si="13"/>
        <v>7.8254362611246756E-2</v>
      </c>
      <c r="E223" s="7">
        <f t="shared" ca="1" si="14"/>
        <v>0.59209984021843109</v>
      </c>
      <c r="F223" s="7">
        <f t="shared" ca="1" si="15"/>
        <v>2.0967833484909958E-2</v>
      </c>
      <c r="G223" s="7">
        <f ca="1">$C$11/(1+D223)^1
 +$D$11/(1+D223)^2
 +$E$11/(1+D223)^3
 +$F$11/(1+D223)^4
 +$G$11/(1+D223)^5
 +$H$11/(1+D223)^6
 +$I$11/(1+D223)^7
 + ( $I$11*(1+F223)/(D223-F223) )/(1+D223)^7</f>
        <v>466.99509128650789</v>
      </c>
      <c r="H223" s="7">
        <f ca="1">(G223-$C$8)/$C$9</f>
        <v>2.5753340755682261</v>
      </c>
    </row>
    <row r="224" spans="3:8" x14ac:dyDescent="0.35">
      <c r="C224" s="8">
        <f t="shared" ca="1" si="12"/>
        <v>0.64067933566491619</v>
      </c>
      <c r="D224" s="7">
        <f t="shared" ca="1" si="13"/>
        <v>9.3258730090540753E-2</v>
      </c>
      <c r="E224" s="7">
        <f t="shared" ca="1" si="14"/>
        <v>0.75112939218277575</v>
      </c>
      <c r="F224" s="7">
        <f t="shared" ca="1" si="15"/>
        <v>2.2944922285088216E-2</v>
      </c>
      <c r="G224" s="7">
        <f ca="1">$C$11/(1+D224)^1
 +$D$11/(1+D224)^2
 +$E$11/(1+D224)^3
 +$F$11/(1+D224)^4
 +$G$11/(1+D224)^5
 +$H$11/(1+D224)^6
 +$I$11/(1+D224)^7
 + ( $I$11*(1+F224)/(D224-F224) )/(1+D224)^7</f>
        <v>373.90084392381323</v>
      </c>
      <c r="H224" s="7">
        <f ca="1">(G224-$C$8)/$C$9</f>
        <v>2.0490210533910744</v>
      </c>
    </row>
    <row r="225" spans="3:8" x14ac:dyDescent="0.35">
      <c r="C225" s="8">
        <f t="shared" ca="1" si="12"/>
        <v>0.6233443232882534</v>
      </c>
      <c r="D225" s="7">
        <f t="shared" ca="1" si="13"/>
        <v>9.2859654967441224E-2</v>
      </c>
      <c r="E225" s="7">
        <f t="shared" ca="1" si="14"/>
        <v>0.19635179108393264</v>
      </c>
      <c r="F225" s="7">
        <f t="shared" ca="1" si="15"/>
        <v>1.6266606595023061E-2</v>
      </c>
      <c r="G225" s="7">
        <f ca="1">$C$11/(1+D225)^1
 +$D$11/(1+D225)^2
 +$E$11/(1+D225)^3
 +$F$11/(1+D225)^4
 +$G$11/(1+D225)^5
 +$H$11/(1+D225)^6
 +$I$11/(1+D225)^7
 + ( $I$11*(1+F225)/(D225-F225) )/(1+D225)^7</f>
        <v>353.02507585571925</v>
      </c>
      <c r="H225" s="7">
        <f ca="1">(G225-$C$8)/$C$9</f>
        <v>1.9309988458600138</v>
      </c>
    </row>
    <row r="226" spans="3:8" x14ac:dyDescent="0.35">
      <c r="C226" s="8">
        <f t="shared" ca="1" si="12"/>
        <v>0.96845001462898184</v>
      </c>
      <c r="D226" s="7">
        <f t="shared" ca="1" si="13"/>
        <v>0.10503925523843505</v>
      </c>
      <c r="E226" s="7">
        <f t="shared" ca="1" si="14"/>
        <v>0.65025011239449082</v>
      </c>
      <c r="F226" s="7">
        <f t="shared" ca="1" si="15"/>
        <v>2.1636389683808682E-2</v>
      </c>
      <c r="G226" s="7">
        <f ca="1">$C$11/(1+D226)^1
 +$D$11/(1+D226)^2
 +$E$11/(1+D226)^3
 +$F$11/(1+D226)^4
 +$G$11/(1+D226)^5
 +$H$11/(1+D226)^6
 +$I$11/(1+D226)^7
 + ( $I$11*(1+F226)/(D226-F226) )/(1+D226)^7</f>
        <v>314.85105723069506</v>
      </c>
      <c r="H226" s="7">
        <f ca="1">(G226-$C$8)/$C$9</f>
        <v>1.7151801064602841</v>
      </c>
    </row>
    <row r="227" spans="3:8" x14ac:dyDescent="0.35">
      <c r="C227" s="8">
        <f t="shared" ca="1" si="12"/>
        <v>0.12399451936434835</v>
      </c>
      <c r="D227" s="7">
        <f t="shared" ca="1" si="13"/>
        <v>8.0083427288316494E-2</v>
      </c>
      <c r="E227" s="7">
        <f t="shared" ca="1" si="14"/>
        <v>0.16291141046832147</v>
      </c>
      <c r="F227" s="7">
        <f t="shared" ca="1" si="15"/>
        <v>1.5708089180598381E-2</v>
      </c>
      <c r="G227" s="7">
        <f ca="1">$C$11/(1+D227)^1
 +$D$11/(1+D227)^2
 +$E$11/(1+D227)^3
 +$F$11/(1+D227)^4
 +$G$11/(1+D227)^5
 +$H$11/(1+D227)^6
 +$I$11/(1+D227)^7
 + ( $I$11*(1+F227)/(D227-F227) )/(1+D227)^7</f>
        <v>424.56435539925894</v>
      </c>
      <c r="H227" s="7">
        <f ca="1">(G227-$C$8)/$C$9</f>
        <v>2.335449770461663</v>
      </c>
    </row>
    <row r="228" spans="3:8" x14ac:dyDescent="0.35">
      <c r="C228" s="8">
        <f t="shared" ca="1" si="12"/>
        <v>0.20844107928305677</v>
      </c>
      <c r="D228" s="7">
        <f t="shared" ca="1" si="13"/>
        <v>8.3073702039288891E-2</v>
      </c>
      <c r="E228" s="7">
        <f t="shared" ca="1" si="14"/>
        <v>0.50987981829278017</v>
      </c>
      <c r="F228" s="7">
        <f t="shared" ca="1" si="15"/>
        <v>2.0099291119245858E-2</v>
      </c>
      <c r="G228" s="7">
        <f ca="1">$C$11/(1+D228)^1
 +$D$11/(1+D228)^2
 +$E$11/(1+D228)^3
 +$F$11/(1+D228)^4
 +$G$11/(1+D228)^5
 +$H$11/(1+D228)^6
 +$I$11/(1+D228)^7
 + ( $I$11*(1+F228)/(D228-F228) )/(1+D228)^7</f>
        <v>425.13244239514529</v>
      </c>
      <c r="H228" s="7">
        <f ca="1">(G228-$C$8)/$C$9</f>
        <v>2.3386614789413458</v>
      </c>
    </row>
    <row r="229" spans="3:8" x14ac:dyDescent="0.35">
      <c r="C229" s="8">
        <f t="shared" ca="1" si="12"/>
        <v>0.64024391935364711</v>
      </c>
      <c r="D229" s="7">
        <f t="shared" ca="1" si="13"/>
        <v>9.3248589823416203E-2</v>
      </c>
      <c r="E229" s="7">
        <f t="shared" ca="1" si="14"/>
        <v>0.82530654356317423</v>
      </c>
      <c r="F229" s="7">
        <f t="shared" ca="1" si="15"/>
        <v>2.4089104019916679E-2</v>
      </c>
      <c r="G229" s="7">
        <f ca="1">$C$11/(1+D229)^1
 +$D$11/(1+D229)^2
 +$E$11/(1+D229)^3
 +$F$11/(1+D229)^4
 +$G$11/(1+D229)^5
 +$H$11/(1+D229)^6
 +$I$11/(1+D229)^7
 + ( $I$11*(1+F229)/(D229-F229) )/(1+D229)^7</f>
        <v>378.30554094077274</v>
      </c>
      <c r="H229" s="7">
        <f ca="1">(G229-$C$8)/$C$9</f>
        <v>2.0739232301038713</v>
      </c>
    </row>
    <row r="230" spans="3:8" x14ac:dyDescent="0.35">
      <c r="C230" s="8">
        <f t="shared" ca="1" si="12"/>
        <v>0.69074046534365341</v>
      </c>
      <c r="D230" s="7">
        <f t="shared" ca="1" si="13"/>
        <v>9.4468662741671261E-2</v>
      </c>
      <c r="E230" s="7">
        <f t="shared" ca="1" si="14"/>
        <v>0.96067175725121212</v>
      </c>
      <c r="F230" s="7">
        <f t="shared" ca="1" si="15"/>
        <v>2.719542364166037E-2</v>
      </c>
      <c r="G230" s="7">
        <f ca="1">$C$11/(1+D230)^1
 +$D$11/(1+D230)^2
 +$E$11/(1+D230)^3
 +$F$11/(1+D230)^4
 +$G$11/(1+D230)^5
 +$H$11/(1+D230)^6
 +$I$11/(1+D230)^7
 + ( $I$11*(1+F230)/(D230-F230) )/(1+D230)^7</f>
        <v>383.53953124962891</v>
      </c>
      <c r="H230" s="7">
        <f ca="1">(G230-$C$8)/$C$9</f>
        <v>2.1035138582633928</v>
      </c>
    </row>
    <row r="231" spans="3:8" x14ac:dyDescent="0.35">
      <c r="C231" s="8">
        <f t="shared" ca="1" si="12"/>
        <v>0.81984764947457911</v>
      </c>
      <c r="D231" s="7">
        <f t="shared" ca="1" si="13"/>
        <v>9.8145935996046402E-2</v>
      </c>
      <c r="E231" s="7">
        <f t="shared" ca="1" si="14"/>
        <v>0.49447555226657214</v>
      </c>
      <c r="F231" s="7">
        <f t="shared" ca="1" si="15"/>
        <v>1.9944602076167474E-2</v>
      </c>
      <c r="G231" s="7">
        <f ca="1">$C$11/(1+D231)^1
 +$D$11/(1+D231)^2
 +$E$11/(1+D231)^3
 +$F$11/(1+D231)^4
 +$G$11/(1+D231)^5
 +$H$11/(1+D231)^6
 +$I$11/(1+D231)^7
 + ( $I$11*(1+F231)/(D231-F231) )/(1+D231)^7</f>
        <v>339.4646794818841</v>
      </c>
      <c r="H231" s="7">
        <f ca="1">(G231-$C$8)/$C$9</f>
        <v>1.8543344611142247</v>
      </c>
    </row>
    <row r="232" spans="3:8" x14ac:dyDescent="0.35">
      <c r="C232" s="8">
        <f t="shared" ca="1" si="12"/>
        <v>3.7461859575109058E-2</v>
      </c>
      <c r="D232" s="7">
        <f t="shared" ca="1" si="13"/>
        <v>7.5542447550639477E-2</v>
      </c>
      <c r="E232" s="7">
        <f t="shared" ca="1" si="14"/>
        <v>0.19196515779193923</v>
      </c>
      <c r="F232" s="7">
        <f t="shared" ca="1" si="15"/>
        <v>1.6196211064706225E-2</v>
      </c>
      <c r="G232" s="7">
        <f ca="1">$C$11/(1+D232)^1
 +$D$11/(1+D232)^2
 +$E$11/(1+D232)^3
 +$F$11/(1+D232)^4
 +$G$11/(1+D232)^5
 +$H$11/(1+D232)^6
 +$I$11/(1+D232)^7
 + ( $I$11*(1+F232)/(D232-F232) )/(1+D232)^7</f>
        <v>461.01042412206687</v>
      </c>
      <c r="H232" s="7">
        <f ca="1">(G232-$C$8)/$C$9</f>
        <v>2.54149945794927</v>
      </c>
    </row>
    <row r="233" spans="3:8" x14ac:dyDescent="0.35">
      <c r="C233" s="8">
        <f t="shared" ca="1" si="12"/>
        <v>0.79464093928182278</v>
      </c>
      <c r="D233" s="7">
        <f t="shared" ca="1" si="13"/>
        <v>9.7343773573447007E-2</v>
      </c>
      <c r="E233" s="7">
        <f t="shared" ca="1" si="14"/>
        <v>0.71112992300377631</v>
      </c>
      <c r="F233" s="7">
        <f t="shared" ca="1" si="15"/>
        <v>2.2399077990187984E-2</v>
      </c>
      <c r="G233" s="7">
        <f ca="1">$C$11/(1+D233)^1
 +$D$11/(1+D233)^2
 +$E$11/(1+D233)^3
 +$F$11/(1+D233)^4
 +$G$11/(1+D233)^5
 +$H$11/(1+D233)^6
 +$I$11/(1+D233)^7
 + ( $I$11*(1+F233)/(D233-F233) )/(1+D233)^7</f>
        <v>350.79078382195394</v>
      </c>
      <c r="H233" s="7">
        <f ca="1">(G233-$C$8)/$C$9</f>
        <v>1.9183671631725119</v>
      </c>
    </row>
    <row r="234" spans="3:8" x14ac:dyDescent="0.35">
      <c r="C234" s="8">
        <f t="shared" ca="1" si="12"/>
        <v>0.94539045497289431</v>
      </c>
      <c r="D234" s="7">
        <f t="shared" ca="1" si="13"/>
        <v>0.10347348139348837</v>
      </c>
      <c r="E234" s="7">
        <f t="shared" ca="1" si="14"/>
        <v>0.98493457235895687</v>
      </c>
      <c r="F234" s="7">
        <f t="shared" ca="1" si="15"/>
        <v>2.8264175836033894E-2</v>
      </c>
      <c r="G234" s="7">
        <f ca="1">$C$11/(1+D234)^1
 +$D$11/(1+D234)^2
 +$E$11/(1+D234)^3
 +$F$11/(1+D234)^4
 +$G$11/(1+D234)^5
 +$H$11/(1+D234)^6
 +$I$11/(1+D234)^7
 + ( $I$11*(1+F234)/(D234-F234) )/(1+D234)^7</f>
        <v>339.97280685795539</v>
      </c>
      <c r="H234" s="7">
        <f ca="1">(G234-$C$8)/$C$9</f>
        <v>1.8572071848595397</v>
      </c>
    </row>
    <row r="235" spans="3:8" x14ac:dyDescent="0.35">
      <c r="C235" s="8">
        <f t="shared" ca="1" si="12"/>
        <v>0.1909679605271577</v>
      </c>
      <c r="D235" s="7">
        <f t="shared" ca="1" si="13"/>
        <v>8.2513741552080633E-2</v>
      </c>
      <c r="E235" s="7">
        <f t="shared" ca="1" si="14"/>
        <v>0.68214926492772165</v>
      </c>
      <c r="F235" s="7">
        <f t="shared" ca="1" si="15"/>
        <v>2.2026911074467082E-2</v>
      </c>
      <c r="G235" s="7">
        <f ca="1">$C$11/(1+D235)^1
 +$D$11/(1+D235)^2
 +$E$11/(1+D235)^3
 +$F$11/(1+D235)^4
 +$G$11/(1+D235)^5
 +$H$11/(1+D235)^6
 +$I$11/(1+D235)^7
 + ( $I$11*(1+F235)/(D235-F235) )/(1+D235)^7</f>
        <v>439.107336489989</v>
      </c>
      <c r="H235" s="7">
        <f ca="1">(G235-$C$8)/$C$9</f>
        <v>2.4176692474558399</v>
      </c>
    </row>
    <row r="236" spans="3:8" x14ac:dyDescent="0.35">
      <c r="C236" s="8">
        <f t="shared" ca="1" si="12"/>
        <v>0.46249648433053703</v>
      </c>
      <c r="D236" s="7">
        <f t="shared" ca="1" si="13"/>
        <v>8.9474268077415403E-2</v>
      </c>
      <c r="E236" s="7">
        <f t="shared" ca="1" si="14"/>
        <v>0.6380905534357002</v>
      </c>
      <c r="F236" s="7">
        <f t="shared" ca="1" si="15"/>
        <v>2.1492245342461976E-2</v>
      </c>
      <c r="G236" s="7">
        <f ca="1">$C$11/(1+D236)^1
 +$D$11/(1+D236)^2
 +$E$11/(1+D236)^3
 +$F$11/(1+D236)^4
 +$G$11/(1+D236)^5
 +$H$11/(1+D236)^6
 +$I$11/(1+D236)^7
 + ( $I$11*(1+F236)/(D236-F236) )/(1+D236)^7</f>
        <v>389.96580806201325</v>
      </c>
      <c r="H236" s="7">
        <f ca="1">(G236-$C$8)/$C$9</f>
        <v>2.1398451382972254</v>
      </c>
    </row>
    <row r="237" spans="3:8" x14ac:dyDescent="0.35">
      <c r="C237" s="8">
        <f t="shared" ca="1" si="12"/>
        <v>0.46254776104322248</v>
      </c>
      <c r="D237" s="7">
        <f t="shared" ca="1" si="13"/>
        <v>8.9475347597807911E-2</v>
      </c>
      <c r="E237" s="7">
        <f t="shared" ca="1" si="14"/>
        <v>0.87188126825887591</v>
      </c>
      <c r="F237" s="7">
        <f t="shared" ca="1" si="15"/>
        <v>2.493800964558161E-2</v>
      </c>
      <c r="G237" s="7">
        <f ca="1">$C$11/(1+D237)^1
 +$D$11/(1+D237)^2
 +$E$11/(1+D237)^3
 +$F$11/(1+D237)^4
 +$G$11/(1+D237)^5
 +$H$11/(1+D237)^6
 +$I$11/(1+D237)^7
 + ( $I$11*(1+F237)/(D237-F237) )/(1+D237)^7</f>
        <v>404.77664553488745</v>
      </c>
      <c r="H237" s="7">
        <f ca="1">(G237-$C$8)/$C$9</f>
        <v>2.2235789548557636</v>
      </c>
    </row>
    <row r="238" spans="3:8" x14ac:dyDescent="0.35">
      <c r="C238" s="8">
        <f t="shared" ca="1" si="12"/>
        <v>0.95156344487096689</v>
      </c>
      <c r="D238" s="7">
        <f t="shared" ca="1" si="13"/>
        <v>0.10385341452506794</v>
      </c>
      <c r="E238" s="7">
        <f t="shared" ca="1" si="14"/>
        <v>0.59150474802475494</v>
      </c>
      <c r="F238" s="7">
        <f t="shared" ca="1" si="15"/>
        <v>2.0961247298711565E-2</v>
      </c>
      <c r="G238" s="7">
        <f ca="1">$C$11/(1+D238)^1
 +$D$11/(1+D238)^2
 +$E$11/(1+D238)^3
 +$F$11/(1+D238)^4
 +$G$11/(1+D238)^5
 +$H$11/(1+D238)^6
 +$I$11/(1+D238)^7
 + ( $I$11*(1+F238)/(D238-F238) )/(1+D238)^7</f>
        <v>317.87529528208307</v>
      </c>
      <c r="H238" s="7">
        <f ca="1">(G238-$C$8)/$C$9</f>
        <v>1.7322777887951326</v>
      </c>
    </row>
    <row r="239" spans="3:8" x14ac:dyDescent="0.35">
      <c r="C239" s="8">
        <f t="shared" ca="1" si="12"/>
        <v>0.49027341788526002</v>
      </c>
      <c r="D239" s="7">
        <f t="shared" ca="1" si="13"/>
        <v>9.0050541206309453E-2</v>
      </c>
      <c r="E239" s="7">
        <f t="shared" ca="1" si="14"/>
        <v>0.63025385355160624</v>
      </c>
      <c r="F239" s="7">
        <f t="shared" ca="1" si="15"/>
        <v>2.1400626226888451E-2</v>
      </c>
      <c r="G239" s="7">
        <f ca="1">$C$11/(1+D239)^1
 +$D$11/(1+D239)^2
 +$E$11/(1+D239)^3
 +$F$11/(1+D239)^4
 +$G$11/(1+D239)^5
 +$H$11/(1+D239)^6
 +$I$11/(1+D239)^7
 + ( $I$11*(1+F239)/(D239-F239) )/(1+D239)^7</f>
        <v>386.19007428832754</v>
      </c>
      <c r="H239" s="7">
        <f ca="1">(G239-$C$8)/$C$9</f>
        <v>2.1184988369986857</v>
      </c>
    </row>
    <row r="240" spans="3:8" x14ac:dyDescent="0.35">
      <c r="C240" s="8">
        <f t="shared" ca="1" si="12"/>
        <v>3.6745008733033879E-2</v>
      </c>
      <c r="D240" s="7">
        <f t="shared" ca="1" si="13"/>
        <v>7.5489162701276744E-2</v>
      </c>
      <c r="E240" s="7">
        <f t="shared" ca="1" si="14"/>
        <v>0.43209577734642945</v>
      </c>
      <c r="F240" s="7">
        <f t="shared" ca="1" si="15"/>
        <v>1.92961903739804E-2</v>
      </c>
      <c r="G240" s="7">
        <f ca="1">$C$11/(1+D240)^1
 +$D$11/(1+D240)^2
 +$E$11/(1+D240)^3
 +$F$11/(1+D240)^4
 +$G$11/(1+D240)^5
 +$H$11/(1+D240)^6
 +$I$11/(1+D240)^7
 + ( $I$11*(1+F240)/(D240-F240) )/(1+D240)^7</f>
        <v>480.41025758494686</v>
      </c>
      <c r="H240" s="7">
        <f ca="1">(G240-$C$8)/$C$9</f>
        <v>2.6511773947588582</v>
      </c>
    </row>
    <row r="241" spans="3:8" x14ac:dyDescent="0.35">
      <c r="C241" s="8">
        <f t="shared" ca="1" si="12"/>
        <v>0.93426482800271438</v>
      </c>
      <c r="D241" s="7">
        <f t="shared" ca="1" si="13"/>
        <v>0.10283945294283441</v>
      </c>
      <c r="E241" s="7">
        <f t="shared" ca="1" si="14"/>
        <v>0.56550006201232594</v>
      </c>
      <c r="F241" s="7">
        <f t="shared" ca="1" si="15"/>
        <v>2.0677983716087235E-2</v>
      </c>
      <c r="G241" s="7">
        <f ca="1">$C$11/(1+D241)^1
 +$D$11/(1+D241)^2
 +$E$11/(1+D241)^3
 +$F$11/(1+D241)^4
 +$G$11/(1+D241)^5
 +$H$11/(1+D241)^6
 +$I$11/(1+D241)^7
 + ( $I$11*(1+F241)/(D241-F241) )/(1+D241)^7</f>
        <v>321.25799107688761</v>
      </c>
      <c r="H241" s="7">
        <f ca="1">(G241-$C$8)/$C$9</f>
        <v>1.7514020300592921</v>
      </c>
    </row>
    <row r="242" spans="3:8" x14ac:dyDescent="0.35">
      <c r="C242" s="8">
        <f t="shared" ca="1" si="12"/>
        <v>0.96246836210326503</v>
      </c>
      <c r="D242" s="7">
        <f t="shared" ca="1" si="13"/>
        <v>0.10458939212662262</v>
      </c>
      <c r="E242" s="7">
        <f t="shared" ca="1" si="14"/>
        <v>0.95449643309005283</v>
      </c>
      <c r="F242" s="7">
        <f t="shared" ca="1" si="15"/>
        <v>2.6983261134604218E-2</v>
      </c>
      <c r="G242" s="7">
        <f ca="1">$C$11/(1+D242)^1
 +$D$11/(1+D242)^2
 +$E$11/(1+D242)^3
 +$F$11/(1+D242)^4
 +$G$11/(1+D242)^5
 +$H$11/(1+D242)^6
 +$I$11/(1+D242)^7
 + ( $I$11*(1+F242)/(D242-F242) )/(1+D242)^7</f>
        <v>331.06426964242667</v>
      </c>
      <c r="H242" s="7">
        <f ca="1">(G242-$C$8)/$C$9</f>
        <v>1.8068423204569575</v>
      </c>
    </row>
    <row r="243" spans="3:8" x14ac:dyDescent="0.35">
      <c r="C243" s="8">
        <f t="shared" ca="1" si="12"/>
        <v>0.78031779497339071</v>
      </c>
      <c r="D243" s="7">
        <f t="shared" ca="1" si="13"/>
        <v>9.6909846451597476E-2</v>
      </c>
      <c r="E243" s="7">
        <f t="shared" ca="1" si="14"/>
        <v>0.65080624401052756</v>
      </c>
      <c r="F243" s="7">
        <f t="shared" ca="1" si="15"/>
        <v>2.1643041749661873E-2</v>
      </c>
      <c r="G243" s="7">
        <f ca="1">$C$11/(1+D243)^1
 +$D$11/(1+D243)^2
 +$E$11/(1+D243)^3
 +$F$11/(1+D243)^4
 +$G$11/(1+D243)^5
 +$H$11/(1+D243)^6
 +$I$11/(1+D243)^7
 + ( $I$11*(1+F243)/(D243-F243) )/(1+D243)^7</f>
        <v>350.47838938021317</v>
      </c>
      <c r="H243" s="7">
        <f ca="1">(G243-$C$8)/$C$9</f>
        <v>1.9166010254421819</v>
      </c>
    </row>
    <row r="244" spans="3:8" x14ac:dyDescent="0.35">
      <c r="C244" s="8">
        <f t="shared" ca="1" si="12"/>
        <v>0.93059220246456553</v>
      </c>
      <c r="D244" s="7">
        <f t="shared" ca="1" si="13"/>
        <v>0.10264214147474696</v>
      </c>
      <c r="E244" s="7">
        <f t="shared" ca="1" si="14"/>
        <v>0.25306368144671165</v>
      </c>
      <c r="F244" s="7">
        <f t="shared" ca="1" si="15"/>
        <v>1.7114262877441506E-2</v>
      </c>
      <c r="G244" s="7">
        <f ca="1">$C$11/(1+D244)^1
 +$D$11/(1+D244)^2
 +$E$11/(1+D244)^3
 +$F$11/(1+D244)^4
 +$G$11/(1+D244)^5
 +$H$11/(1+D244)^6
 +$I$11/(1+D244)^7
 + ( $I$11*(1+F244)/(D244-F244) )/(1+D244)^7</f>
        <v>313.1434711913854</v>
      </c>
      <c r="H244" s="7">
        <f ca="1">(G244-$C$8)/$C$9</f>
        <v>1.7055261826740467</v>
      </c>
    </row>
    <row r="245" spans="3:8" x14ac:dyDescent="0.35">
      <c r="C245" s="8">
        <f t="shared" ca="1" si="12"/>
        <v>0.5905810362270083</v>
      </c>
      <c r="D245" s="7">
        <f t="shared" ca="1" si="13"/>
        <v>9.2129723232615188E-2</v>
      </c>
      <c r="E245" s="7">
        <f t="shared" ca="1" si="14"/>
        <v>0.6429863886349545</v>
      </c>
      <c r="F245" s="7">
        <f t="shared" ca="1" si="15"/>
        <v>2.1549986847761174E-2</v>
      </c>
      <c r="G245" s="7">
        <f ca="1">$C$11/(1+D245)^1
 +$D$11/(1+D245)^2
 +$E$11/(1+D245)^3
 +$F$11/(1+D245)^4
 +$G$11/(1+D245)^5
 +$H$11/(1+D245)^6
 +$I$11/(1+D245)^7
 + ( $I$11*(1+F245)/(D245-F245) )/(1+D245)^7</f>
        <v>374.93492326557828</v>
      </c>
      <c r="H245" s="7">
        <f ca="1">(G245-$C$8)/$C$9</f>
        <v>2.0548672730980226</v>
      </c>
    </row>
    <row r="246" spans="3:8" x14ac:dyDescent="0.35">
      <c r="C246" s="8">
        <f t="shared" ca="1" si="12"/>
        <v>0.27383705373539124</v>
      </c>
      <c r="D246" s="7">
        <f t="shared" ca="1" si="13"/>
        <v>8.4984871840059928E-2</v>
      </c>
      <c r="E246" s="7">
        <f t="shared" ca="1" si="14"/>
        <v>0.67455789693687773</v>
      </c>
      <c r="F246" s="7">
        <f t="shared" ca="1" si="15"/>
        <v>2.1932260501687943E-2</v>
      </c>
      <c r="G246" s="7">
        <f ca="1">$C$11/(1+D246)^1
 +$D$11/(1+D246)^2
 +$E$11/(1+D246)^3
 +$F$11/(1+D246)^4
 +$G$11/(1+D246)^5
 +$H$11/(1+D246)^6
 +$I$11/(1+D246)^7
 + ( $I$11*(1+F246)/(D246-F246) )/(1+D246)^7</f>
        <v>420.78617785765169</v>
      </c>
      <c r="H246" s="7">
        <f ca="1">(G246-$C$8)/$C$9</f>
        <v>2.3140896531979402</v>
      </c>
    </row>
    <row r="247" spans="3:8" x14ac:dyDescent="0.35">
      <c r="C247" s="8">
        <f t="shared" ca="1" si="12"/>
        <v>0.61814754291708762</v>
      </c>
      <c r="D247" s="7">
        <f t="shared" ca="1" si="13"/>
        <v>9.2741815955186019E-2</v>
      </c>
      <c r="E247" s="7">
        <f t="shared" ca="1" si="14"/>
        <v>0.23321638678348233</v>
      </c>
      <c r="F247" s="7">
        <f t="shared" ca="1" si="15"/>
        <v>1.6829588373884364E-2</v>
      </c>
      <c r="G247" s="7">
        <f ca="1">$C$11/(1+D247)^1
 +$D$11/(1+D247)^2
 +$E$11/(1+D247)^3
 +$F$11/(1+D247)^4
 +$G$11/(1+D247)^5
 +$H$11/(1+D247)^6
 +$I$11/(1+D247)^7
 + ( $I$11*(1+F247)/(D247-F247) )/(1+D247)^7</f>
        <v>355.39271430296685</v>
      </c>
      <c r="H247" s="7">
        <f ca="1">(G247-$C$8)/$C$9</f>
        <v>1.9443844092207532</v>
      </c>
    </row>
    <row r="248" spans="3:8" x14ac:dyDescent="0.35">
      <c r="C248" s="8">
        <f t="shared" ca="1" si="12"/>
        <v>0.15149421344263048</v>
      </c>
      <c r="D248" s="7">
        <f t="shared" ca="1" si="13"/>
        <v>8.1145638385617808E-2</v>
      </c>
      <c r="E248" s="7">
        <f t="shared" ca="1" si="14"/>
        <v>0.27284344705284969</v>
      </c>
      <c r="F248" s="7">
        <f t="shared" ca="1" si="15"/>
        <v>1.7387062299085473E-2</v>
      </c>
      <c r="G248" s="7">
        <f ca="1">$C$11/(1+D248)^1
 +$D$11/(1+D248)^2
 +$E$11/(1+D248)^3
 +$F$11/(1+D248)^4
 +$G$11/(1+D248)^5
 +$H$11/(1+D248)^6
 +$I$11/(1+D248)^7
 + ( $I$11*(1+F248)/(D248-F248) )/(1+D248)^7</f>
        <v>425.3223431584637</v>
      </c>
      <c r="H248" s="7">
        <f ca="1">(G248-$C$8)/$C$9</f>
        <v>2.3397350924833993</v>
      </c>
    </row>
    <row r="249" spans="3:8" x14ac:dyDescent="0.35">
      <c r="C249" s="8">
        <f t="shared" ca="1" si="12"/>
        <v>0.85869390114238819</v>
      </c>
      <c r="D249" s="7">
        <f t="shared" ca="1" si="13"/>
        <v>9.950148786213317E-2</v>
      </c>
      <c r="E249" s="7">
        <f t="shared" ca="1" si="14"/>
        <v>0.85479442787629867</v>
      </c>
      <c r="F249" s="7">
        <f t="shared" ca="1" si="15"/>
        <v>2.4611019166415577E-2</v>
      </c>
      <c r="G249" s="7">
        <f ca="1">$C$11/(1+D249)^1
 +$D$11/(1+D249)^2
 +$E$11/(1+D249)^3
 +$F$11/(1+D249)^4
 +$G$11/(1+D249)^5
 +$H$11/(1+D249)^6
 +$I$11/(1+D249)^7
 + ( $I$11*(1+F249)/(D249-F249) )/(1+D249)^7</f>
        <v>347.40180103517741</v>
      </c>
      <c r="H249" s="7">
        <f ca="1">(G249-$C$8)/$C$9</f>
        <v>1.8992073780821879</v>
      </c>
    </row>
    <row r="250" spans="3:8" x14ac:dyDescent="0.35">
      <c r="C250" s="8">
        <f t="shared" ca="1" si="12"/>
        <v>0.13030601843628198</v>
      </c>
      <c r="D250" s="7">
        <f t="shared" ca="1" si="13"/>
        <v>8.0336872598506345E-2</v>
      </c>
      <c r="E250" s="7">
        <f t="shared" ca="1" si="14"/>
        <v>0.519741184572038</v>
      </c>
      <c r="F250" s="7">
        <f t="shared" ca="1" si="15"/>
        <v>2.0199399860947678E-2</v>
      </c>
      <c r="G250" s="7">
        <f ca="1">$C$11/(1+D250)^1
 +$D$11/(1+D250)^2
 +$E$11/(1+D250)^3
 +$F$11/(1+D250)^4
 +$G$11/(1+D250)^5
 +$H$11/(1+D250)^6
 +$I$11/(1+D250)^7
 + ( $I$11*(1+F250)/(D250-F250) )/(1+D250)^7</f>
        <v>445.75891497927557</v>
      </c>
      <c r="H250" s="7">
        <f ca="1">(G250-$C$8)/$C$9</f>
        <v>2.4552742818819286</v>
      </c>
    </row>
    <row r="251" spans="3:8" x14ac:dyDescent="0.35">
      <c r="C251" s="8">
        <f t="shared" ca="1" si="12"/>
        <v>0.93869813465404262</v>
      </c>
      <c r="D251" s="7">
        <f t="shared" ca="1" si="13"/>
        <v>0.1030851279860111</v>
      </c>
      <c r="E251" s="7">
        <f t="shared" ca="1" si="14"/>
        <v>0.97121557548864312</v>
      </c>
      <c r="F251" s="7">
        <f t="shared" ca="1" si="15"/>
        <v>2.7600649066461643E-2</v>
      </c>
      <c r="G251" s="7">
        <f ca="1">$C$11/(1+D251)^1
 +$D$11/(1+D251)^2
 +$E$11/(1+D251)^3
 +$F$11/(1+D251)^4
 +$G$11/(1+D251)^5
 +$H$11/(1+D251)^6
 +$I$11/(1+D251)^7
 + ( $I$11*(1+F251)/(D251-F251) )/(1+D251)^7</f>
        <v>339.74474037911972</v>
      </c>
      <c r="H251" s="7">
        <f ca="1">(G251-$C$8)/$C$9</f>
        <v>1.855917799520125</v>
      </c>
    </row>
    <row r="252" spans="3:8" x14ac:dyDescent="0.35">
      <c r="C252" s="8">
        <f t="shared" ca="1" si="12"/>
        <v>0.55590932861584919</v>
      </c>
      <c r="D252" s="7">
        <f t="shared" ca="1" si="13"/>
        <v>9.1388425008086027E-2</v>
      </c>
      <c r="E252" s="7">
        <f t="shared" ca="1" si="14"/>
        <v>0.91878727328795795</v>
      </c>
      <c r="F252" s="7">
        <f t="shared" ca="1" si="15"/>
        <v>2.59697958683947E-2</v>
      </c>
      <c r="G252" s="7">
        <f ca="1">$C$11/(1+D252)^1
 +$D$11/(1+D252)^2
 +$E$11/(1+D252)^3
 +$F$11/(1+D252)^4
 +$G$11/(1+D252)^5
 +$H$11/(1+D252)^6
 +$I$11/(1+D252)^7
 + ( $I$11*(1+F252)/(D252-F252) )/(1+D252)^7</f>
        <v>397.13981727962243</v>
      </c>
      <c r="H252" s="7">
        <f ca="1">(G252-$C$8)/$C$9</f>
        <v>2.1804037611918954</v>
      </c>
    </row>
    <row r="253" spans="3:8" x14ac:dyDescent="0.35">
      <c r="C253" s="8">
        <f t="shared" ca="1" si="12"/>
        <v>0.97606655349102311</v>
      </c>
      <c r="D253" s="7">
        <f t="shared" ca="1" si="13"/>
        <v>0.10567934168476585</v>
      </c>
      <c r="E253" s="7">
        <f t="shared" ca="1" si="14"/>
        <v>1.9111899691315437E-2</v>
      </c>
      <c r="F253" s="7">
        <f t="shared" ca="1" si="15"/>
        <v>1.1955090774941942E-2</v>
      </c>
      <c r="G253" s="7">
        <f ca="1">$C$11/(1+D253)^1
 +$D$11/(1+D253)^2
 +$E$11/(1+D253)^3
 +$F$11/(1+D253)^4
 +$G$11/(1+D253)^5
 +$H$11/(1+D253)^6
 +$I$11/(1+D253)^7
 + ( $I$11*(1+F253)/(D253-F253) )/(1+D253)^7</f>
        <v>291.11941363041097</v>
      </c>
      <c r="H253" s="7">
        <f ca="1">(G253-$C$8)/$C$9</f>
        <v>1.5810120625871267</v>
      </c>
    </row>
    <row r="254" spans="3:8" x14ac:dyDescent="0.35">
      <c r="C254" s="8">
        <f t="shared" ca="1" si="12"/>
        <v>0.6244700153853564</v>
      </c>
      <c r="D254" s="7">
        <f t="shared" ca="1" si="13"/>
        <v>9.2885287381921311E-2</v>
      </c>
      <c r="E254" s="7">
        <f t="shared" ca="1" si="14"/>
        <v>0.63431412485223093</v>
      </c>
      <c r="F254" s="7">
        <f t="shared" ca="1" si="15"/>
        <v>2.1447972460898301E-2</v>
      </c>
      <c r="G254" s="7">
        <f ca="1">$C$11/(1+D254)^1
 +$D$11/(1+D254)^2
 +$E$11/(1+D254)^3
 +$F$11/(1+D254)^4
 +$G$11/(1+D254)^5
 +$H$11/(1+D254)^6
 +$I$11/(1+D254)^7
 + ( $I$11*(1+F254)/(D254-F254) )/(1+D254)^7</f>
        <v>370.42935263200263</v>
      </c>
      <c r="H254" s="7">
        <f ca="1">(G254-$C$8)/$C$9</f>
        <v>2.0293948023066632</v>
      </c>
    </row>
    <row r="255" spans="3:8" x14ac:dyDescent="0.35">
      <c r="C255" s="8">
        <f t="shared" ca="1" si="12"/>
        <v>9.8982138719110102E-2</v>
      </c>
      <c r="D255" s="7">
        <f t="shared" ca="1" si="13"/>
        <v>7.9009181635957298E-2</v>
      </c>
      <c r="E255" s="7">
        <f t="shared" ca="1" si="14"/>
        <v>0.6075131573029604</v>
      </c>
      <c r="F255" s="7">
        <f t="shared" ca="1" si="15"/>
        <v>2.1140125929822257E-2</v>
      </c>
      <c r="G255" s="7">
        <f ca="1">$C$11/(1+D255)^1
 +$D$11/(1+D255)^2
 +$E$11/(1+D255)^3
 +$F$11/(1+D255)^4
 +$G$11/(1+D255)^5
 +$H$11/(1+D255)^6
 +$I$11/(1+D255)^7
 + ( $I$11*(1+F255)/(D255-F255) )/(1+D255)^7</f>
        <v>461.73016600651283</v>
      </c>
      <c r="H255" s="7">
        <f ca="1">(G255-$C$8)/$C$9</f>
        <v>2.5455685549893308</v>
      </c>
    </row>
    <row r="256" spans="3:8" x14ac:dyDescent="0.35">
      <c r="C256" s="8">
        <f t="shared" ca="1" si="12"/>
        <v>0.25118257693785517</v>
      </c>
      <c r="D256" s="7">
        <f t="shared" ca="1" si="13"/>
        <v>8.4351644961085173E-2</v>
      </c>
      <c r="E256" s="7">
        <f t="shared" ca="1" si="14"/>
        <v>4.5957429714333697E-2</v>
      </c>
      <c r="F256" s="7">
        <f t="shared" ca="1" si="15"/>
        <v>1.3031746352000237E-2</v>
      </c>
      <c r="G256" s="7">
        <f ca="1">$C$11/(1+D256)^1
 +$D$11/(1+D256)^2
 +$E$11/(1+D256)^3
 +$F$11/(1+D256)^4
 +$G$11/(1+D256)^5
 +$H$11/(1+D256)^6
 +$I$11/(1+D256)^7
 + ( $I$11*(1+F256)/(D256-F256) )/(1+D256)^7</f>
        <v>386.41326361394226</v>
      </c>
      <c r="H256" s="7">
        <f ca="1">(G256-$C$8)/$C$9</f>
        <v>2.1197606491064125</v>
      </c>
    </row>
    <row r="257" spans="3:8" x14ac:dyDescent="0.35">
      <c r="C257" s="8">
        <f t="shared" ca="1" si="12"/>
        <v>0.94912785074191197</v>
      </c>
      <c r="D257" s="7">
        <f t="shared" ca="1" si="13"/>
        <v>0.10370077175986545</v>
      </c>
      <c r="E257" s="7">
        <f t="shared" ca="1" si="14"/>
        <v>0.33918705672251825</v>
      </c>
      <c r="F257" s="7">
        <f t="shared" ca="1" si="15"/>
        <v>1.8236346966010092E-2</v>
      </c>
      <c r="G257" s="7">
        <f ca="1">$C$11/(1+D257)^1
 +$D$11/(1+D257)^2
 +$E$11/(1+D257)^3
 +$F$11/(1+D257)^4
 +$G$11/(1+D257)^5
 +$H$11/(1+D257)^6
 +$I$11/(1+D257)^7
 + ( $I$11*(1+F257)/(D257-F257) )/(1+D257)^7</f>
        <v>311.76338080863275</v>
      </c>
      <c r="H257" s="7">
        <f ca="1">(G257-$C$8)/$C$9</f>
        <v>1.6977237720976521</v>
      </c>
    </row>
    <row r="258" spans="3:8" x14ac:dyDescent="0.35">
      <c r="C258" s="8">
        <f t="shared" ca="1" si="12"/>
        <v>2.3770639557293638E-2</v>
      </c>
      <c r="D258" s="7">
        <f t="shared" ca="1" si="13"/>
        <v>7.4414965961021762E-2</v>
      </c>
      <c r="E258" s="7">
        <f t="shared" ca="1" si="14"/>
        <v>0.45913226664174756</v>
      </c>
      <c r="F258" s="7">
        <f t="shared" ca="1" si="15"/>
        <v>1.9582612030566066E-2</v>
      </c>
      <c r="G258" s="7">
        <f ca="1">$C$11/(1+D258)^1
 +$D$11/(1+D258)^2
 +$E$11/(1+D258)^3
 +$F$11/(1+D258)^4
 +$G$11/(1+D258)^5
 +$H$11/(1+D258)^6
 +$I$11/(1+D258)^7
 + ( $I$11*(1+F258)/(D258-F258) )/(1+D258)^7</f>
        <v>492.06025229912336</v>
      </c>
      <c r="H258" s="7">
        <f ca="1">(G258-$C$8)/$C$9</f>
        <v>2.7170412273808422</v>
      </c>
    </row>
    <row r="259" spans="3:8" x14ac:dyDescent="0.35">
      <c r="C259" s="8">
        <f t="shared" ca="1" si="12"/>
        <v>1.3953785850906231E-2</v>
      </c>
      <c r="D259" s="7">
        <f t="shared" ca="1" si="13"/>
        <v>7.3382617979870501E-2</v>
      </c>
      <c r="E259" s="7">
        <f t="shared" ca="1" si="14"/>
        <v>0.75204661444583953</v>
      </c>
      <c r="F259" s="7">
        <f t="shared" ca="1" si="15"/>
        <v>2.2957935167095371E-2</v>
      </c>
      <c r="G259" s="7">
        <f ca="1">$C$11/(1+D259)^1
 +$D$11/(1+D259)^2
 +$E$11/(1+D259)^3
 +$F$11/(1+D259)^4
 +$G$11/(1+D259)^5
 +$H$11/(1+D259)^6
 +$I$11/(1+D259)^7
 + ( $I$11*(1+F259)/(D259-F259) )/(1+D259)^7</f>
        <v>527.50637061530438</v>
      </c>
      <c r="H259" s="7">
        <f ca="1">(G259-$C$8)/$C$9</f>
        <v>2.9174376448174151</v>
      </c>
    </row>
    <row r="260" spans="3:8" x14ac:dyDescent="0.35">
      <c r="C260" s="8">
        <f t="shared" ca="1" si="12"/>
        <v>0.26103534220986957</v>
      </c>
      <c r="D260" s="7">
        <f t="shared" ca="1" si="13"/>
        <v>8.4630412865401072E-2</v>
      </c>
      <c r="E260" s="7">
        <f t="shared" ca="1" si="14"/>
        <v>0.71695924839452951</v>
      </c>
      <c r="F260" s="7">
        <f t="shared" ca="1" si="15"/>
        <v>2.2476161197826333E-2</v>
      </c>
      <c r="G260" s="7">
        <f ca="1">$C$11/(1+D260)^1
 +$D$11/(1+D260)^2
 +$E$11/(1+D260)^3
 +$F$11/(1+D260)^4
 +$G$11/(1+D260)^5
 +$H$11/(1+D260)^6
 +$I$11/(1+D260)^7
 + ( $I$11*(1+F260)/(D260-F260) )/(1+D260)^7</f>
        <v>425.95940946080106</v>
      </c>
      <c r="H260" s="7">
        <f ca="1">(G260-$C$8)/$C$9</f>
        <v>2.3433367789507069</v>
      </c>
    </row>
    <row r="261" spans="3:8" x14ac:dyDescent="0.35">
      <c r="C261" s="8">
        <f t="shared" ca="1" si="12"/>
        <v>0.99533066516043489</v>
      </c>
      <c r="D261" s="7">
        <f t="shared" ca="1" si="13"/>
        <v>0.10809157625909213</v>
      </c>
      <c r="E261" s="7">
        <f t="shared" ca="1" si="14"/>
        <v>0.35268200961827012</v>
      </c>
      <c r="F261" s="7">
        <f t="shared" ca="1" si="15"/>
        <v>1.8398595235136289E-2</v>
      </c>
      <c r="G261" s="7">
        <f ca="1">$C$11/(1+D261)^1
 +$D$11/(1+D261)^2
 +$E$11/(1+D261)^3
 +$F$11/(1+D261)^4
 +$G$11/(1+D261)^5
 +$H$11/(1+D261)^6
 +$I$11/(1+D261)^7
 + ( $I$11*(1+F261)/(D261-F261) )/(1+D261)^7</f>
        <v>296.10822804984588</v>
      </c>
      <c r="H261" s="7">
        <f ca="1">(G261-$C$8)/$C$9</f>
        <v>1.6092165764916659</v>
      </c>
    </row>
    <row r="262" spans="3:8" x14ac:dyDescent="0.35">
      <c r="C262" s="8">
        <f t="shared" ca="1" si="12"/>
        <v>0.16417768044689962</v>
      </c>
      <c r="D262" s="7">
        <f t="shared" ca="1" si="13"/>
        <v>8.1602831463330736E-2</v>
      </c>
      <c r="E262" s="7">
        <f t="shared" ca="1" si="14"/>
        <v>0.58368078283680791</v>
      </c>
      <c r="F262" s="7">
        <f t="shared" ca="1" si="15"/>
        <v>2.0875097620651581E-2</v>
      </c>
      <c r="G262" s="7">
        <f ca="1">$C$11/(1+D262)^1
 +$D$11/(1+D262)^2
 +$E$11/(1+D262)^3
 +$F$11/(1+D262)^4
 +$G$11/(1+D262)^5
 +$H$11/(1+D262)^6
 +$I$11/(1+D262)^7
 + ( $I$11*(1+F262)/(D262-F262) )/(1+D262)^7</f>
        <v>439.79297801186959</v>
      </c>
      <c r="H262" s="7">
        <f ca="1">(G262-$C$8)/$C$9</f>
        <v>2.4215455563764676</v>
      </c>
    </row>
    <row r="263" spans="3:8" x14ac:dyDescent="0.35">
      <c r="C263" s="8">
        <f t="shared" ca="1" si="12"/>
        <v>0.65275866736670429</v>
      </c>
      <c r="D263" s="7">
        <f t="shared" ca="1" si="13"/>
        <v>9.3542532410666263E-2</v>
      </c>
      <c r="E263" s="7">
        <f t="shared" ca="1" si="14"/>
        <v>0.71494839226465579</v>
      </c>
      <c r="F263" s="7">
        <f t="shared" ca="1" si="15"/>
        <v>2.244948203451784E-2</v>
      </c>
      <c r="G263" s="7">
        <f ca="1">$C$11/(1+D263)^1
 +$D$11/(1+D263)^2
 +$E$11/(1+D263)^3
 +$F$11/(1+D263)^4
 +$G$11/(1+D263)^5
 +$H$11/(1+D263)^6
 +$I$11/(1+D263)^7
 + ( $I$11*(1+F263)/(D263-F263) )/(1+D263)^7</f>
        <v>370.51664203125716</v>
      </c>
      <c r="H263" s="7">
        <f ca="1">(G263-$C$8)/$C$9</f>
        <v>2.0298882973273242</v>
      </c>
    </row>
    <row r="264" spans="3:8" x14ac:dyDescent="0.35">
      <c r="C264" s="8">
        <f t="shared" ca="1" si="12"/>
        <v>0.90918117428060385</v>
      </c>
      <c r="D264" s="7">
        <f t="shared" ca="1" si="13"/>
        <v>0.10158342801010239</v>
      </c>
      <c r="E264" s="7">
        <f t="shared" ca="1" si="14"/>
        <v>0.57808030760277884</v>
      </c>
      <c r="F264" s="7">
        <f t="shared" ca="1" si="15"/>
        <v>2.0813926928254695E-2</v>
      </c>
      <c r="G264" s="7">
        <f ca="1">$C$11/(1+D264)^1
 +$D$11/(1+D264)^2
 +$E$11/(1+D264)^3
 +$F$11/(1+D264)^4
 +$G$11/(1+D264)^5
 +$H$11/(1+D264)^6
 +$I$11/(1+D264)^7
 + ( $I$11*(1+F264)/(D264-F264) )/(1+D264)^7</f>
        <v>326.84676088567699</v>
      </c>
      <c r="H264" s="7">
        <f ca="1">(G264-$C$8)/$C$9</f>
        <v>1.782998422013099</v>
      </c>
    </row>
    <row r="265" spans="3:8" x14ac:dyDescent="0.35">
      <c r="C265" s="8">
        <f t="shared" ca="1" si="12"/>
        <v>0.32303020004135863</v>
      </c>
      <c r="D265" s="7">
        <f t="shared" ca="1" si="13"/>
        <v>8.6275280766669252E-2</v>
      </c>
      <c r="E265" s="7">
        <f t="shared" ca="1" si="14"/>
        <v>0.74912730463261823</v>
      </c>
      <c r="F265" s="7">
        <f t="shared" ca="1" si="15"/>
        <v>2.2916601163743753E-2</v>
      </c>
      <c r="G265" s="7">
        <f ca="1">$C$11/(1+D265)^1
 +$D$11/(1+D265)^2
 +$E$11/(1+D265)^3
 +$F$11/(1+D265)^4
 +$G$11/(1+D265)^5
 +$H$11/(1+D265)^6
 +$I$11/(1+D265)^7
 + ( $I$11*(1+F265)/(D265-F265) )/(1+D265)^7</f>
        <v>416.66665009324549</v>
      </c>
      <c r="H265" s="7">
        <f ca="1">(G265-$C$8)/$C$9</f>
        <v>2.290799695235445</v>
      </c>
    </row>
    <row r="266" spans="3:8" x14ac:dyDescent="0.35">
      <c r="C266" s="8">
        <f t="shared" ca="1" si="12"/>
        <v>0.11559911607663842</v>
      </c>
      <c r="D266" s="7">
        <f t="shared" ca="1" si="13"/>
        <v>7.9736081099849337E-2</v>
      </c>
      <c r="E266" s="7">
        <f t="shared" ca="1" si="14"/>
        <v>0.50280135739279208</v>
      </c>
      <c r="F266" s="7">
        <f t="shared" ca="1" si="15"/>
        <v>2.002805292225026E-2</v>
      </c>
      <c r="G266" s="7">
        <f ca="1">$C$11/(1+D266)^1
 +$D$11/(1+D266)^2
 +$E$11/(1+D266)^3
 +$F$11/(1+D266)^4
 +$G$11/(1+D266)^5
 +$H$11/(1+D266)^6
 +$I$11/(1+D266)^7
 + ( $I$11*(1+F266)/(D266-F266) )/(1+D266)^7</f>
        <v>449.4677160454961</v>
      </c>
      <c r="H266" s="7">
        <f ca="1">(G266-$C$8)/$C$9</f>
        <v>2.4762421757434199</v>
      </c>
    </row>
    <row r="267" spans="3:8" x14ac:dyDescent="0.35">
      <c r="C267" s="8">
        <f t="shared" ca="1" si="12"/>
        <v>0.82540522302535435</v>
      </c>
      <c r="D267" s="7">
        <f t="shared" ca="1" si="13"/>
        <v>9.8330213110762316E-2</v>
      </c>
      <c r="E267" s="7">
        <f t="shared" ca="1" si="14"/>
        <v>0.8165485616215723</v>
      </c>
      <c r="F267" s="7">
        <f t="shared" ca="1" si="15"/>
        <v>2.3942749165199978E-2</v>
      </c>
      <c r="G267" s="7">
        <f ca="1">$C$11/(1+D267)^1
 +$D$11/(1+D267)^2
 +$E$11/(1+D267)^3
 +$F$11/(1+D267)^4
 +$G$11/(1+D267)^5
 +$H$11/(1+D267)^6
 +$I$11/(1+D267)^7
 + ( $I$11*(1+F267)/(D267-F267) )/(1+D267)^7</f>
        <v>350.95317652106002</v>
      </c>
      <c r="H267" s="7">
        <f ca="1">(G267-$C$8)/$C$9</f>
        <v>1.9192852584863185</v>
      </c>
    </row>
    <row r="268" spans="3:8" x14ac:dyDescent="0.35">
      <c r="C268" s="8">
        <f t="shared" ca="1" si="12"/>
        <v>0.72742160396674327</v>
      </c>
      <c r="D268" s="7">
        <f t="shared" ca="1" si="13"/>
        <v>9.5418808385253961E-2</v>
      </c>
      <c r="E268" s="7">
        <f t="shared" ca="1" si="14"/>
        <v>9.334098326921425E-2</v>
      </c>
      <c r="F268" s="7">
        <f t="shared" ca="1" si="15"/>
        <v>1.4320670856920584E-2</v>
      </c>
      <c r="G268" s="7">
        <f ca="1">$C$11/(1+D268)^1
 +$D$11/(1+D268)^2
 +$E$11/(1+D268)^3
 +$F$11/(1+D268)^4
 +$G$11/(1+D268)^5
 +$H$11/(1+D268)^6
 +$I$11/(1+D268)^7
 + ( $I$11*(1+F268)/(D268-F268) )/(1+D268)^7</f>
        <v>335.519861892883</v>
      </c>
      <c r="H268" s="7">
        <f ca="1">(G268-$C$8)/$C$9</f>
        <v>1.8320322359389585</v>
      </c>
    </row>
    <row r="269" spans="3:8" x14ac:dyDescent="0.35">
      <c r="C269" s="8">
        <f t="shared" ca="1" si="12"/>
        <v>0.91260383518736798</v>
      </c>
      <c r="D269" s="7">
        <f t="shared" ca="1" si="13"/>
        <v>0.10174354745948037</v>
      </c>
      <c r="E269" s="7">
        <f t="shared" ca="1" si="14"/>
        <v>0.49472578614246066</v>
      </c>
      <c r="F269" s="7">
        <f t="shared" ca="1" si="15"/>
        <v>1.9947118036320474E-2</v>
      </c>
      <c r="G269" s="7">
        <f ca="1">$C$11/(1+D269)^1
 +$D$11/(1+D269)^2
 +$E$11/(1+D269)^3
 +$F$11/(1+D269)^4
 +$G$11/(1+D269)^5
 +$H$11/(1+D269)^6
 +$I$11/(1+D269)^7
 + ( $I$11*(1+F269)/(D269-F269) )/(1+D269)^7</f>
        <v>323.86035585418165</v>
      </c>
      <c r="H269" s="7">
        <f ca="1">(G269-$C$8)/$C$9</f>
        <v>1.7661146305641204</v>
      </c>
    </row>
    <row r="270" spans="3:8" x14ac:dyDescent="0.35">
      <c r="C270" s="8">
        <f t="shared" ca="1" si="12"/>
        <v>0.82381180139261778</v>
      </c>
      <c r="D270" s="7">
        <f t="shared" ca="1" si="13"/>
        <v>9.8277082491386447E-2</v>
      </c>
      <c r="E270" s="7">
        <f t="shared" ca="1" si="14"/>
        <v>0.29551792153131995</v>
      </c>
      <c r="F270" s="7">
        <f t="shared" ca="1" si="15"/>
        <v>1.7687885554966594E-2</v>
      </c>
      <c r="G270" s="7">
        <f ca="1">$C$11/(1+D270)^1
 +$D$11/(1+D270)^2
 +$E$11/(1+D270)^3
 +$F$11/(1+D270)^4
 +$G$11/(1+D270)^5
 +$H$11/(1+D270)^6
 +$I$11/(1+D270)^7
 + ( $I$11*(1+F270)/(D270-F270) )/(1+D270)^7</f>
        <v>332.44354003383103</v>
      </c>
      <c r="H270" s="7">
        <f ca="1">(G270-$C$8)/$C$9</f>
        <v>1.8146400951709125</v>
      </c>
    </row>
    <row r="271" spans="3:8" x14ac:dyDescent="0.35">
      <c r="C271" s="8">
        <f t="shared" ca="1" si="12"/>
        <v>0.35017958794731907</v>
      </c>
      <c r="D271" s="7">
        <f t="shared" ca="1" si="13"/>
        <v>8.6945420092662262E-2</v>
      </c>
      <c r="E271" s="7">
        <f t="shared" ca="1" si="14"/>
        <v>3.1378826777981317E-3</v>
      </c>
      <c r="F271" s="7">
        <f t="shared" ca="1" si="15"/>
        <v>1.0792197283231662E-2</v>
      </c>
      <c r="G271" s="7">
        <f ca="1">$C$11/(1+D271)^1
 +$D$11/(1+D271)^2
 +$E$11/(1+D271)^3
 +$F$11/(1+D271)^4
 +$G$11/(1+D271)^5
 +$H$11/(1+D271)^6
 +$I$11/(1+D271)^7
 + ( $I$11*(1+F271)/(D271-F271) )/(1+D271)^7</f>
        <v>364.57287848383191</v>
      </c>
      <c r="H271" s="7">
        <f ca="1">(G271-$C$8)/$C$9</f>
        <v>1.9962849303699226</v>
      </c>
    </row>
    <row r="272" spans="3:8" x14ac:dyDescent="0.35">
      <c r="C272" s="8">
        <f t="shared" ca="1" si="12"/>
        <v>8.035417608290385E-2</v>
      </c>
      <c r="D272" s="7">
        <f t="shared" ca="1" si="13"/>
        <v>7.8117291690458168E-2</v>
      </c>
      <c r="E272" s="7">
        <f t="shared" ca="1" si="14"/>
        <v>0.6345540512225275</v>
      </c>
      <c r="F272" s="7">
        <f t="shared" ca="1" si="15"/>
        <v>2.1450778412305922E-2</v>
      </c>
      <c r="G272" s="7">
        <f ca="1">$C$11/(1+D272)^1
 +$D$11/(1+D272)^2
 +$E$11/(1+D272)^3
 +$F$11/(1+D272)^4
 +$G$11/(1+D272)^5
 +$H$11/(1+D272)^6
 +$I$11/(1+D272)^7
 + ( $I$11*(1+F272)/(D272-F272) )/(1+D272)^7</f>
        <v>471.15144766062923</v>
      </c>
      <c r="H272" s="7">
        <f ca="1">(G272-$C$8)/$C$9</f>
        <v>2.5988322459330009</v>
      </c>
    </row>
    <row r="273" spans="3:8" x14ac:dyDescent="0.35">
      <c r="C273" s="8">
        <f t="shared" ref="C273:C336" ca="1" si="16">RAND()</f>
        <v>0.80292274316702605</v>
      </c>
      <c r="D273" s="7">
        <f t="shared" ref="D273:D336" ca="1" si="17">IF(C273&lt;(0.0905-0.07)/(0.11-0.07),
 0.07+SQRT(C273*(0.11-0.07)*(0.0905-0.07)),
 0.11-SQRT((1-C273)*(0.11-0.07)*(0.11-0.0905))
)</f>
        <v>9.7601602509609572E-2</v>
      </c>
      <c r="E273" s="7">
        <f t="shared" ref="E273:E336" ca="1" si="18">RAND()</f>
        <v>0.17256105517201925</v>
      </c>
      <c r="F273" s="7">
        <f t="shared" ref="F273:F336" ca="1" si="19">MIN(
 IF(E273&lt;(0.02-0.01)/(0.03-0.01),
   0.01+SQRT(E273*(0.03-0.01)*(0.02-0.01)),
   0.03-SQRT((1-E273)*(0.03-0.01)*(0.03-0.02))
 ),
 D273-0.005
)</f>
        <v>1.587470944255151E-2</v>
      </c>
      <c r="G273" s="7">
        <f ca="1">$C$11/(1+D273)^1
 +$D$11/(1+D273)^2
 +$E$11/(1+D273)^3
 +$F$11/(1+D273)^4
 +$G$11/(1+D273)^5
 +$H$11/(1+D273)^6
 +$I$11/(1+D273)^7
 + ( $I$11*(1+F273)/(D273-F273) )/(1+D273)^7</f>
        <v>330.38276127787435</v>
      </c>
      <c r="H273" s="7">
        <f ca="1">(G273-$C$8)/$C$9</f>
        <v>1.8029893785497193</v>
      </c>
    </row>
    <row r="274" spans="3:8" x14ac:dyDescent="0.35">
      <c r="C274" s="8">
        <f t="shared" ca="1" si="16"/>
        <v>0.32610996471917097</v>
      </c>
      <c r="D274" s="7">
        <f t="shared" ca="1" si="17"/>
        <v>8.6352680852683467E-2</v>
      </c>
      <c r="E274" s="7">
        <f t="shared" ca="1" si="18"/>
        <v>0.59989362558018988</v>
      </c>
      <c r="F274" s="7">
        <f t="shared" ca="1" si="19"/>
        <v>2.1054538866891098E-2</v>
      </c>
      <c r="G274" s="7">
        <f ca="1">$C$11/(1+D274)^1
 +$D$11/(1+D274)^2
 +$E$11/(1+D274)^3
 +$F$11/(1+D274)^4
 +$G$11/(1+D274)^5
 +$H$11/(1+D274)^6
 +$I$11/(1+D274)^7
 + ( $I$11*(1+F274)/(D274-F274) )/(1+D274)^7</f>
        <v>407.51104111843551</v>
      </c>
      <c r="H274" s="7">
        <f ca="1">(G274-$C$8)/$C$9</f>
        <v>2.239037998182019</v>
      </c>
    </row>
    <row r="275" spans="3:8" x14ac:dyDescent="0.35">
      <c r="C275" s="8">
        <f t="shared" ca="1" si="16"/>
        <v>0.49095309953617938</v>
      </c>
      <c r="D275" s="7">
        <f t="shared" ca="1" si="17"/>
        <v>9.0064434744583935E-2</v>
      </c>
      <c r="E275" s="7">
        <f t="shared" ca="1" si="18"/>
        <v>0.73138548310858198</v>
      </c>
      <c r="F275" s="7">
        <f t="shared" ca="1" si="19"/>
        <v>2.2670409057915741E-2</v>
      </c>
      <c r="G275" s="7">
        <f ca="1">$C$11/(1+D275)^1
 +$D$11/(1+D275)^2
 +$E$11/(1+D275)^3
 +$F$11/(1+D275)^4
 +$G$11/(1+D275)^5
 +$H$11/(1+D275)^6
 +$I$11/(1+D275)^7
 + ( $I$11*(1+F275)/(D275-F275) )/(1+D275)^7</f>
        <v>391.26895823366942</v>
      </c>
      <c r="H275" s="7">
        <f ca="1">(G275-$C$8)/$C$9</f>
        <v>2.1472125635101165</v>
      </c>
    </row>
    <row r="276" spans="3:8" x14ac:dyDescent="0.35">
      <c r="C276" s="8">
        <f t="shared" ca="1" si="16"/>
        <v>0.66383308288890364</v>
      </c>
      <c r="D276" s="7">
        <f t="shared" ca="1" si="17"/>
        <v>9.3807094289576842E-2</v>
      </c>
      <c r="E276" s="7">
        <f t="shared" ca="1" si="18"/>
        <v>0.38218215803864863</v>
      </c>
      <c r="F276" s="7">
        <f t="shared" ca="1" si="19"/>
        <v>1.8742793123923823E-2</v>
      </c>
      <c r="G276" s="7">
        <f ca="1">$C$11/(1+D276)^1
 +$D$11/(1+D276)^2
 +$E$11/(1+D276)^3
 +$F$11/(1+D276)^4
 +$G$11/(1+D276)^5
 +$H$11/(1+D276)^6
 +$I$11/(1+D276)^7
 + ( $I$11*(1+F276)/(D276-F276) )/(1+D276)^7</f>
        <v>356.33836249785026</v>
      </c>
      <c r="H276" s="7">
        <f ca="1">(G276-$C$8)/$C$9</f>
        <v>1.9497306789792528</v>
      </c>
    </row>
    <row r="277" spans="3:8" x14ac:dyDescent="0.35">
      <c r="C277" s="8">
        <f t="shared" ca="1" si="16"/>
        <v>0.55528352982987494</v>
      </c>
      <c r="D277" s="7">
        <f t="shared" ca="1" si="17"/>
        <v>9.1375316197779416E-2</v>
      </c>
      <c r="E277" s="7">
        <f t="shared" ca="1" si="18"/>
        <v>0.31236843441004514</v>
      </c>
      <c r="F277" s="7">
        <f t="shared" ca="1" si="19"/>
        <v>1.7904029787520349E-2</v>
      </c>
      <c r="G277" s="7">
        <f ca="1">$C$11/(1+D277)^1
 +$D$11/(1+D277)^2
 +$E$11/(1+D277)^3
 +$F$11/(1+D277)^4
 +$G$11/(1+D277)^5
 +$H$11/(1+D277)^6
 +$I$11/(1+D277)^7
 + ( $I$11*(1+F277)/(D277-F277) )/(1+D277)^7</f>
        <v>365.88443808182296</v>
      </c>
      <c r="H277" s="7">
        <f ca="1">(G277-$C$8)/$C$9</f>
        <v>2.0036998986986823</v>
      </c>
    </row>
    <row r="278" spans="3:8" x14ac:dyDescent="0.35">
      <c r="C278" s="8">
        <f t="shared" ca="1" si="16"/>
        <v>0.27338322101956214</v>
      </c>
      <c r="D278" s="7">
        <f t="shared" ca="1" si="17"/>
        <v>8.4972449406694989E-2</v>
      </c>
      <c r="E278" s="7">
        <f t="shared" ca="1" si="18"/>
        <v>0.67946537356174286</v>
      </c>
      <c r="F278" s="7">
        <f t="shared" ca="1" si="19"/>
        <v>2.1993319958456475E-2</v>
      </c>
      <c r="G278" s="7">
        <f ca="1">$C$11/(1+D278)^1
 +$D$11/(1+D278)^2
 +$E$11/(1+D278)^3
 +$F$11/(1+D278)^4
 +$G$11/(1+D278)^5
 +$H$11/(1+D278)^6
 +$I$11/(1+D278)^7
 + ( $I$11*(1+F278)/(D278-F278) )/(1+D278)^7</f>
        <v>421.16968029576827</v>
      </c>
      <c r="H278" s="7">
        <f ca="1">(G278-$C$8)/$C$9</f>
        <v>2.3162578035717338</v>
      </c>
    </row>
    <row r="279" spans="3:8" x14ac:dyDescent="0.35">
      <c r="C279" s="8">
        <f t="shared" ca="1" si="16"/>
        <v>2.4921619036495479E-2</v>
      </c>
      <c r="D279" s="7">
        <f t="shared" ca="1" si="17"/>
        <v>7.4520589298966045E-2</v>
      </c>
      <c r="E279" s="7">
        <f t="shared" ca="1" si="18"/>
        <v>0.92471812022800648</v>
      </c>
      <c r="F279" s="7">
        <f t="shared" ca="1" si="19"/>
        <v>2.6119745375056076E-2</v>
      </c>
      <c r="G279" s="7">
        <f ca="1">$C$11/(1+D279)^1
 +$D$11/(1+D279)^2
 +$E$11/(1+D279)^3
 +$F$11/(1+D279)^4
 +$G$11/(1+D279)^5
 +$H$11/(1+D279)^6
 +$I$11/(1+D279)^7
 + ( $I$11*(1+F279)/(D279-F279) )/(1+D279)^7</f>
        <v>541.47373572043114</v>
      </c>
      <c r="H279" s="7">
        <f ca="1">(G279-$C$8)/$C$9</f>
        <v>2.9964028478088598</v>
      </c>
    </row>
    <row r="280" spans="3:8" x14ac:dyDescent="0.35">
      <c r="C280" s="8">
        <f t="shared" ca="1" si="16"/>
        <v>0.37878599254173284</v>
      </c>
      <c r="D280" s="7">
        <f t="shared" ca="1" si="17"/>
        <v>8.762397554141009E-2</v>
      </c>
      <c r="E280" s="7">
        <f t="shared" ca="1" si="18"/>
        <v>0.24137266162817317</v>
      </c>
      <c r="F280" s="7">
        <f t="shared" ca="1" si="19"/>
        <v>1.6947987645760075E-2</v>
      </c>
      <c r="G280" s="7">
        <f ca="1">$C$11/(1+D280)^1
 +$D$11/(1+D280)^2
 +$E$11/(1+D280)^3
 +$F$11/(1+D280)^4
 +$G$11/(1+D280)^5
 +$H$11/(1+D280)^6
 +$I$11/(1+D280)^7
 + ( $I$11*(1+F280)/(D280-F280) )/(1+D280)^7</f>
        <v>382.78619388924903</v>
      </c>
      <c r="H280" s="7">
        <f ca="1">(G280-$C$8)/$C$9</f>
        <v>2.0992548275059306</v>
      </c>
    </row>
    <row r="281" spans="3:8" x14ac:dyDescent="0.35">
      <c r="C281" s="8">
        <f t="shared" ca="1" si="16"/>
        <v>0.44635664479261694</v>
      </c>
      <c r="D281" s="7">
        <f t="shared" ca="1" si="17"/>
        <v>8.9131451819711591E-2</v>
      </c>
      <c r="E281" s="7">
        <f t="shared" ca="1" si="18"/>
        <v>0.64012326715198753</v>
      </c>
      <c r="F281" s="7">
        <f t="shared" ca="1" si="19"/>
        <v>2.1516171467456303E-2</v>
      </c>
      <c r="G281" s="7">
        <f ca="1">$C$11/(1+D281)^1
 +$D$11/(1+D281)^2
 +$E$11/(1+D281)^3
 +$F$11/(1+D281)^4
 +$G$11/(1+D281)^5
 +$H$11/(1+D281)^6
 +$I$11/(1+D281)^7
 + ( $I$11*(1+F281)/(D281-F281) )/(1+D281)^7</f>
        <v>392.12076392792244</v>
      </c>
      <c r="H281" s="7">
        <f ca="1">(G281-$C$8)/$C$9</f>
        <v>2.1520282899588556</v>
      </c>
    </row>
    <row r="282" spans="3:8" x14ac:dyDescent="0.35">
      <c r="C282" s="8">
        <f t="shared" ca="1" si="16"/>
        <v>0.50155405157974198</v>
      </c>
      <c r="D282" s="7">
        <f t="shared" ca="1" si="17"/>
        <v>9.027989946462725E-2</v>
      </c>
      <c r="E282" s="7">
        <f t="shared" ca="1" si="18"/>
        <v>0.11782016596370204</v>
      </c>
      <c r="F282" s="7">
        <f t="shared" ca="1" si="19"/>
        <v>1.4854279884054935E-2</v>
      </c>
      <c r="G282" s="7">
        <f ca="1">$C$11/(1+D282)^1
 +$D$11/(1+D282)^2
 +$E$11/(1+D282)^3
 +$F$11/(1+D282)^4
 +$G$11/(1+D282)^5
 +$H$11/(1+D282)^6
 +$I$11/(1+D282)^7
 + ( $I$11*(1+F282)/(D282-F282) )/(1+D282)^7</f>
        <v>361.18384672965374</v>
      </c>
      <c r="H282" s="7">
        <f ca="1">(G282-$C$8)/$C$9</f>
        <v>1.9771248684399239</v>
      </c>
    </row>
    <row r="283" spans="3:8" x14ac:dyDescent="0.35">
      <c r="C283" s="8">
        <f t="shared" ca="1" si="16"/>
        <v>0.77812237339608914</v>
      </c>
      <c r="D283" s="7">
        <f t="shared" ca="1" si="17"/>
        <v>9.6844600015543028E-2</v>
      </c>
      <c r="E283" s="7">
        <f t="shared" ca="1" si="18"/>
        <v>0.68163090247124236</v>
      </c>
      <c r="F283" s="7">
        <f t="shared" ca="1" si="19"/>
        <v>2.2020412322321943E-2</v>
      </c>
      <c r="G283" s="7">
        <f ca="1">$C$11/(1+D283)^1
 +$D$11/(1+D283)^2
 +$E$11/(1+D283)^3
 +$F$11/(1+D283)^4
 +$G$11/(1+D283)^5
 +$H$11/(1+D283)^6
 +$I$11/(1+D283)^7
 + ( $I$11*(1+F283)/(D283-F283) )/(1+D283)^7</f>
        <v>352.01073144218998</v>
      </c>
      <c r="H283" s="7">
        <f ca="1">(G283-$C$8)/$C$9</f>
        <v>1.9252641985650722</v>
      </c>
    </row>
    <row r="284" spans="3:8" x14ac:dyDescent="0.35">
      <c r="C284" s="8">
        <f t="shared" ca="1" si="16"/>
        <v>0.66793228323838205</v>
      </c>
      <c r="D284" s="7">
        <f t="shared" ca="1" si="17"/>
        <v>9.3906124796244314E-2</v>
      </c>
      <c r="E284" s="7">
        <f t="shared" ca="1" si="18"/>
        <v>9.2113593154626194E-2</v>
      </c>
      <c r="F284" s="7">
        <f t="shared" ca="1" si="19"/>
        <v>1.4292169455057109E-2</v>
      </c>
      <c r="G284" s="7">
        <f ca="1">$C$11/(1+D284)^1
 +$D$11/(1+D284)^2
 +$E$11/(1+D284)^3
 +$F$11/(1+D284)^4
 +$G$11/(1+D284)^5
 +$H$11/(1+D284)^6
 +$I$11/(1+D284)^7
 + ( $I$11*(1+F284)/(D284-F284) )/(1+D284)^7</f>
        <v>342.15289322291756</v>
      </c>
      <c r="H284" s="7">
        <f ca="1">(G284-$C$8)/$C$9</f>
        <v>1.8695324130648889</v>
      </c>
    </row>
    <row r="285" spans="3:8" x14ac:dyDescent="0.35">
      <c r="C285" s="8">
        <f t="shared" ca="1" si="16"/>
        <v>0.14431641151074215</v>
      </c>
      <c r="D285" s="7">
        <f t="shared" ca="1" si="17"/>
        <v>8.0878394065247342E-2</v>
      </c>
      <c r="E285" s="7">
        <f t="shared" ca="1" si="18"/>
        <v>0.619419802464104</v>
      </c>
      <c r="F285" s="7">
        <f t="shared" ca="1" si="19"/>
        <v>2.1275549329202486E-2</v>
      </c>
      <c r="G285" s="7">
        <f ca="1">$C$11/(1+D285)^1
 +$D$11/(1+D285)^2
 +$E$11/(1+D285)^3
 +$F$11/(1+D285)^4
 +$G$11/(1+D285)^5
 +$H$11/(1+D285)^6
 +$I$11/(1+D285)^7
 + ( $I$11*(1+F285)/(D285-F285) )/(1+D285)^7</f>
        <v>447.51771874117162</v>
      </c>
      <c r="H285" s="7">
        <f ca="1">(G285-$C$8)/$C$9</f>
        <v>2.4652177676457012</v>
      </c>
    </row>
    <row r="286" spans="3:8" x14ac:dyDescent="0.35">
      <c r="C286" s="8">
        <f t="shared" ca="1" si="16"/>
        <v>0.81411073742686257</v>
      </c>
      <c r="D286" s="7">
        <f t="shared" ca="1" si="17"/>
        <v>9.7958670139596415E-2</v>
      </c>
      <c r="E286" s="7">
        <f t="shared" ca="1" si="18"/>
        <v>0.57022843000206092</v>
      </c>
      <c r="F286" s="7">
        <f t="shared" ca="1" si="19"/>
        <v>2.0728845055787936E-2</v>
      </c>
      <c r="G286" s="7">
        <f ca="1">$C$11/(1+D286)^1
 +$D$11/(1+D286)^2
 +$E$11/(1+D286)^3
 +$F$11/(1+D286)^4
 +$G$11/(1+D286)^5
 +$H$11/(1+D286)^6
 +$I$11/(1+D286)^7
 + ( $I$11*(1+F286)/(D286-F286) )/(1+D286)^7</f>
        <v>342.66111906660649</v>
      </c>
      <c r="H286" s="7">
        <f ca="1">(G286-$C$8)/$C$9</f>
        <v>1.8724056935018456</v>
      </c>
    </row>
    <row r="287" spans="3:8" x14ac:dyDescent="0.35">
      <c r="C287" s="8">
        <f t="shared" ca="1" si="16"/>
        <v>0.23191289256207681</v>
      </c>
      <c r="D287" s="7">
        <f t="shared" ca="1" si="17"/>
        <v>8.3790162141936658E-2</v>
      </c>
      <c r="E287" s="7">
        <f t="shared" ca="1" si="18"/>
        <v>0.43147673542698828</v>
      </c>
      <c r="F287" s="7">
        <f t="shared" ca="1" si="19"/>
        <v>1.928952889469631E-2</v>
      </c>
      <c r="G287" s="7">
        <f ca="1">$C$11/(1+D287)^1
 +$D$11/(1+D287)^2
 +$E$11/(1+D287)^3
 +$F$11/(1+D287)^4
 +$G$11/(1+D287)^5
 +$H$11/(1+D287)^6
 +$I$11/(1+D287)^7
 + ( $I$11*(1+F287)/(D287-F287) )/(1+D287)^7</f>
        <v>416.32534957970955</v>
      </c>
      <c r="H287" s="7">
        <f ca="1">(G287-$C$8)/$C$9</f>
        <v>2.2888701355704972</v>
      </c>
    </row>
    <row r="288" spans="3:8" x14ac:dyDescent="0.35">
      <c r="C288" s="8">
        <f t="shared" ca="1" si="16"/>
        <v>1.4671822351897679E-2</v>
      </c>
      <c r="D288" s="7">
        <f t="shared" ca="1" si="17"/>
        <v>7.3468557960962466E-2</v>
      </c>
      <c r="E288" s="7">
        <f t="shared" ca="1" si="18"/>
        <v>0.43101871426583094</v>
      </c>
      <c r="F288" s="7">
        <f t="shared" ca="1" si="19"/>
        <v>1.9284597075434465E-2</v>
      </c>
      <c r="G288" s="7">
        <f ca="1">$C$11/(1+D288)^1
 +$D$11/(1+D288)^2
 +$E$11/(1+D288)^3
 +$F$11/(1+D288)^4
 +$G$11/(1+D288)^5
 +$H$11/(1+D288)^6
 +$I$11/(1+D288)^7
 + ( $I$11*(1+F288)/(D288-F288) )/(1+D288)^7</f>
        <v>498.90711230595133</v>
      </c>
      <c r="H288" s="7">
        <f ca="1">(G288-$C$8)/$C$9</f>
        <v>2.7557502957143334</v>
      </c>
    </row>
    <row r="289" spans="3:8" x14ac:dyDescent="0.35">
      <c r="C289" s="8">
        <f t="shared" ca="1" si="16"/>
        <v>0.9213333826501614</v>
      </c>
      <c r="D289" s="7">
        <f t="shared" ca="1" si="17"/>
        <v>0.10216674004434462</v>
      </c>
      <c r="E289" s="7">
        <f t="shared" ca="1" si="18"/>
        <v>0.8084675082291265</v>
      </c>
      <c r="F289" s="7">
        <f t="shared" ca="1" si="19"/>
        <v>2.3810775625801348E-2</v>
      </c>
      <c r="G289" s="7">
        <f ca="1">$C$11/(1+D289)^1
 +$D$11/(1+D289)^2
 +$E$11/(1+D289)^3
 +$F$11/(1+D289)^4
 +$G$11/(1+D289)^5
 +$H$11/(1+D289)^6
 +$I$11/(1+D289)^7
 + ( $I$11*(1+F289)/(D289-F289) )/(1+D289)^7</f>
        <v>332.66966415353869</v>
      </c>
      <c r="H289" s="7">
        <f ca="1">(G289-$C$8)/$C$9</f>
        <v>1.8159184992850446</v>
      </c>
    </row>
    <row r="290" spans="3:8" x14ac:dyDescent="0.35">
      <c r="C290" s="8">
        <f t="shared" ca="1" si="16"/>
        <v>0.27914614148683137</v>
      </c>
      <c r="D290" s="7">
        <f t="shared" ca="1" si="17"/>
        <v>8.5129436077369239E-2</v>
      </c>
      <c r="E290" s="7">
        <f t="shared" ca="1" si="18"/>
        <v>1.8476545095217012E-2</v>
      </c>
      <c r="F290" s="7">
        <f t="shared" ca="1" si="19"/>
        <v>1.1922318656998211E-2</v>
      </c>
      <c r="G290" s="7">
        <f ca="1">$C$11/(1+D290)^1
 +$D$11/(1+D290)^2
 +$E$11/(1+D290)^3
 +$F$11/(1+D290)^4
 +$G$11/(1+D290)^5
 +$H$11/(1+D290)^6
 +$I$11/(1+D290)^7
 + ( $I$11*(1+F290)/(D290-F290) )/(1+D290)^7</f>
        <v>377.97633927917138</v>
      </c>
      <c r="H290" s="7">
        <f ca="1">(G290-$C$8)/$C$9</f>
        <v>2.0720620719084768</v>
      </c>
    </row>
    <row r="291" spans="3:8" x14ac:dyDescent="0.35">
      <c r="C291" s="8">
        <f t="shared" ca="1" si="16"/>
        <v>0.2064839731828042</v>
      </c>
      <c r="D291" s="7">
        <f t="shared" ca="1" si="17"/>
        <v>8.301218113960529E-2</v>
      </c>
      <c r="E291" s="7">
        <f t="shared" ca="1" si="18"/>
        <v>0.81558735280421257</v>
      </c>
      <c r="F291" s="7">
        <f t="shared" ca="1" si="19"/>
        <v>2.3926901166689489E-2</v>
      </c>
      <c r="G291" s="7">
        <f ca="1">$C$11/(1+D291)^1
 +$D$11/(1+D291)^2
 +$E$11/(1+D291)^3
 +$F$11/(1+D291)^4
 +$G$11/(1+D291)^5
 +$H$11/(1+D291)^6
 +$I$11/(1+D291)^7
 + ( $I$11*(1+F291)/(D291-F291) )/(1+D291)^7</f>
        <v>445.69746048183742</v>
      </c>
      <c r="H291" s="7">
        <f ca="1">(G291-$C$8)/$C$9</f>
        <v>2.4549268457815323</v>
      </c>
    </row>
    <row r="292" spans="3:8" x14ac:dyDescent="0.35">
      <c r="C292" s="8">
        <f t="shared" ca="1" si="16"/>
        <v>0.25557152065843725</v>
      </c>
      <c r="D292" s="7">
        <f t="shared" ca="1" si="17"/>
        <v>8.4476486001095655E-2</v>
      </c>
      <c r="E292" s="7">
        <f t="shared" ca="1" si="18"/>
        <v>0.29242640171469581</v>
      </c>
      <c r="F292" s="7">
        <f t="shared" ca="1" si="19"/>
        <v>1.764756695576699E-2</v>
      </c>
      <c r="G292" s="7">
        <f ca="1">$C$11/(1+D292)^1
 +$D$11/(1+D292)^2
 +$E$11/(1+D292)^3
 +$F$11/(1+D292)^4
 +$G$11/(1+D292)^5
 +$H$11/(1+D292)^6
 +$I$11/(1+D292)^7
 + ( $I$11*(1+F292)/(D292-F292) )/(1+D292)^7</f>
        <v>404.45421196393204</v>
      </c>
      <c r="H292" s="7">
        <f ca="1">(G292-$C$8)/$C$9</f>
        <v>2.2217560604021487</v>
      </c>
    </row>
    <row r="293" spans="3:8" x14ac:dyDescent="0.35">
      <c r="C293" s="8">
        <f t="shared" ca="1" si="16"/>
        <v>0.16606909472465392</v>
      </c>
      <c r="D293" s="7">
        <f t="shared" ca="1" si="17"/>
        <v>8.1669475466970065E-2</v>
      </c>
      <c r="E293" s="7">
        <f t="shared" ca="1" si="18"/>
        <v>0.86445019153163816</v>
      </c>
      <c r="F293" s="7">
        <f t="shared" ca="1" si="19"/>
        <v>2.479327725976576E-2</v>
      </c>
      <c r="G293" s="7">
        <f ca="1">$C$11/(1+D293)^1
 +$D$11/(1+D293)^2
 +$E$11/(1+D293)^3
 +$F$11/(1+D293)^4
 +$G$11/(1+D293)^5
 +$H$11/(1+D293)^6
 +$I$11/(1+D293)^7
 + ( $I$11*(1+F293)/(D293-F293) )/(1+D293)^7</f>
        <v>461.61422067685226</v>
      </c>
      <c r="H293" s="7">
        <f ca="1">(G293-$C$8)/$C$9</f>
        <v>2.5449130522210099</v>
      </c>
    </row>
    <row r="294" spans="3:8" x14ac:dyDescent="0.35">
      <c r="C294" s="8">
        <f t="shared" ca="1" si="16"/>
        <v>0.62610984099920031</v>
      </c>
      <c r="D294" s="7">
        <f t="shared" ca="1" si="17"/>
        <v>9.2922695645371201E-2</v>
      </c>
      <c r="E294" s="7">
        <f t="shared" ca="1" si="18"/>
        <v>0.76755270969257061</v>
      </c>
      <c r="F294" s="7">
        <f t="shared" ca="1" si="19"/>
        <v>2.3181682167756779E-2</v>
      </c>
      <c r="G294" s="7">
        <f ca="1">$C$11/(1+D294)^1
 +$D$11/(1+D294)^2
 +$E$11/(1+D294)^3
 +$F$11/(1+D294)^4
 +$G$11/(1+D294)^5
 +$H$11/(1+D294)^6
 +$I$11/(1+D294)^7
 + ( $I$11*(1+F294)/(D294-F294) )/(1+D294)^7</f>
        <v>376.66608770128056</v>
      </c>
      <c r="H294" s="7">
        <f ca="1">(G294-$C$8)/$C$9</f>
        <v>2.0646544985373163</v>
      </c>
    </row>
    <row r="295" spans="3:8" x14ac:dyDescent="0.35">
      <c r="C295" s="8">
        <f t="shared" ca="1" si="16"/>
        <v>0.21052579883649791</v>
      </c>
      <c r="D295" s="7">
        <f t="shared" ca="1" si="17"/>
        <v>8.3138917575124996E-2</v>
      </c>
      <c r="E295" s="7">
        <f t="shared" ca="1" si="18"/>
        <v>0.50632715488223812</v>
      </c>
      <c r="F295" s="7">
        <f t="shared" ca="1" si="19"/>
        <v>2.0063472989844372E-2</v>
      </c>
      <c r="G295" s="7">
        <f ca="1">$C$11/(1+D295)^1
 +$D$11/(1+D295)^2
 +$E$11/(1+D295)^3
 +$F$11/(1+D295)^4
 +$G$11/(1+D295)^5
 +$H$11/(1+D295)^6
 +$I$11/(1+D295)^7
 + ( $I$11*(1+F295)/(D295-F295) )/(1+D295)^7</f>
        <v>424.49938006740393</v>
      </c>
      <c r="H295" s="7">
        <f ca="1">(G295-$C$8)/$C$9</f>
        <v>2.3350824291463361</v>
      </c>
    </row>
    <row r="296" spans="3:8" x14ac:dyDescent="0.35">
      <c r="C296" s="8">
        <f t="shared" ca="1" si="16"/>
        <v>2.7432030366005167E-2</v>
      </c>
      <c r="D296" s="7">
        <f t="shared" ca="1" si="17"/>
        <v>7.4742811919117635E-2</v>
      </c>
      <c r="E296" s="7">
        <f t="shared" ca="1" si="18"/>
        <v>5.1047036385045041E-2</v>
      </c>
      <c r="F296" s="7">
        <f t="shared" ca="1" si="19"/>
        <v>1.3195216311458273E-2</v>
      </c>
      <c r="G296" s="7">
        <f ca="1">$C$11/(1+D296)^1
 +$D$11/(1+D296)^2
 +$E$11/(1+D296)^3
 +$F$11/(1+D296)^4
 +$G$11/(1+D296)^5
 +$H$11/(1+D296)^6
 +$I$11/(1+D296)^7
 + ( $I$11*(1+F296)/(D296-F296) )/(1+D296)^7</f>
        <v>450.51376373730722</v>
      </c>
      <c r="H296" s="7">
        <f ca="1">(G296-$C$8)/$C$9</f>
        <v>2.4821560591209137</v>
      </c>
    </row>
    <row r="297" spans="3:8" x14ac:dyDescent="0.35">
      <c r="C297" s="8">
        <f t="shared" ca="1" si="16"/>
        <v>0.31996102484344813</v>
      </c>
      <c r="D297" s="7">
        <f t="shared" ca="1" si="17"/>
        <v>8.6197778871549877E-2</v>
      </c>
      <c r="E297" s="7">
        <f t="shared" ca="1" si="18"/>
        <v>0.50216133789300754</v>
      </c>
      <c r="F297" s="7">
        <f t="shared" ca="1" si="19"/>
        <v>2.0021636786456486E-2</v>
      </c>
      <c r="G297" s="7">
        <f ca="1">$C$11/(1+D297)^1
 +$D$11/(1+D297)^2
 +$E$11/(1+D297)^3
 +$F$11/(1+D297)^4
 +$G$11/(1+D297)^5
 +$H$11/(1+D297)^6
 +$I$11/(1+D297)^7
 + ( $I$11*(1+F297)/(D297-F297) )/(1+D297)^7</f>
        <v>403.91536936771536</v>
      </c>
      <c r="H297" s="7">
        <f ca="1">(G297-$C$8)/$C$9</f>
        <v>2.2187096866107834</v>
      </c>
    </row>
    <row r="298" spans="3:8" x14ac:dyDescent="0.35">
      <c r="C298" s="8">
        <f t="shared" ca="1" si="16"/>
        <v>0.85603873536454178</v>
      </c>
      <c r="D298" s="7">
        <f t="shared" ca="1" si="17"/>
        <v>9.9403312479097186E-2</v>
      </c>
      <c r="E298" s="7">
        <f t="shared" ca="1" si="18"/>
        <v>0.65999464224150151</v>
      </c>
      <c r="F298" s="7">
        <f t="shared" ca="1" si="19"/>
        <v>2.1753723776655326E-2</v>
      </c>
      <c r="G298" s="7">
        <f ca="1">$C$11/(1+D298)^1
 +$D$11/(1+D298)^2
 +$E$11/(1+D298)^3
 +$F$11/(1+D298)^4
 +$G$11/(1+D298)^5
 +$H$11/(1+D298)^6
 +$I$11/(1+D298)^7
 + ( $I$11*(1+F298)/(D298-F298) )/(1+D298)^7</f>
        <v>339.08554774943445</v>
      </c>
      <c r="H298" s="7">
        <f ca="1">(G298-$C$8)/$C$9</f>
        <v>1.8521910207453327</v>
      </c>
    </row>
    <row r="299" spans="3:8" x14ac:dyDescent="0.35">
      <c r="C299" s="8">
        <f t="shared" ca="1" si="16"/>
        <v>0.7690892777202909</v>
      </c>
      <c r="D299" s="7">
        <f t="shared" ca="1" si="17"/>
        <v>9.6579479764995202E-2</v>
      </c>
      <c r="E299" s="7">
        <f t="shared" ca="1" si="18"/>
        <v>0.34228490724773408</v>
      </c>
      <c r="F299" s="7">
        <f t="shared" ca="1" si="19"/>
        <v>1.827387342479608E-2</v>
      </c>
      <c r="G299" s="7">
        <f ca="1">$C$11/(1+D299)^1
 +$D$11/(1+D299)^2
 +$E$11/(1+D299)^3
 +$F$11/(1+D299)^4
 +$G$11/(1+D299)^5
 +$H$11/(1+D299)^6
 +$I$11/(1+D299)^7
 + ( $I$11*(1+F299)/(D299-F299) )/(1+D299)^7</f>
        <v>341.67193277312083</v>
      </c>
      <c r="H299" s="7">
        <f ca="1">(G299-$C$8)/$C$9</f>
        <v>1.8668132789072864</v>
      </c>
    </row>
    <row r="300" spans="3:8" x14ac:dyDescent="0.35">
      <c r="C300" s="8">
        <f t="shared" ca="1" si="16"/>
        <v>0.96679141372598598</v>
      </c>
      <c r="D300" s="7">
        <f t="shared" ca="1" si="17"/>
        <v>0.10491053074537915</v>
      </c>
      <c r="E300" s="7">
        <f t="shared" ca="1" si="18"/>
        <v>0.12590276884844753</v>
      </c>
      <c r="F300" s="7">
        <f t="shared" ca="1" si="19"/>
        <v>1.5018022894496347E-2</v>
      </c>
      <c r="G300" s="7">
        <f ca="1">$C$11/(1+D300)^1
 +$D$11/(1+D300)^2
 +$E$11/(1+D300)^3
 +$F$11/(1+D300)^4
 +$G$11/(1+D300)^5
 +$H$11/(1+D300)^6
 +$I$11/(1+D300)^7
 + ( $I$11*(1+F300)/(D300-F300) )/(1+D300)^7</f>
        <v>300.02986337463233</v>
      </c>
      <c r="H300" s="7">
        <f ca="1">(G300-$C$8)/$C$9</f>
        <v>1.6313877395671208</v>
      </c>
    </row>
    <row r="301" spans="3:8" x14ac:dyDescent="0.35">
      <c r="C301" s="8">
        <f t="shared" ca="1" si="16"/>
        <v>0.49991221231564686</v>
      </c>
      <c r="D301" s="7">
        <f t="shared" ca="1" si="17"/>
        <v>9.0246679088157408E-2</v>
      </c>
      <c r="E301" s="7">
        <f t="shared" ca="1" si="18"/>
        <v>0.25744222860056409</v>
      </c>
      <c r="F301" s="7">
        <f t="shared" ca="1" si="19"/>
        <v>1.7175544977220392E-2</v>
      </c>
      <c r="G301" s="7">
        <f ca="1">$C$11/(1+D301)^1
 +$D$11/(1+D301)^2
 +$E$11/(1+D301)^3
 +$F$11/(1+D301)^4
 +$G$11/(1+D301)^5
 +$H$11/(1+D301)^6
 +$I$11/(1+D301)^7
 + ( $I$11*(1+F301)/(D301-F301) )/(1+D301)^7</f>
        <v>369.26685653356839</v>
      </c>
      <c r="H301" s="7">
        <f ca="1">(G301-$C$8)/$C$9</f>
        <v>2.0228225719898707</v>
      </c>
    </row>
    <row r="302" spans="3:8" x14ac:dyDescent="0.35">
      <c r="C302" s="8">
        <f t="shared" ca="1" si="16"/>
        <v>0.53680618684904302</v>
      </c>
      <c r="D302" s="7">
        <f t="shared" ca="1" si="17"/>
        <v>9.0992339064005098E-2</v>
      </c>
      <c r="E302" s="7">
        <f t="shared" ca="1" si="18"/>
        <v>0.88558819540001954</v>
      </c>
      <c r="F302" s="7">
        <f t="shared" ca="1" si="19"/>
        <v>2.5216448921565059E-2</v>
      </c>
      <c r="G302" s="7">
        <f ca="1">$C$11/(1+D302)^1
 +$D$11/(1+D302)^2
 +$E$11/(1+D302)^3
 +$F$11/(1+D302)^4
 +$G$11/(1+D302)^5
 +$H$11/(1+D302)^6
 +$I$11/(1+D302)^7
 + ( $I$11*(1+F302)/(D302-F302) )/(1+D302)^7</f>
        <v>396.34860962782801</v>
      </c>
      <c r="H302" s="7">
        <f ca="1">(G302-$C$8)/$C$9</f>
        <v>2.1759306288321349</v>
      </c>
    </row>
    <row r="303" spans="3:8" x14ac:dyDescent="0.35">
      <c r="C303" s="8">
        <f t="shared" ca="1" si="16"/>
        <v>0.453564973995223</v>
      </c>
      <c r="D303" s="7">
        <f t="shared" ca="1" si="17"/>
        <v>8.9285312511755754E-2</v>
      </c>
      <c r="E303" s="7">
        <f t="shared" ca="1" si="18"/>
        <v>0.12716758561113972</v>
      </c>
      <c r="F303" s="7">
        <f t="shared" ca="1" si="19"/>
        <v>1.5043165387157945E-2</v>
      </c>
      <c r="G303" s="7">
        <f ca="1">$C$11/(1+D303)^1
 +$D$11/(1+D303)^2
 +$E$11/(1+D303)^3
 +$F$11/(1+D303)^4
 +$G$11/(1+D303)^5
 +$H$11/(1+D303)^6
 +$I$11/(1+D303)^7
 + ( $I$11*(1+F303)/(D303-F303) )/(1+D303)^7</f>
        <v>366.89671541555401</v>
      </c>
      <c r="H303" s="7">
        <f ca="1">(G303-$C$8)/$C$9</f>
        <v>2.0094228596537427</v>
      </c>
    </row>
    <row r="304" spans="3:8" x14ac:dyDescent="0.35">
      <c r="C304" s="8">
        <f t="shared" ca="1" si="16"/>
        <v>0.3006833294265725</v>
      </c>
      <c r="D304" s="7">
        <f t="shared" ca="1" si="17"/>
        <v>8.5702239653303897E-2</v>
      </c>
      <c r="E304" s="7">
        <f t="shared" ca="1" si="18"/>
        <v>0.25314364288937274</v>
      </c>
      <c r="F304" s="7">
        <f t="shared" ca="1" si="19"/>
        <v>1.7115386748299388E-2</v>
      </c>
      <c r="G304" s="7">
        <f ca="1">$C$11/(1+D304)^1
 +$D$11/(1+D304)^2
 +$E$11/(1+D304)^3
 +$F$11/(1+D304)^4
 +$G$11/(1+D304)^5
 +$H$11/(1+D304)^6
 +$I$11/(1+D304)^7
 + ( $I$11*(1+F304)/(D304-F304) )/(1+D304)^7</f>
        <v>394.65947682005918</v>
      </c>
      <c r="H304" s="7">
        <f ca="1">(G304-$C$8)/$C$9</f>
        <v>2.1663810313210039</v>
      </c>
    </row>
    <row r="305" spans="3:8" x14ac:dyDescent="0.35">
      <c r="C305" s="8">
        <f t="shared" ca="1" si="16"/>
        <v>0.80719000937309771</v>
      </c>
      <c r="D305" s="7">
        <f t="shared" ca="1" si="17"/>
        <v>9.773656684737167E-2</v>
      </c>
      <c r="E305" s="7">
        <f t="shared" ca="1" si="18"/>
        <v>0.35894474146347322</v>
      </c>
      <c r="F305" s="7">
        <f t="shared" ca="1" si="19"/>
        <v>1.8472835906158849E-2</v>
      </c>
      <c r="G305" s="7">
        <f ca="1">$C$11/(1+D305)^1
 +$D$11/(1+D305)^2
 +$E$11/(1+D305)^3
 +$F$11/(1+D305)^4
 +$G$11/(1+D305)^5
 +$H$11/(1+D305)^6
 +$I$11/(1+D305)^7
 + ( $I$11*(1+F305)/(D305-F305) )/(1+D305)^7</f>
        <v>337.02960163242949</v>
      </c>
      <c r="H305" s="7">
        <f ca="1">(G305-$C$8)/$C$9</f>
        <v>1.8405676256921613</v>
      </c>
    </row>
    <row r="306" spans="3:8" x14ac:dyDescent="0.35">
      <c r="C306" s="8">
        <f t="shared" ca="1" si="16"/>
        <v>0.20114330744616182</v>
      </c>
      <c r="D306" s="7">
        <f t="shared" ca="1" si="17"/>
        <v>8.284280001035027E-2</v>
      </c>
      <c r="E306" s="7">
        <f t="shared" ca="1" si="18"/>
        <v>0.51101113789947961</v>
      </c>
      <c r="F306" s="7">
        <f t="shared" ca="1" si="19"/>
        <v>2.0110724373337344E-2</v>
      </c>
      <c r="G306" s="7">
        <f ca="1">$C$11/(1+D306)^1
 +$D$11/(1+D306)^2
 +$E$11/(1+D306)^3
 +$F$11/(1+D306)^4
 +$G$11/(1+D306)^5
 +$H$11/(1+D306)^6
 +$I$11/(1+D306)^7
 + ( $I$11*(1+F306)/(D306-F306) )/(1+D306)^7</f>
        <v>426.8152294583092</v>
      </c>
      <c r="H306" s="7">
        <f ca="1">(G306-$C$8)/$C$9</f>
        <v>2.3481752004653393</v>
      </c>
    </row>
    <row r="307" spans="3:8" x14ac:dyDescent="0.35">
      <c r="C307" s="8">
        <f t="shared" ca="1" si="16"/>
        <v>0.36550344829156367</v>
      </c>
      <c r="D307" s="7">
        <f t="shared" ca="1" si="17"/>
        <v>8.7312216137718543E-2</v>
      </c>
      <c r="E307" s="7">
        <f t="shared" ca="1" si="18"/>
        <v>0.81004471210812268</v>
      </c>
      <c r="F307" s="7">
        <f t="shared" ca="1" si="19"/>
        <v>2.3836311365880374E-2</v>
      </c>
      <c r="G307" s="7">
        <f ca="1">$C$11/(1+D307)^1
 +$D$11/(1+D307)^2
 +$E$11/(1+D307)^3
 +$F$11/(1+D307)^4
 +$G$11/(1+D307)^5
 +$H$11/(1+D307)^6
 +$I$11/(1+D307)^7
 + ( $I$11*(1+F307)/(D307-F307) )/(1+D307)^7</f>
        <v>414.00562330355945</v>
      </c>
      <c r="H307" s="7">
        <f ca="1">(G307-$C$8)/$C$9</f>
        <v>2.2757554460852525</v>
      </c>
    </row>
    <row r="308" spans="3:8" x14ac:dyDescent="0.35">
      <c r="C308" s="8">
        <f t="shared" ca="1" si="16"/>
        <v>0.54977157564426282</v>
      </c>
      <c r="D308" s="7">
        <f t="shared" ca="1" si="17"/>
        <v>9.1260251575928902E-2</v>
      </c>
      <c r="E308" s="7">
        <f t="shared" ca="1" si="18"/>
        <v>0.75351777434335543</v>
      </c>
      <c r="F308" s="7">
        <f t="shared" ca="1" si="19"/>
        <v>2.2978857277385047E-2</v>
      </c>
      <c r="G308" s="7">
        <f ca="1">$C$11/(1+D308)^1
 +$D$11/(1+D308)^2
 +$E$11/(1+D308)^3
 +$F$11/(1+D308)^4
 +$G$11/(1+D308)^5
 +$H$11/(1+D308)^6
 +$I$11/(1+D308)^7
 + ( $I$11*(1+F308)/(D308-F308) )/(1+D308)^7</f>
        <v>385.41303632592059</v>
      </c>
      <c r="H308" s="7">
        <f ca="1">(G308-$C$8)/$C$9</f>
        <v>2.1141058136924502</v>
      </c>
    </row>
    <row r="309" spans="3:8" x14ac:dyDescent="0.35">
      <c r="C309" s="8">
        <f t="shared" ca="1" si="16"/>
        <v>0.31512979976232081</v>
      </c>
      <c r="D309" s="7">
        <f t="shared" ca="1" si="17"/>
        <v>8.6075025219423548E-2</v>
      </c>
      <c r="E309" s="7">
        <f t="shared" ca="1" si="18"/>
        <v>0.21041926569742664</v>
      </c>
      <c r="F309" s="7">
        <f t="shared" ca="1" si="19"/>
        <v>1.6487206882741242E-2</v>
      </c>
      <c r="G309" s="7">
        <f ca="1">$C$11/(1+D309)^1
 +$D$11/(1+D309)^2
 +$E$11/(1+D309)^3
 +$F$11/(1+D309)^4
 +$G$11/(1+D309)^5
 +$H$11/(1+D309)^6
 +$I$11/(1+D309)^7
 + ( $I$11*(1+F309)/(D309-F309) )/(1+D309)^7</f>
        <v>389.91467374289215</v>
      </c>
      <c r="H309" s="7">
        <f ca="1">(G309-$C$8)/$C$9</f>
        <v>2.1395560478453874</v>
      </c>
    </row>
    <row r="310" spans="3:8" x14ac:dyDescent="0.35">
      <c r="C310" s="8">
        <f t="shared" ca="1" si="16"/>
        <v>4.2808241917347667E-2</v>
      </c>
      <c r="D310" s="7">
        <f t="shared" ca="1" si="17"/>
        <v>7.5924758085544525E-2</v>
      </c>
      <c r="E310" s="7">
        <f t="shared" ca="1" si="18"/>
        <v>0.60697430753214554</v>
      </c>
      <c r="F310" s="7">
        <f t="shared" ca="1" si="19"/>
        <v>2.1134046103572897E-2</v>
      </c>
      <c r="G310" s="7">
        <f ca="1">$C$11/(1+D310)^1
 +$D$11/(1+D310)^2
 +$E$11/(1+D310)^3
 +$F$11/(1+D310)^4
 +$G$11/(1+D310)^5
 +$H$11/(1+D310)^6
 +$I$11/(1+D310)^7
 + ( $I$11*(1+F310)/(D310-F310) )/(1+D310)^7</f>
        <v>488.62665410546572</v>
      </c>
      <c r="H310" s="7">
        <f ca="1">(G310-$C$8)/$C$9</f>
        <v>2.6976292068377754</v>
      </c>
    </row>
    <row r="311" spans="3:8" x14ac:dyDescent="0.35">
      <c r="C311" s="8">
        <f t="shared" ca="1" si="16"/>
        <v>0.94541696713398249</v>
      </c>
      <c r="D311" s="7">
        <f t="shared" ca="1" si="17"/>
        <v>0.10347506585201861</v>
      </c>
      <c r="E311" s="7">
        <f t="shared" ca="1" si="18"/>
        <v>0.83838986925470271</v>
      </c>
      <c r="F311" s="7">
        <f t="shared" ca="1" si="19"/>
        <v>2.4314753642184057E-2</v>
      </c>
      <c r="G311" s="7">
        <f ca="1">$C$11/(1+D311)^1
 +$D$11/(1+D311)^2
 +$E$11/(1+D311)^3
 +$F$11/(1+D311)^4
 +$G$11/(1+D311)^5
 +$H$11/(1+D311)^6
 +$I$11/(1+D311)^7
 + ( $I$11*(1+F311)/(D311-F311) )/(1+D311)^7</f>
        <v>328.37308368238035</v>
      </c>
      <c r="H311" s="7">
        <f ca="1">(G311-$C$8)/$C$9</f>
        <v>1.7916275649162163</v>
      </c>
    </row>
    <row r="312" spans="3:8" x14ac:dyDescent="0.35">
      <c r="C312" s="8">
        <f t="shared" ca="1" si="16"/>
        <v>0.72623823810146582</v>
      </c>
      <c r="D312" s="7">
        <f t="shared" ca="1" si="17"/>
        <v>9.5387191430773594E-2</v>
      </c>
      <c r="E312" s="7">
        <f t="shared" ca="1" si="18"/>
        <v>0.66231746387328894</v>
      </c>
      <c r="F312" s="7">
        <f t="shared" ca="1" si="19"/>
        <v>2.1781940178768337E-2</v>
      </c>
      <c r="G312" s="7">
        <f ca="1">$C$11/(1+D312)^1
 +$D$11/(1+D312)^2
 +$E$11/(1+D312)^3
 +$F$11/(1+D312)^4
 +$G$11/(1+D312)^5
 +$H$11/(1+D312)^6
 +$I$11/(1+D312)^7
 + ( $I$11*(1+F312)/(D312-F312) )/(1+D312)^7</f>
        <v>358.49552388667644</v>
      </c>
      <c r="H312" s="7">
        <f ca="1">(G312-$C$8)/$C$9</f>
        <v>1.9619262996759181</v>
      </c>
    </row>
    <row r="313" spans="3:8" x14ac:dyDescent="0.35">
      <c r="C313" s="8">
        <f t="shared" ca="1" si="16"/>
        <v>0.31586465620515192</v>
      </c>
      <c r="D313" s="7">
        <f t="shared" ca="1" si="17"/>
        <v>8.6093757115360742E-2</v>
      </c>
      <c r="E313" s="7">
        <f t="shared" ca="1" si="18"/>
        <v>0.99630801310176154</v>
      </c>
      <c r="F313" s="7">
        <f t="shared" ca="1" si="19"/>
        <v>2.9140699482341773E-2</v>
      </c>
      <c r="G313" s="7">
        <f ca="1">$C$11/(1+D313)^1
 +$D$11/(1+D313)^2
 +$E$11/(1+D313)^3
 +$F$11/(1+D313)^4
 +$G$11/(1+D313)^5
 +$H$11/(1+D313)^6
 +$I$11/(1+D313)^7
 + ( $I$11*(1+F313)/(D313-F313) )/(1+D313)^7</f>
        <v>451.15837728408025</v>
      </c>
      <c r="H313" s="7">
        <f ca="1">(G313-$C$8)/$C$9</f>
        <v>2.4858004143152432</v>
      </c>
    </row>
    <row r="314" spans="3:8" x14ac:dyDescent="0.35">
      <c r="C314" s="8">
        <f t="shared" ca="1" si="16"/>
        <v>0.82591378706725038</v>
      </c>
      <c r="D314" s="7">
        <f t="shared" ca="1" si="17"/>
        <v>9.8347221529285614E-2</v>
      </c>
      <c r="E314" s="7">
        <f t="shared" ca="1" si="18"/>
        <v>0.35758674903409338</v>
      </c>
      <c r="F314" s="7">
        <f t="shared" ca="1" si="19"/>
        <v>1.8456793115999626E-2</v>
      </c>
      <c r="G314" s="7">
        <f ca="1">$C$11/(1+D314)^1
 +$D$11/(1+D314)^2
 +$E$11/(1+D314)^3
 +$F$11/(1+D314)^4
 +$G$11/(1+D314)^5
 +$H$11/(1+D314)^6
 +$I$11/(1+D314)^7
 + ( $I$11*(1+F314)/(D314-F314) )/(1+D314)^7</f>
        <v>334.28452642185107</v>
      </c>
      <c r="H314" s="7">
        <f ca="1">(G314-$C$8)/$C$9</f>
        <v>1.8250482045559195</v>
      </c>
    </row>
    <row r="315" spans="3:8" x14ac:dyDescent="0.35">
      <c r="C315" s="8">
        <f t="shared" ca="1" si="16"/>
        <v>0.27017658647413734</v>
      </c>
      <c r="D315" s="7">
        <f t="shared" ca="1" si="17"/>
        <v>8.4884381106004797E-2</v>
      </c>
      <c r="E315" s="7">
        <f t="shared" ca="1" si="18"/>
        <v>0.66633531134290525</v>
      </c>
      <c r="F315" s="7">
        <f t="shared" ca="1" si="19"/>
        <v>2.1830976941431803E-2</v>
      </c>
      <c r="G315" s="7">
        <f ca="1">$C$11/(1+D315)^1
 +$D$11/(1+D315)^2
 +$E$11/(1+D315)^3
 +$F$11/(1+D315)^4
 +$G$11/(1+D315)^5
 +$H$11/(1+D315)^6
 +$I$11/(1+D315)^7
 + ( $I$11*(1+F315)/(D315-F315) )/(1+D315)^7</f>
        <v>420.98944513087361</v>
      </c>
      <c r="H315" s="7">
        <f ca="1">(G315-$C$8)/$C$9</f>
        <v>2.3152388349778019</v>
      </c>
    </row>
    <row r="316" spans="3:8" x14ac:dyDescent="0.35">
      <c r="C316" s="8">
        <f t="shared" ca="1" si="16"/>
        <v>0.94306688949007955</v>
      </c>
      <c r="D316" s="7">
        <f t="shared" ca="1" si="17"/>
        <v>0.10333608026775998</v>
      </c>
      <c r="E316" s="7">
        <f t="shared" ca="1" si="18"/>
        <v>0.68954649471906593</v>
      </c>
      <c r="F316" s="7">
        <f t="shared" ca="1" si="19"/>
        <v>2.2120234708052099E-2</v>
      </c>
      <c r="G316" s="7">
        <f ca="1">$C$11/(1+D316)^1
 +$D$11/(1+D316)^2
 +$E$11/(1+D316)^3
 +$F$11/(1+D316)^4
 +$G$11/(1+D316)^5
 +$H$11/(1+D316)^6
 +$I$11/(1+D316)^7
 + ( $I$11*(1+F316)/(D316-F316) )/(1+D316)^7</f>
        <v>322.9948047457122</v>
      </c>
      <c r="H316" s="7">
        <f ca="1">(G316-$C$8)/$C$9</f>
        <v>1.7612211937229318</v>
      </c>
    </row>
    <row r="317" spans="3:8" x14ac:dyDescent="0.35">
      <c r="C317" s="8">
        <f t="shared" ca="1" si="16"/>
        <v>0.86135180510593201</v>
      </c>
      <c r="D317" s="7">
        <f t="shared" ca="1" si="17"/>
        <v>9.9600692714542333E-2</v>
      </c>
      <c r="E317" s="7">
        <f t="shared" ca="1" si="18"/>
        <v>2.6007423201135138E-2</v>
      </c>
      <c r="F317" s="7">
        <f t="shared" ca="1" si="19"/>
        <v>1.2280676355870563E-2</v>
      </c>
      <c r="G317" s="7">
        <f ca="1">$C$11/(1+D317)^1
 +$D$11/(1+D317)^2
 +$E$11/(1+D317)^3
 +$F$11/(1+D317)^4
 +$G$11/(1+D317)^5
 +$H$11/(1+D317)^6
 +$I$11/(1+D317)^7
 + ( $I$11*(1+F317)/(D317-F317) )/(1+D317)^7</f>
        <v>313.31528993495976</v>
      </c>
      <c r="H317" s="7">
        <f ca="1">(G317-$C$8)/$C$9</f>
        <v>1.706497568605607</v>
      </c>
    </row>
    <row r="318" spans="3:8" x14ac:dyDescent="0.35">
      <c r="C318" s="8">
        <f t="shared" ca="1" si="16"/>
        <v>0.17720667916033173</v>
      </c>
      <c r="D318" s="7">
        <f t="shared" ca="1" si="17"/>
        <v>8.2054438058718135E-2</v>
      </c>
      <c r="E318" s="7">
        <f t="shared" ca="1" si="18"/>
        <v>0.61706344463226803</v>
      </c>
      <c r="F318" s="7">
        <f t="shared" ca="1" si="19"/>
        <v>2.1248582339212327E-2</v>
      </c>
      <c r="G318" s="7">
        <f ca="1">$C$11/(1+D318)^1
 +$D$11/(1+D318)^2
 +$E$11/(1+D318)^3
 +$F$11/(1+D318)^4
 +$G$11/(1+D318)^5
 +$H$11/(1+D318)^6
 +$I$11/(1+D318)^7
 + ( $I$11*(1+F318)/(D318-F318) )/(1+D318)^7</f>
        <v>438.39830629420072</v>
      </c>
      <c r="H318" s="7">
        <f ca="1">(G318-$C$8)/$C$9</f>
        <v>2.4136607094877922</v>
      </c>
    </row>
    <row r="319" spans="3:8" x14ac:dyDescent="0.35">
      <c r="C319" s="8">
        <f t="shared" ca="1" si="16"/>
        <v>0.30426268966485936</v>
      </c>
      <c r="D319" s="7">
        <f t="shared" ca="1" si="17"/>
        <v>8.5795423562702727E-2</v>
      </c>
      <c r="E319" s="7">
        <f t="shared" ca="1" si="18"/>
        <v>0.16877697429816552</v>
      </c>
      <c r="F319" s="7">
        <f t="shared" ca="1" si="19"/>
        <v>1.5809939316346867E-2</v>
      </c>
      <c r="G319" s="7">
        <f ca="1">$C$11/(1+D319)^1
 +$D$11/(1+D319)^2
 +$E$11/(1+D319)^3
 +$F$11/(1+D319)^4
 +$G$11/(1+D319)^5
 +$H$11/(1+D319)^6
 +$I$11/(1+D319)^7
 + ( $I$11*(1+F319)/(D319-F319) )/(1+D319)^7</f>
        <v>388.87102802044524</v>
      </c>
      <c r="H319" s="7">
        <f ca="1">(G319-$C$8)/$C$9</f>
        <v>2.1336557441228248</v>
      </c>
    </row>
    <row r="320" spans="3:8" x14ac:dyDescent="0.35">
      <c r="C320" s="8">
        <f t="shared" ca="1" si="16"/>
        <v>0.84773465952594385</v>
      </c>
      <c r="D320" s="7">
        <f t="shared" ca="1" si="17"/>
        <v>9.910197423522206E-2</v>
      </c>
      <c r="E320" s="7">
        <f t="shared" ca="1" si="18"/>
        <v>0.43262743297887818</v>
      </c>
      <c r="F320" s="7">
        <f t="shared" ca="1" si="19"/>
        <v>1.930190768583389E-2</v>
      </c>
      <c r="G320" s="7">
        <f ca="1">$C$11/(1+D320)^1
 +$D$11/(1+D320)^2
 +$E$11/(1+D320)^3
 +$F$11/(1+D320)^4
 +$G$11/(1+D320)^5
 +$H$11/(1+D320)^6
 +$I$11/(1+D320)^7
 + ( $I$11*(1+F320)/(D320-F320) )/(1+D320)^7</f>
        <v>333.35573602862098</v>
      </c>
      <c r="H320" s="7">
        <f ca="1">(G320-$C$8)/$C$9</f>
        <v>1.8197972412292003</v>
      </c>
    </row>
    <row r="321" spans="3:8" x14ac:dyDescent="0.35">
      <c r="C321" s="8">
        <f t="shared" ca="1" si="16"/>
        <v>0.21593542884283667</v>
      </c>
      <c r="D321" s="7">
        <f t="shared" ca="1" si="17"/>
        <v>8.3306654412403078E-2</v>
      </c>
      <c r="E321" s="7">
        <f t="shared" ca="1" si="18"/>
        <v>0.90027886185540762</v>
      </c>
      <c r="F321" s="7">
        <f t="shared" ca="1" si="19"/>
        <v>2.5534103938858577E-2</v>
      </c>
      <c r="G321" s="7">
        <f ca="1">$C$11/(1+D321)^1
 +$D$11/(1+D321)^2
 +$E$11/(1+D321)^3
 +$F$11/(1+D321)^4
 +$G$11/(1+D321)^5
 +$H$11/(1+D321)^6
 +$I$11/(1+D321)^7
 + ( $I$11*(1+F321)/(D321-F321) )/(1+D321)^7</f>
        <v>452.55685544837399</v>
      </c>
      <c r="H321" s="7">
        <f ca="1">(G321-$C$8)/$C$9</f>
        <v>2.4937067811418703</v>
      </c>
    </row>
    <row r="322" spans="3:8" x14ac:dyDescent="0.35">
      <c r="C322" s="8">
        <f t="shared" ca="1" si="16"/>
        <v>0.96755673219998362</v>
      </c>
      <c r="D322" s="7">
        <f t="shared" ca="1" si="17"/>
        <v>0.10496951802666854</v>
      </c>
      <c r="E322" s="7">
        <f t="shared" ca="1" si="18"/>
        <v>6.9021450213966551E-2</v>
      </c>
      <c r="F322" s="7">
        <f t="shared" ca="1" si="19"/>
        <v>1.3715412499682009E-2</v>
      </c>
      <c r="G322" s="7">
        <f ca="1">$C$11/(1+D322)^1
 +$D$11/(1+D322)^2
 +$E$11/(1+D322)^3
 +$F$11/(1+D322)^4
 +$G$11/(1+D322)^5
 +$H$11/(1+D322)^6
 +$I$11/(1+D322)^7
 + ( $I$11*(1+F322)/(D322-F322) )/(1+D322)^7</f>
        <v>297.07136900528008</v>
      </c>
      <c r="H322" s="7">
        <f ca="1">(G322-$C$8)/$C$9</f>
        <v>1.6146617424540934</v>
      </c>
    </row>
    <row r="323" spans="3:8" x14ac:dyDescent="0.35">
      <c r="C323" s="8">
        <f t="shared" ca="1" si="16"/>
        <v>0.33992028079476122</v>
      </c>
      <c r="D323" s="7">
        <f t="shared" ca="1" si="17"/>
        <v>8.6695347563069902E-2</v>
      </c>
      <c r="E323" s="7">
        <f t="shared" ca="1" si="18"/>
        <v>0.18549899361536171</v>
      </c>
      <c r="F323" s="7">
        <f t="shared" ca="1" si="19"/>
        <v>1.609096041056518E-2</v>
      </c>
      <c r="G323" s="7">
        <f ca="1">$C$11/(1+D323)^1
 +$D$11/(1+D323)^2
 +$E$11/(1+D323)^3
 +$F$11/(1+D323)^4
 +$G$11/(1+D323)^5
 +$H$11/(1+D323)^6
 +$I$11/(1+D323)^7
 + ( $I$11*(1+F323)/(D323-F323) )/(1+D323)^7</f>
        <v>384.78150276609767</v>
      </c>
      <c r="H323" s="7">
        <f ca="1">(G323-$C$8)/$C$9</f>
        <v>2.1105354068639621</v>
      </c>
    </row>
    <row r="324" spans="3:8" x14ac:dyDescent="0.35">
      <c r="C324" s="8">
        <f t="shared" ca="1" si="16"/>
        <v>0.84592746313408995</v>
      </c>
      <c r="D324" s="7">
        <f t="shared" ca="1" si="17"/>
        <v>9.9037492132025173E-2</v>
      </c>
      <c r="E324" s="7">
        <f t="shared" ca="1" si="18"/>
        <v>0.58782508847693982</v>
      </c>
      <c r="F324" s="7">
        <f t="shared" ca="1" si="19"/>
        <v>2.0920628749488648E-2</v>
      </c>
      <c r="G324" s="7">
        <f ca="1">$C$11/(1+D324)^1
 +$D$11/(1+D324)^2
 +$E$11/(1+D324)^3
 +$F$11/(1+D324)^4
 +$G$11/(1+D324)^5
 +$H$11/(1+D324)^6
 +$I$11/(1+D324)^7
 + ( $I$11*(1+F324)/(D324-F324) )/(1+D324)^7</f>
        <v>338.29070649935693</v>
      </c>
      <c r="H324" s="7">
        <f ca="1">(G324-$C$8)/$C$9</f>
        <v>1.8476973456544374</v>
      </c>
    </row>
    <row r="325" spans="3:8" x14ac:dyDescent="0.35">
      <c r="C325" s="8">
        <f t="shared" ca="1" si="16"/>
        <v>0.35126385606061139</v>
      </c>
      <c r="D325" s="7">
        <f t="shared" ca="1" si="17"/>
        <v>8.6971634039470141E-2</v>
      </c>
      <c r="E325" s="7">
        <f t="shared" ca="1" si="18"/>
        <v>0.95591288657254869</v>
      </c>
      <c r="F325" s="7">
        <f t="shared" ca="1" si="19"/>
        <v>2.7030585464188225E-2</v>
      </c>
      <c r="G325" s="7">
        <f ca="1">$C$11/(1+D325)^1
 +$D$11/(1+D325)^2
 +$E$11/(1+D325)^3
 +$F$11/(1+D325)^4
 +$G$11/(1+D325)^5
 +$H$11/(1+D325)^6
 +$I$11/(1+D325)^7
 + ( $I$11*(1+F325)/(D325-F325) )/(1+D325)^7</f>
        <v>432.46600616658668</v>
      </c>
      <c r="H325" s="7">
        <f ca="1">(G325-$C$8)/$C$9</f>
        <v>2.3801221515523894</v>
      </c>
    </row>
    <row r="326" spans="3:8" x14ac:dyDescent="0.35">
      <c r="C326" s="8">
        <f t="shared" ca="1" si="16"/>
        <v>0.60114275736041145</v>
      </c>
      <c r="D326" s="7">
        <f t="shared" ca="1" si="17"/>
        <v>9.2361727713325237E-2</v>
      </c>
      <c r="E326" s="7">
        <f t="shared" ca="1" si="18"/>
        <v>0.28150373547350216</v>
      </c>
      <c r="F326" s="7">
        <f t="shared" ca="1" si="19"/>
        <v>1.7503382376948439E-2</v>
      </c>
      <c r="G326" s="7">
        <f ca="1">$C$11/(1+D326)^1
 +$D$11/(1+D326)^2
 +$E$11/(1+D326)^3
 +$F$11/(1+D326)^4
 +$G$11/(1+D326)^5
 +$H$11/(1+D326)^6
 +$I$11/(1+D326)^7
 + ( $I$11*(1+F326)/(D326-F326) )/(1+D326)^7</f>
        <v>359.48006488193619</v>
      </c>
      <c r="H326" s="7">
        <f ca="1">(G326-$C$8)/$C$9</f>
        <v>1.9674924518426966</v>
      </c>
    </row>
    <row r="327" spans="3:8" x14ac:dyDescent="0.35">
      <c r="C327" s="8">
        <f t="shared" ca="1" si="16"/>
        <v>0.23780224041429421</v>
      </c>
      <c r="D327" s="7">
        <f t="shared" ca="1" si="17"/>
        <v>8.3964162600733402E-2</v>
      </c>
      <c r="E327" s="7">
        <f t="shared" ca="1" si="18"/>
        <v>0.22582310468586864</v>
      </c>
      <c r="F327" s="7">
        <f t="shared" ca="1" si="19"/>
        <v>1.6720462851409396E-2</v>
      </c>
      <c r="G327" s="7">
        <f ca="1">$C$11/(1+D327)^1
 +$D$11/(1+D327)^2
 +$E$11/(1+D327)^3
 +$F$11/(1+D327)^4
 +$G$11/(1+D327)^5
 +$H$11/(1+D327)^6
 +$I$11/(1+D327)^7
 + ( $I$11*(1+F327)/(D327-F327) )/(1+D327)^7</f>
        <v>403.67031021720771</v>
      </c>
      <c r="H327" s="7">
        <f ca="1">(G327-$C$8)/$C$9</f>
        <v>2.2173242323451361</v>
      </c>
    </row>
    <row r="328" spans="3:8" x14ac:dyDescent="0.35">
      <c r="C328" s="8">
        <f t="shared" ca="1" si="16"/>
        <v>0.68385295471905982</v>
      </c>
      <c r="D328" s="7">
        <f t="shared" ca="1" si="17"/>
        <v>9.4296666108143357E-2</v>
      </c>
      <c r="E328" s="7">
        <f t="shared" ca="1" si="18"/>
        <v>0.51345844866442447</v>
      </c>
      <c r="F328" s="7">
        <f t="shared" ca="1" si="19"/>
        <v>2.0135502533473126E-2</v>
      </c>
      <c r="G328" s="7">
        <f ca="1">$C$11/(1+D328)^1
 +$D$11/(1+D328)^2
 +$E$11/(1+D328)^3
 +$F$11/(1+D328)^4
 +$G$11/(1+D328)^5
 +$H$11/(1+D328)^6
 +$I$11/(1+D328)^7
 + ( $I$11*(1+F328)/(D328-F328) )/(1+D328)^7</f>
        <v>358.49043787301707</v>
      </c>
      <c r="H328" s="7">
        <f ca="1">(G328-$C$8)/$C$9</f>
        <v>1.9618975456412091</v>
      </c>
    </row>
    <row r="329" spans="3:8" x14ac:dyDescent="0.35">
      <c r="C329" s="8">
        <f t="shared" ca="1" si="16"/>
        <v>0.71273761597410845</v>
      </c>
      <c r="D329" s="7">
        <f t="shared" ca="1" si="17"/>
        <v>9.5031210485139572E-2</v>
      </c>
      <c r="E329" s="7">
        <f t="shared" ca="1" si="18"/>
        <v>0.6378434287448137</v>
      </c>
      <c r="F329" s="7">
        <f t="shared" ca="1" si="19"/>
        <v>2.1489341138840233E-2</v>
      </c>
      <c r="G329" s="7">
        <f ca="1">$C$11/(1+D329)^1
 +$D$11/(1+D329)^2
 +$E$11/(1+D329)^3
 +$F$11/(1+D329)^4
 +$G$11/(1+D329)^5
 +$H$11/(1+D329)^6
 +$I$11/(1+D329)^7
 + ( $I$11*(1+F329)/(D329-F329) )/(1+D329)^7</f>
        <v>359.31757812470249</v>
      </c>
      <c r="H329" s="7">
        <f ca="1">(G329-$C$8)/$C$9</f>
        <v>1.9665738247665223</v>
      </c>
    </row>
    <row r="330" spans="3:8" x14ac:dyDescent="0.35">
      <c r="C330" s="8">
        <f t="shared" ca="1" si="16"/>
        <v>0.93702972219497893</v>
      </c>
      <c r="D330" s="7">
        <f t="shared" ca="1" si="17"/>
        <v>0.10299166091802656</v>
      </c>
      <c r="E330" s="7">
        <f t="shared" ca="1" si="18"/>
        <v>0.79058081684150783</v>
      </c>
      <c r="F330" s="7">
        <f t="shared" ca="1" si="19"/>
        <v>2.3528227705512311E-2</v>
      </c>
      <c r="G330" s="7">
        <f ca="1">$C$11/(1+D330)^1
 +$D$11/(1+D330)^2
 +$E$11/(1+D330)^3
 +$F$11/(1+D330)^4
 +$G$11/(1+D330)^5
 +$H$11/(1+D330)^6
 +$I$11/(1+D330)^7
 + ( $I$11*(1+F330)/(D330-F330) )/(1+D330)^7</f>
        <v>328.27115031286468</v>
      </c>
      <c r="H330" s="7">
        <f ca="1">(G330-$C$8)/$C$9</f>
        <v>1.7910512794711932</v>
      </c>
    </row>
    <row r="331" spans="3:8" x14ac:dyDescent="0.35">
      <c r="C331" s="8">
        <f t="shared" ca="1" si="16"/>
        <v>0.49939779029474241</v>
      </c>
      <c r="D331" s="7">
        <f t="shared" ca="1" si="17"/>
        <v>9.023625924032623E-2</v>
      </c>
      <c r="E331" s="7">
        <f t="shared" ca="1" si="18"/>
        <v>0.38655653358369135</v>
      </c>
      <c r="F331" s="7">
        <f t="shared" ca="1" si="19"/>
        <v>1.8792684841203978E-2</v>
      </c>
      <c r="G331" s="7">
        <f ca="1">$C$11/(1+D331)^1
 +$D$11/(1+D331)^2
 +$E$11/(1+D331)^3
 +$F$11/(1+D331)^4
 +$G$11/(1+D331)^5
 +$H$11/(1+D331)^6
 +$I$11/(1+D331)^7
 + ( $I$11*(1+F331)/(D331-F331) )/(1+D331)^7</f>
        <v>375.14268206101184</v>
      </c>
      <c r="H331" s="7">
        <f ca="1">(G331-$C$8)/$C$9</f>
        <v>2.0560418479252136</v>
      </c>
    </row>
    <row r="332" spans="3:8" x14ac:dyDescent="0.35">
      <c r="C332" s="8">
        <f t="shared" ca="1" si="16"/>
        <v>0.25470465991962221</v>
      </c>
      <c r="D332" s="7">
        <f t="shared" ca="1" si="17"/>
        <v>8.445191409931882E-2</v>
      </c>
      <c r="E332" s="7">
        <f t="shared" ca="1" si="18"/>
        <v>0.54895119425717942</v>
      </c>
      <c r="F332" s="7">
        <f t="shared" ca="1" si="19"/>
        <v>2.0502118070403058E-2</v>
      </c>
      <c r="G332" s="7">
        <f ca="1">$C$11/(1+D332)^1
 +$D$11/(1+D332)^2
 +$E$11/(1+D332)^3
 +$F$11/(1+D332)^4
 +$G$11/(1+D332)^5
 +$H$11/(1+D332)^6
 +$I$11/(1+D332)^7
 + ( $I$11*(1+F332)/(D332-F332) )/(1+D332)^7</f>
        <v>417.570193042901</v>
      </c>
      <c r="H332" s="7">
        <f ca="1">(G332-$C$8)/$C$9</f>
        <v>2.2959079208666946</v>
      </c>
    </row>
    <row r="333" spans="3:8" x14ac:dyDescent="0.35">
      <c r="C333" s="8">
        <f t="shared" ca="1" si="16"/>
        <v>5.2606369001328868E-2</v>
      </c>
      <c r="D333" s="7">
        <f t="shared" ca="1" si="17"/>
        <v>7.6567893313771909E-2</v>
      </c>
      <c r="E333" s="7">
        <f t="shared" ca="1" si="18"/>
        <v>0.39512243862162555</v>
      </c>
      <c r="F333" s="7">
        <f t="shared" ca="1" si="19"/>
        <v>1.8889571852700508E-2</v>
      </c>
      <c r="G333" s="7">
        <f ca="1">$C$11/(1+D333)^1
 +$D$11/(1+D333)^2
 +$E$11/(1+D333)^3
 +$F$11/(1+D333)^4
 +$G$11/(1+D333)^5
 +$H$11/(1+D333)^6
 +$I$11/(1+D333)^7
 + ( $I$11*(1+F333)/(D333-F333) )/(1+D333)^7</f>
        <v>468.53661373682087</v>
      </c>
      <c r="H333" s="7">
        <f ca="1">(G333-$C$8)/$C$9</f>
        <v>2.5840491504795389</v>
      </c>
    </row>
    <row r="334" spans="3:8" x14ac:dyDescent="0.35">
      <c r="C334" s="8">
        <f t="shared" ca="1" si="16"/>
        <v>0.8606679429409454</v>
      </c>
      <c r="D334" s="7">
        <f t="shared" ca="1" si="17"/>
        <v>9.9575077721821489E-2</v>
      </c>
      <c r="E334" s="7">
        <f t="shared" ca="1" si="18"/>
        <v>0.72042143214130694</v>
      </c>
      <c r="F334" s="7">
        <f t="shared" ca="1" si="19"/>
        <v>2.2522318970981805E-2</v>
      </c>
      <c r="G334" s="7">
        <f ca="1">$C$11/(1+D334)^1
 +$D$11/(1+D334)^2
 +$E$11/(1+D334)^3
 +$F$11/(1+D334)^4
 +$G$11/(1+D334)^5
 +$H$11/(1+D334)^6
 +$I$11/(1+D334)^7
 + ( $I$11*(1+F334)/(D334-F334) )/(1+D334)^7</f>
        <v>340.59226601027262</v>
      </c>
      <c r="H334" s="7">
        <f ca="1">(G334-$C$8)/$C$9</f>
        <v>1.8607093284162857</v>
      </c>
    </row>
    <row r="335" spans="3:8" x14ac:dyDescent="0.35">
      <c r="C335" s="8">
        <f t="shared" ca="1" si="16"/>
        <v>3.6185189786354988E-2</v>
      </c>
      <c r="D335" s="7">
        <f t="shared" ca="1" si="17"/>
        <v>7.5447187863917603E-2</v>
      </c>
      <c r="E335" s="7">
        <f t="shared" ca="1" si="18"/>
        <v>0.7167973268973441</v>
      </c>
      <c r="F335" s="7">
        <f t="shared" ca="1" si="19"/>
        <v>2.2474009392742297E-2</v>
      </c>
      <c r="G335" s="7">
        <f ca="1">$C$11/(1+D335)^1
 +$D$11/(1+D335)^2
 +$E$11/(1+D335)^3
 +$F$11/(1+D335)^4
 +$G$11/(1+D335)^5
 +$H$11/(1+D335)^6
 +$I$11/(1+D335)^7
 + ( $I$11*(1+F335)/(D335-F335) )/(1+D335)^7</f>
        <v>502.56868068334416</v>
      </c>
      <c r="H335" s="7">
        <f ca="1">(G335-$C$8)/$C$9</f>
        <v>2.776451157187608</v>
      </c>
    </row>
    <row r="336" spans="3:8" x14ac:dyDescent="0.35">
      <c r="C336" s="8">
        <f t="shared" ca="1" si="16"/>
        <v>0.49369101879063848</v>
      </c>
      <c r="D336" s="7">
        <f t="shared" ca="1" si="17"/>
        <v>9.0120304058545528E-2</v>
      </c>
      <c r="E336" s="7">
        <f t="shared" ca="1" si="18"/>
        <v>0.4457876233922986</v>
      </c>
      <c r="F336" s="7">
        <f t="shared" ca="1" si="19"/>
        <v>1.9442326232367725E-2</v>
      </c>
      <c r="G336" s="7">
        <f ca="1">$C$11/(1+D336)^1
 +$D$11/(1+D336)^2
 +$E$11/(1+D336)^3
 +$F$11/(1+D336)^4
 +$G$11/(1+D336)^5
 +$H$11/(1+D336)^6
 +$I$11/(1+D336)^7
 + ( $I$11*(1+F336)/(D336-F336) )/(1+D336)^7</f>
        <v>378.20214451971162</v>
      </c>
      <c r="H336" s="7">
        <f ca="1">(G336-$C$8)/$C$9</f>
        <v>2.0733386732231547</v>
      </c>
    </row>
    <row r="337" spans="3:8" x14ac:dyDescent="0.35">
      <c r="C337" s="8">
        <f t="shared" ref="C337:C400" ca="1" si="20">RAND()</f>
        <v>0.12966807962784199</v>
      </c>
      <c r="D337" s="7">
        <f t="shared" ref="D337:D400" ca="1" si="21">IF(C337&lt;(0.0905-0.07)/(0.11-0.07),
 0.07+SQRT(C337*(0.11-0.07)*(0.0905-0.07)),
 0.11-SQRT((1-C337)*(0.11-0.07)*(0.11-0.0905))
)</f>
        <v>8.0311538454315656E-2</v>
      </c>
      <c r="E337" s="7">
        <f t="shared" ref="E337:E400" ca="1" si="22">RAND()</f>
        <v>0.30282335228018076</v>
      </c>
      <c r="F337" s="7">
        <f t="shared" ref="F337:F400" ca="1" si="23">MIN(
 IF(E337&lt;(0.02-0.01)/(0.03-0.01),
   0.01+SQRT(E337*(0.03-0.01)*(0.02-0.01)),
   0.03-SQRT((1-E337)*(0.03-0.01)*(0.03-0.02))
 ),
 D337-0.005
)</f>
        <v>1.7782330657074148E-2</v>
      </c>
      <c r="G337" s="7">
        <f ca="1">$C$11/(1+D337)^1
 +$D$11/(1+D337)^2
 +$E$11/(1+D337)^3
 +$F$11/(1+D337)^4
 +$G$11/(1+D337)^5
 +$H$11/(1+D337)^6
 +$I$11/(1+D337)^7
 + ( $I$11*(1+F337)/(D337-F337) )/(1+D337)^7</f>
        <v>433.19098679548267</v>
      </c>
      <c r="H337" s="7">
        <f ca="1">(G337-$C$8)/$C$9</f>
        <v>2.3842208660983868</v>
      </c>
    </row>
    <row r="338" spans="3:8" x14ac:dyDescent="0.35">
      <c r="C338" s="8">
        <f t="shared" ca="1" si="20"/>
        <v>0.76404850726101092</v>
      </c>
      <c r="D338" s="7">
        <f t="shared" ca="1" si="21"/>
        <v>9.6433785924716825E-2</v>
      </c>
      <c r="E338" s="7">
        <f t="shared" ca="1" si="22"/>
        <v>0.79829139886674649</v>
      </c>
      <c r="F338" s="7">
        <f t="shared" ca="1" si="23"/>
        <v>2.3648486776629469E-2</v>
      </c>
      <c r="G338" s="7">
        <f ca="1">$C$11/(1+D338)^1
 +$D$11/(1+D338)^2
 +$E$11/(1+D338)^3
 +$F$11/(1+D338)^4
 +$G$11/(1+D338)^5
 +$H$11/(1+D338)^6
 +$I$11/(1+D338)^7
 + ( $I$11*(1+F338)/(D338-F338) )/(1+D338)^7</f>
        <v>359.49554469355172</v>
      </c>
      <c r="H338" s="7">
        <f ca="1">(G338-$C$8)/$C$9</f>
        <v>1.9675799677383068</v>
      </c>
    </row>
    <row r="339" spans="3:8" x14ac:dyDescent="0.35">
      <c r="C339" s="8">
        <f t="shared" ca="1" si="20"/>
        <v>0.57613826074796148</v>
      </c>
      <c r="D339" s="7">
        <f t="shared" ca="1" si="21"/>
        <v>9.1817256625674165E-2</v>
      </c>
      <c r="E339" s="7">
        <f t="shared" ca="1" si="22"/>
        <v>0.60355520949480734</v>
      </c>
      <c r="F339" s="7">
        <f t="shared" ca="1" si="23"/>
        <v>2.1095565256511871E-2</v>
      </c>
      <c r="G339" s="7">
        <f ca="1">$C$11/(1+D339)^1
 +$D$11/(1+D339)^2
 +$E$11/(1+D339)^3
 +$F$11/(1+D339)^4
 +$G$11/(1+D339)^5
 +$H$11/(1+D339)^6
 +$I$11/(1+D339)^7
 + ( $I$11*(1+F339)/(D339-F339) )/(1+D339)^7</f>
        <v>374.96793992455127</v>
      </c>
      <c r="H339" s="7">
        <f ca="1">(G339-$C$8)/$C$9</f>
        <v>2.0550539344445458</v>
      </c>
    </row>
    <row r="340" spans="3:8" x14ac:dyDescent="0.35">
      <c r="C340" s="8">
        <f t="shared" ca="1" si="20"/>
        <v>0.66824862537904262</v>
      </c>
      <c r="D340" s="7">
        <f t="shared" ca="1" si="21"/>
        <v>9.3913792485351102E-2</v>
      </c>
      <c r="E340" s="7">
        <f t="shared" ca="1" si="22"/>
        <v>0.70461470760293654</v>
      </c>
      <c r="F340" s="7">
        <f t="shared" ca="1" si="23"/>
        <v>2.2313839809149649E-2</v>
      </c>
      <c r="G340" s="7">
        <f ca="1">$C$11/(1+D340)^1
 +$D$11/(1+D340)^2
 +$E$11/(1+D340)^3
 +$F$11/(1+D340)^4
 +$G$11/(1+D340)^5
 +$H$11/(1+D340)^6
 +$I$11/(1+D340)^7
 + ( $I$11*(1+F340)/(D340-F340) )/(1+D340)^7</f>
        <v>368.02550109822056</v>
      </c>
      <c r="H340" s="7">
        <f ca="1">(G340-$C$8)/$C$9</f>
        <v>2.0158045064349874</v>
      </c>
    </row>
    <row r="341" spans="3:8" x14ac:dyDescent="0.35">
      <c r="C341" s="8">
        <f t="shared" ca="1" si="20"/>
        <v>0.7064915890349428</v>
      </c>
      <c r="D341" s="7">
        <f t="shared" ca="1" si="21"/>
        <v>9.4869350293105559E-2</v>
      </c>
      <c r="E341" s="7">
        <f t="shared" ca="1" si="22"/>
        <v>0.57791107633910577</v>
      </c>
      <c r="F341" s="7">
        <f t="shared" ca="1" si="23"/>
        <v>2.0812084853886664E-2</v>
      </c>
      <c r="G341" s="7">
        <f ca="1">$C$11/(1+D341)^1
 +$D$11/(1+D341)^2
 +$E$11/(1+D341)^3
 +$F$11/(1+D341)^4
 +$G$11/(1+D341)^5
 +$H$11/(1+D341)^6
 +$I$11/(1+D341)^7
 + ( $I$11*(1+F341)/(D341-F341) )/(1+D341)^7</f>
        <v>357.86129245481084</v>
      </c>
      <c r="H341" s="7">
        <f ca="1">(G341-$C$8)/$C$9</f>
        <v>1.9583406402917845</v>
      </c>
    </row>
    <row r="342" spans="3:8" x14ac:dyDescent="0.35">
      <c r="C342" s="8">
        <f t="shared" ca="1" si="20"/>
        <v>0.14874843303604446</v>
      </c>
      <c r="D342" s="7">
        <f t="shared" ca="1" si="21"/>
        <v>8.1044171091103054E-2</v>
      </c>
      <c r="E342" s="7">
        <f t="shared" ca="1" si="22"/>
        <v>0.90148258463501563</v>
      </c>
      <c r="F342" s="7">
        <f t="shared" ca="1" si="23"/>
        <v>2.556113943978898E-2</v>
      </c>
      <c r="G342" s="7">
        <f ca="1">$C$11/(1+D342)^1
 +$D$11/(1+D342)^2
 +$E$11/(1+D342)^3
 +$F$11/(1+D342)^4
 +$G$11/(1+D342)^5
 +$H$11/(1+D342)^6
 +$I$11/(1+D342)^7
 + ( $I$11*(1+F342)/(D342-F342) )/(1+D342)^7</f>
        <v>471.77654572290726</v>
      </c>
      <c r="H342" s="7">
        <f ca="1">(G342-$C$8)/$C$9</f>
        <v>2.6023662693515788</v>
      </c>
    </row>
    <row r="343" spans="3:8" x14ac:dyDescent="0.35">
      <c r="C343" s="8">
        <f t="shared" ca="1" si="20"/>
        <v>0.49138925854065441</v>
      </c>
      <c r="D343" s="7">
        <f t="shared" ca="1" si="21"/>
        <v>9.0073345311714653E-2</v>
      </c>
      <c r="E343" s="7">
        <f t="shared" ca="1" si="22"/>
        <v>0.63942972890564909</v>
      </c>
      <c r="F343" s="7">
        <f t="shared" ca="1" si="23"/>
        <v>2.1508000575902624E-2</v>
      </c>
      <c r="G343" s="7">
        <f ca="1">$C$11/(1+D343)^1
 +$D$11/(1+D343)^2
 +$E$11/(1+D343)^3
 +$F$11/(1+D343)^4
 +$G$11/(1+D343)^5
 +$H$11/(1+D343)^6
 +$I$11/(1+D343)^7
 + ( $I$11*(1+F343)/(D343-F343) )/(1+D343)^7</f>
        <v>386.48544611740272</v>
      </c>
      <c r="H343" s="7">
        <f ca="1">(G343-$C$8)/$C$9</f>
        <v>2.120168736529866</v>
      </c>
    </row>
    <row r="344" spans="3:8" x14ac:dyDescent="0.35">
      <c r="C344" s="8">
        <f t="shared" ca="1" si="20"/>
        <v>0.21617371237698757</v>
      </c>
      <c r="D344" s="7">
        <f t="shared" ca="1" si="21"/>
        <v>8.3313994297322266E-2</v>
      </c>
      <c r="E344" s="7">
        <f t="shared" ca="1" si="22"/>
        <v>0.44523398593206598</v>
      </c>
      <c r="F344" s="7">
        <f t="shared" ca="1" si="23"/>
        <v>1.9436461052026503E-2</v>
      </c>
      <c r="G344" s="7">
        <f ca="1">$C$11/(1+D344)^1
 +$D$11/(1+D344)^2
 +$E$11/(1+D344)^3
 +$F$11/(1+D344)^4
 +$G$11/(1+D344)^5
 +$H$11/(1+D344)^6
 +$I$11/(1+D344)^7
 + ( $I$11*(1+F344)/(D344-F344) )/(1+D344)^7</f>
        <v>420.24893967141594</v>
      </c>
      <c r="H344" s="7">
        <f ca="1">(G344-$C$8)/$C$9</f>
        <v>2.3110523500193123</v>
      </c>
    </row>
    <row r="345" spans="3:8" x14ac:dyDescent="0.35">
      <c r="C345" s="8">
        <f t="shared" ca="1" si="20"/>
        <v>0.77628576400612215</v>
      </c>
      <c r="D345" s="7">
        <f t="shared" ca="1" si="21"/>
        <v>9.6790264799201137E-2</v>
      </c>
      <c r="E345" s="7">
        <f t="shared" ca="1" si="22"/>
        <v>0.68598189584915592</v>
      </c>
      <c r="F345" s="7">
        <f t="shared" ca="1" si="23"/>
        <v>2.2075126447054894E-2</v>
      </c>
      <c r="G345" s="7">
        <f ca="1">$C$11/(1+D345)^1
 +$D$11/(1+D345)^2
 +$E$11/(1+D345)^3
 +$F$11/(1+D345)^4
 +$G$11/(1+D345)^5
 +$H$11/(1+D345)^6
 +$I$11/(1+D345)^7
 + ( $I$11*(1+F345)/(D345-F345) )/(1+D345)^7</f>
        <v>352.45494087057045</v>
      </c>
      <c r="H345" s="7">
        <f ca="1">(G345-$C$8)/$C$9</f>
        <v>1.9277755589697561</v>
      </c>
    </row>
    <row r="346" spans="3:8" x14ac:dyDescent="0.35">
      <c r="C346" s="8">
        <f t="shared" ca="1" si="20"/>
        <v>0.99546555983660934</v>
      </c>
      <c r="D346" s="7">
        <f t="shared" ca="1" si="21"/>
        <v>0.10811934497383366</v>
      </c>
      <c r="E346" s="7">
        <f t="shared" ca="1" si="22"/>
        <v>0.11981452322082375</v>
      </c>
      <c r="F346" s="7">
        <f t="shared" ca="1" si="23"/>
        <v>1.4895191992574424E-2</v>
      </c>
      <c r="G346" s="7">
        <f ca="1">$C$11/(1+D346)^1
 +$D$11/(1+D346)^2
 +$E$11/(1+D346)^3
 +$F$11/(1+D346)^4
 +$G$11/(1+D346)^5
 +$H$11/(1+D346)^6
 +$I$11/(1+D346)^7
 + ( $I$11*(1+F346)/(D346-F346) )/(1+D346)^7</f>
        <v>288.87426255515629</v>
      </c>
      <c r="H346" s="7">
        <f ca="1">(G346-$C$8)/$C$9</f>
        <v>1.5683189877609469</v>
      </c>
    </row>
    <row r="347" spans="3:8" x14ac:dyDescent="0.35">
      <c r="C347" s="8">
        <f t="shared" ca="1" si="20"/>
        <v>0.77000054915981886</v>
      </c>
      <c r="D347" s="7">
        <f t="shared" ca="1" si="21"/>
        <v>9.6605987469942353E-2</v>
      </c>
      <c r="E347" s="7">
        <f t="shared" ca="1" si="22"/>
        <v>0.61988275127331149</v>
      </c>
      <c r="F347" s="7">
        <f t="shared" ca="1" si="23"/>
        <v>2.128085728151341E-2</v>
      </c>
      <c r="G347" s="7">
        <f ca="1">$C$11/(1+D347)^1
 +$D$11/(1+D347)^2
 +$E$11/(1+D347)^3
 +$F$11/(1+D347)^4
 +$G$11/(1+D347)^5
 +$H$11/(1+D347)^6
 +$I$11/(1+D347)^7
 + ( $I$11*(1+F347)/(D347-F347) )/(1+D347)^7</f>
        <v>350.79665013587498</v>
      </c>
      <c r="H347" s="7">
        <f ca="1">(G347-$C$8)/$C$9</f>
        <v>1.9184003286741009</v>
      </c>
    </row>
    <row r="348" spans="3:8" x14ac:dyDescent="0.35">
      <c r="C348" s="8">
        <f t="shared" ca="1" si="20"/>
        <v>0.81037146197619025</v>
      </c>
      <c r="D348" s="7">
        <f t="shared" ca="1" si="21"/>
        <v>9.7838163803990297E-2</v>
      </c>
      <c r="E348" s="7">
        <f t="shared" ca="1" si="22"/>
        <v>0.16073854058377512</v>
      </c>
      <c r="F348" s="7">
        <f t="shared" ca="1" si="23"/>
        <v>1.5669894894683234E-2</v>
      </c>
      <c r="G348" s="7">
        <f ca="1">$C$11/(1+D348)^1
 +$D$11/(1+D348)^2
 +$E$11/(1+D348)^3
 +$F$11/(1+D348)^4
 +$G$11/(1+D348)^5
 +$H$11/(1+D348)^6
 +$I$11/(1+D348)^7
 + ( $I$11*(1+F348)/(D348-F348) )/(1+D348)^7</f>
        <v>328.83202278722047</v>
      </c>
      <c r="H348" s="7">
        <f ca="1">(G348-$C$8)/$C$9</f>
        <v>1.7942222002895774</v>
      </c>
    </row>
    <row r="349" spans="3:8" x14ac:dyDescent="0.35">
      <c r="C349" s="8">
        <f t="shared" ca="1" si="20"/>
        <v>0.11851223027781876</v>
      </c>
      <c r="D349" s="7">
        <f t="shared" ca="1" si="21"/>
        <v>7.9857993144033496E-2</v>
      </c>
      <c r="E349" s="7">
        <f t="shared" ca="1" si="22"/>
        <v>0.37162293695017845</v>
      </c>
      <c r="F349" s="7">
        <f t="shared" ca="1" si="23"/>
        <v>1.8621170882776636E-2</v>
      </c>
      <c r="G349" s="7">
        <f ca="1">$C$11/(1+D349)^1
 +$D$11/(1+D349)^2
 +$E$11/(1+D349)^3
 +$F$11/(1+D349)^4
 +$G$11/(1+D349)^5
 +$H$11/(1+D349)^6
 +$I$11/(1+D349)^7
 + ( $I$11*(1+F349)/(D349-F349) )/(1+D349)^7</f>
        <v>440.87672426081383</v>
      </c>
      <c r="H349" s="7">
        <f ca="1">(G349-$C$8)/$C$9</f>
        <v>2.4276725704478395</v>
      </c>
    </row>
    <row r="350" spans="3:8" x14ac:dyDescent="0.35">
      <c r="C350" s="8">
        <f t="shared" ca="1" si="20"/>
        <v>0.84948200667534002</v>
      </c>
      <c r="D350" s="7">
        <f t="shared" ca="1" si="21"/>
        <v>9.9164685754753817E-2</v>
      </c>
      <c r="E350" s="7">
        <f t="shared" ca="1" si="22"/>
        <v>0.89731857987799613</v>
      </c>
      <c r="F350" s="7">
        <f t="shared" ca="1" si="23"/>
        <v>2.5468302302182902E-2</v>
      </c>
      <c r="G350" s="7">
        <f ca="1">$C$11/(1+D350)^1
 +$D$11/(1+D350)^2
 +$E$11/(1+D350)^3
 +$F$11/(1+D350)^4
 +$G$11/(1+D350)^5
 +$H$11/(1+D350)^6
 +$I$11/(1+D350)^7
 + ( $I$11*(1+F350)/(D350-F350) )/(1+D350)^7</f>
        <v>351.82565014469054</v>
      </c>
      <c r="H350" s="7">
        <f ca="1">(G350-$C$8)/$C$9</f>
        <v>1.9242178321160703</v>
      </c>
    </row>
    <row r="351" spans="3:8" x14ac:dyDescent="0.35">
      <c r="C351" s="8">
        <f t="shared" ca="1" si="20"/>
        <v>0.26058450388689869</v>
      </c>
      <c r="D351" s="7">
        <f t="shared" ca="1" si="21"/>
        <v>8.4617773195232476E-2</v>
      </c>
      <c r="E351" s="7">
        <f t="shared" ca="1" si="22"/>
        <v>0.15544769449147933</v>
      </c>
      <c r="F351" s="7">
        <f t="shared" ca="1" si="23"/>
        <v>1.5575799395449577E-2</v>
      </c>
      <c r="G351" s="7">
        <f ca="1">$C$11/(1+D351)^1
 +$D$11/(1+D351)^2
 +$E$11/(1+D351)^3
 +$F$11/(1+D351)^4
 +$G$11/(1+D351)^5
 +$H$11/(1+D351)^6
 +$I$11/(1+D351)^7
 + ( $I$11*(1+F351)/(D351-F351) )/(1+D351)^7</f>
        <v>394.88079114721472</v>
      </c>
      <c r="H351" s="7">
        <f ca="1">(G351-$C$8)/$C$9</f>
        <v>2.1676322430303863</v>
      </c>
    </row>
    <row r="352" spans="3:8" x14ac:dyDescent="0.35">
      <c r="C352" s="8">
        <f t="shared" ca="1" si="20"/>
        <v>1.8588715339790896E-2</v>
      </c>
      <c r="D352" s="7">
        <f t="shared" ca="1" si="21"/>
        <v>7.3904196022054808E-2</v>
      </c>
      <c r="E352" s="7">
        <f t="shared" ca="1" si="22"/>
        <v>0.52323279041725479</v>
      </c>
      <c r="F352" s="7">
        <f t="shared" ca="1" si="23"/>
        <v>2.0235091300142685E-2</v>
      </c>
      <c r="G352" s="7">
        <f ca="1">$C$11/(1+D352)^1
 +$D$11/(1+D352)^2
 +$E$11/(1+D352)^3
 +$F$11/(1+D352)^4
 +$G$11/(1+D352)^5
 +$H$11/(1+D352)^6
 +$I$11/(1+D352)^7
 + ( $I$11*(1+F352)/(D352-F352) )/(1+D352)^7</f>
        <v>501.45571524433547</v>
      </c>
      <c r="H352" s="7">
        <f ca="1">(G352-$C$8)/$C$9</f>
        <v>2.7701589509516928</v>
      </c>
    </row>
    <row r="353" spans="3:8" x14ac:dyDescent="0.35">
      <c r="C353" s="8">
        <f t="shared" ca="1" si="20"/>
        <v>3.9894319148514712E-2</v>
      </c>
      <c r="D353" s="7">
        <f t="shared" ca="1" si="21"/>
        <v>7.5719557823973993E-2</v>
      </c>
      <c r="E353" s="7">
        <f t="shared" ca="1" si="22"/>
        <v>0.82429645622260816</v>
      </c>
      <c r="F353" s="7">
        <f t="shared" ca="1" si="23"/>
        <v>2.4072040084862384E-2</v>
      </c>
      <c r="G353" s="7">
        <f ca="1">$C$11/(1+D353)^1
 +$D$11/(1+D353)^2
 +$E$11/(1+D353)^3
 +$F$11/(1+D353)^4
 +$G$11/(1+D353)^5
 +$H$11/(1+D353)^6
 +$I$11/(1+D353)^7
 + ( $I$11*(1+F353)/(D353-F353) )/(1+D353)^7</f>
        <v>511.74610759989912</v>
      </c>
      <c r="H353" s="7">
        <f ca="1">(G353-$C$8)/$C$9</f>
        <v>2.828336203074961</v>
      </c>
    </row>
    <row r="354" spans="3:8" x14ac:dyDescent="0.35">
      <c r="C354" s="8">
        <f t="shared" ca="1" si="20"/>
        <v>0.234428123047555</v>
      </c>
      <c r="D354" s="7">
        <f t="shared" ca="1" si="21"/>
        <v>8.3864741645591351E-2</v>
      </c>
      <c r="E354" s="7">
        <f t="shared" ca="1" si="22"/>
        <v>0.21733573062592082</v>
      </c>
      <c r="F354" s="7">
        <f t="shared" ca="1" si="23"/>
        <v>1.659296186286438E-2</v>
      </c>
      <c r="G354" s="7">
        <f ca="1">$C$11/(1+D354)^1
 +$D$11/(1+D354)^2
 +$E$11/(1+D354)^3
 +$F$11/(1+D354)^4
 +$G$11/(1+D354)^5
 +$H$11/(1+D354)^6
 +$I$11/(1+D354)^7
 + ( $I$11*(1+F354)/(D354-F354) )/(1+D354)^7</f>
        <v>403.74514493026152</v>
      </c>
      <c r="H354" s="7">
        <f ca="1">(G354-$C$8)/$C$9</f>
        <v>2.2177473141692756</v>
      </c>
    </row>
    <row r="355" spans="3:8" x14ac:dyDescent="0.35">
      <c r="C355" s="8">
        <f t="shared" ca="1" si="20"/>
        <v>0.88739731403345801</v>
      </c>
      <c r="D355" s="7">
        <f t="shared" ca="1" si="21"/>
        <v>0.10062822881980664</v>
      </c>
      <c r="E355" s="7">
        <f t="shared" ca="1" si="22"/>
        <v>0.51602430017013701</v>
      </c>
      <c r="F355" s="7">
        <f t="shared" ca="1" si="23"/>
        <v>2.0161547887702427E-2</v>
      </c>
      <c r="G355" s="7">
        <f ca="1">$C$11/(1+D355)^1
 +$D$11/(1+D355)^2
 +$E$11/(1+D355)^3
 +$F$11/(1+D355)^4
 +$G$11/(1+D355)^5
 +$H$11/(1+D355)^6
 +$I$11/(1+D355)^7
 + ( $I$11*(1+F355)/(D355-F355) )/(1+D355)^7</f>
        <v>329.13633860231693</v>
      </c>
      <c r="H355" s="7">
        <f ca="1">(G355-$C$8)/$C$9</f>
        <v>1.7959426650967714</v>
      </c>
    </row>
    <row r="356" spans="3:8" x14ac:dyDescent="0.35">
      <c r="C356" s="8">
        <f t="shared" ca="1" si="20"/>
        <v>4.4108412906915806E-3</v>
      </c>
      <c r="D356" s="7">
        <f t="shared" ca="1" si="21"/>
        <v>7.1901812256340542E-2</v>
      </c>
      <c r="E356" s="7">
        <f t="shared" ca="1" si="22"/>
        <v>0.34703831189309942</v>
      </c>
      <c r="F356" s="7">
        <f t="shared" ca="1" si="23"/>
        <v>1.8331126117075644E-2</v>
      </c>
      <c r="G356" s="7">
        <f ca="1">$C$11/(1+D356)^1
 +$D$11/(1+D356)^2
 +$E$11/(1+D356)^3
 +$F$11/(1+D356)^4
 +$G$11/(1+D356)^5
 +$H$11/(1+D356)^6
 +$I$11/(1+D356)^7
 + ( $I$11*(1+F356)/(D356-F356) )/(1+D356)^7</f>
        <v>507.25764842741478</v>
      </c>
      <c r="H356" s="7">
        <f ca="1">(G356-$C$8)/$C$9</f>
        <v>2.8029604727918067</v>
      </c>
    </row>
    <row r="357" spans="3:8" x14ac:dyDescent="0.35">
      <c r="C357" s="8">
        <f t="shared" ca="1" si="20"/>
        <v>0.975580472476969</v>
      </c>
      <c r="D357" s="7">
        <f t="shared" ca="1" si="21"/>
        <v>0.10563568659833369</v>
      </c>
      <c r="E357" s="7">
        <f t="shared" ca="1" si="22"/>
        <v>0.97639273812393668</v>
      </c>
      <c r="F357" s="7">
        <f t="shared" ca="1" si="23"/>
        <v>2.7827109672530003E-2</v>
      </c>
      <c r="G357" s="7">
        <f ca="1">$C$11/(1+D357)^1
 +$D$11/(1+D357)^2
 +$E$11/(1+D357)^3
 +$F$11/(1+D357)^4
 +$G$11/(1+D357)^5
 +$H$11/(1+D357)^6
 +$I$11/(1+D357)^7
 + ( $I$11*(1+F357)/(D357-F357) )/(1+D357)^7</f>
        <v>328.87149609552989</v>
      </c>
      <c r="H357" s="7">
        <f ca="1">(G357-$C$8)/$C$9</f>
        <v>1.7944453646287306</v>
      </c>
    </row>
    <row r="358" spans="3:8" x14ac:dyDescent="0.35">
      <c r="C358" s="8">
        <f t="shared" ca="1" si="20"/>
        <v>0.77434344197847704</v>
      </c>
      <c r="D358" s="7">
        <f t="shared" ca="1" si="21"/>
        <v>9.6733044235515528E-2</v>
      </c>
      <c r="E358" s="7">
        <f t="shared" ca="1" si="22"/>
        <v>0.14927010831799348</v>
      </c>
      <c r="F358" s="7">
        <f t="shared" ca="1" si="23"/>
        <v>1.5463883386713034E-2</v>
      </c>
      <c r="G358" s="7">
        <f ca="1">$C$11/(1+D358)^1
 +$D$11/(1+D358)^2
 +$E$11/(1+D358)^3
 +$F$11/(1+D358)^4
 +$G$11/(1+D358)^5
 +$H$11/(1+D358)^6
 +$I$11/(1+D358)^7
 + ( $I$11*(1+F358)/(D358-F358) )/(1+D358)^7</f>
        <v>332.98163352044912</v>
      </c>
      <c r="H358" s="7">
        <f ca="1">(G358-$C$8)/$C$9</f>
        <v>1.8176822338333849</v>
      </c>
    </row>
    <row r="359" spans="3:8" x14ac:dyDescent="0.35">
      <c r="C359" s="8">
        <f t="shared" ca="1" si="20"/>
        <v>0.47882466897153475</v>
      </c>
      <c r="D359" s="7">
        <f t="shared" ca="1" si="21"/>
        <v>8.9815050556500187E-2</v>
      </c>
      <c r="E359" s="7">
        <f t="shared" ca="1" si="22"/>
        <v>0.53241584435091094</v>
      </c>
      <c r="F359" s="7">
        <f t="shared" ca="1" si="23"/>
        <v>2.0329589919252763E-2</v>
      </c>
      <c r="G359" s="7">
        <f ca="1">$C$11/(1+D359)^1
 +$D$11/(1+D359)^2
 +$E$11/(1+D359)^3
 +$F$11/(1+D359)^4
 +$G$11/(1+D359)^5
 +$H$11/(1+D359)^6
 +$I$11/(1+D359)^7
 + ( $I$11*(1+F359)/(D359-F359) )/(1+D359)^7</f>
        <v>383.3306750230301</v>
      </c>
      <c r="H359" s="7">
        <f ca="1">(G359-$C$8)/$C$9</f>
        <v>2.1023330790537655</v>
      </c>
    </row>
    <row r="360" spans="3:8" x14ac:dyDescent="0.35">
      <c r="C360" s="8">
        <f t="shared" ca="1" si="20"/>
        <v>0.62887734339833079</v>
      </c>
      <c r="D360" s="7">
        <f t="shared" ca="1" si="21"/>
        <v>9.2986015394702443E-2</v>
      </c>
      <c r="E360" s="7">
        <f t="shared" ca="1" si="22"/>
        <v>0.86184858236632844</v>
      </c>
      <c r="F360" s="7">
        <f t="shared" ca="1" si="23"/>
        <v>2.4743548390146228E-2</v>
      </c>
      <c r="G360" s="7">
        <f ca="1">$C$11/(1+D360)^1
 +$D$11/(1+D360)^2
 +$E$11/(1+D360)^3
 +$F$11/(1+D360)^4
 +$G$11/(1+D360)^5
 +$H$11/(1+D360)^6
 +$I$11/(1+D360)^7
 + ( $I$11*(1+F360)/(D360-F360) )/(1+D360)^7</f>
        <v>382.37856208478524</v>
      </c>
      <c r="H360" s="7">
        <f ca="1">(G360-$C$8)/$C$9</f>
        <v>2.0969502605426573</v>
      </c>
    </row>
    <row r="361" spans="3:8" x14ac:dyDescent="0.35">
      <c r="C361" s="8">
        <f t="shared" ca="1" si="20"/>
        <v>0.28079952815495102</v>
      </c>
      <c r="D361" s="7">
        <f t="shared" ca="1" si="21"/>
        <v>8.5174175861873355E-2</v>
      </c>
      <c r="E361" s="7">
        <f t="shared" ca="1" si="22"/>
        <v>0.71028329735093065</v>
      </c>
      <c r="F361" s="7">
        <f t="shared" ca="1" si="23"/>
        <v>2.2387947679514159E-2</v>
      </c>
      <c r="G361" s="7">
        <f ca="1">$C$11/(1+D361)^1
 +$D$11/(1+D361)^2
 +$E$11/(1+D361)^3
 +$F$11/(1+D361)^4
 +$G$11/(1+D361)^5
 +$H$11/(1+D361)^6
 +$I$11/(1+D361)^7
 + ( $I$11*(1+F361)/(D361-F361) )/(1+D361)^7</f>
        <v>421.69633915891887</v>
      </c>
      <c r="H361" s="7">
        <f ca="1">(G361-$C$8)/$C$9</f>
        <v>2.3192352960137881</v>
      </c>
    </row>
    <row r="362" spans="3:8" x14ac:dyDescent="0.35">
      <c r="C362" s="8">
        <f t="shared" ca="1" si="20"/>
        <v>0.77325973513124968</v>
      </c>
      <c r="D362" s="7">
        <f t="shared" ca="1" si="21"/>
        <v>9.6701225372327518E-2</v>
      </c>
      <c r="E362" s="7">
        <f t="shared" ca="1" si="22"/>
        <v>0.27553987511024369</v>
      </c>
      <c r="F362" s="7">
        <f t="shared" ca="1" si="23"/>
        <v>1.7423474592268014E-2</v>
      </c>
      <c r="G362" s="7">
        <f ca="1">$C$11/(1+D362)^1
 +$D$11/(1+D362)^2
 +$E$11/(1+D362)^3
 +$F$11/(1+D362)^4
 +$G$11/(1+D362)^5
 +$H$11/(1+D362)^6
 +$I$11/(1+D362)^7
 + ( $I$11*(1+F362)/(D362-F362) )/(1+D362)^7</f>
        <v>338.63612884243969</v>
      </c>
      <c r="H362" s="7">
        <f ca="1">(G362-$C$8)/$C$9</f>
        <v>1.8496502082905906</v>
      </c>
    </row>
    <row r="363" spans="3:8" x14ac:dyDescent="0.35">
      <c r="C363" s="8">
        <f t="shared" ca="1" si="20"/>
        <v>0.70199011070526729</v>
      </c>
      <c r="D363" s="7">
        <f t="shared" ca="1" si="21"/>
        <v>9.4753763951391429E-2</v>
      </c>
      <c r="E363" s="7">
        <f t="shared" ca="1" si="22"/>
        <v>0.54361423906455375</v>
      </c>
      <c r="F363" s="7">
        <f t="shared" ca="1" si="23"/>
        <v>2.0446092308008767E-2</v>
      </c>
      <c r="G363" s="7">
        <f ca="1">$C$11/(1+D363)^1
 +$D$11/(1+D363)^2
 +$E$11/(1+D363)^3
 +$F$11/(1+D363)^4
 +$G$11/(1+D363)^5
 +$H$11/(1+D363)^6
 +$I$11/(1+D363)^7
 + ( $I$11*(1+F363)/(D363-F363) )/(1+D363)^7</f>
        <v>357.22419500326157</v>
      </c>
      <c r="H363" s="7">
        <f ca="1">(G363-$C$8)/$C$9</f>
        <v>1.9547387777208365</v>
      </c>
    </row>
    <row r="364" spans="3:8" x14ac:dyDescent="0.35">
      <c r="C364" s="8">
        <f t="shared" ca="1" si="20"/>
        <v>0.76204570998592591</v>
      </c>
      <c r="D364" s="7">
        <f t="shared" ca="1" si="21"/>
        <v>9.6376331396757414E-2</v>
      </c>
      <c r="E364" s="7">
        <f t="shared" ca="1" si="22"/>
        <v>0.85742565037071083</v>
      </c>
      <c r="F364" s="7">
        <f t="shared" ca="1" si="23"/>
        <v>2.4660068359439624E-2</v>
      </c>
      <c r="G364" s="7">
        <f ca="1">$C$11/(1+D364)^1
 +$D$11/(1+D364)^2
 +$E$11/(1+D364)^3
 +$F$11/(1+D364)^4
 +$G$11/(1+D364)^5
 +$H$11/(1+D364)^6
 +$I$11/(1+D364)^7
 + ( $I$11*(1+F364)/(D364-F364) )/(1+D364)^7</f>
        <v>363.31405752980186</v>
      </c>
      <c r="H364" s="7">
        <f ca="1">(G364-$C$8)/$C$9</f>
        <v>1.9891681226243885</v>
      </c>
    </row>
    <row r="365" spans="3:8" x14ac:dyDescent="0.35">
      <c r="C365" s="8">
        <f t="shared" ca="1" si="20"/>
        <v>0.65390385633821635</v>
      </c>
      <c r="D365" s="7">
        <f t="shared" ca="1" si="21"/>
        <v>9.3569692880040523E-2</v>
      </c>
      <c r="E365" s="7">
        <f t="shared" ca="1" si="22"/>
        <v>0.74534817176991697</v>
      </c>
      <c r="F365" s="7">
        <f t="shared" ca="1" si="23"/>
        <v>2.2863448616732545E-2</v>
      </c>
      <c r="G365" s="7">
        <f ca="1">$C$11/(1+D365)^1
 +$D$11/(1+D365)^2
 +$E$11/(1+D365)^3
 +$F$11/(1+D365)^4
 +$G$11/(1+D365)^5
 +$H$11/(1+D365)^6
 +$I$11/(1+D365)^7
 + ( $I$11*(1+F365)/(D365-F365) )/(1+D365)^7</f>
        <v>371.88796054594638</v>
      </c>
      <c r="H365" s="7">
        <f ca="1">(G365-$C$8)/$C$9</f>
        <v>2.0376411157052599</v>
      </c>
    </row>
    <row r="366" spans="3:8" x14ac:dyDescent="0.35">
      <c r="C366" s="8">
        <f t="shared" ca="1" si="20"/>
        <v>0.79111031165413848</v>
      </c>
      <c r="D366" s="7">
        <f t="shared" ca="1" si="21"/>
        <v>9.7235441374267109E-2</v>
      </c>
      <c r="E366" s="7">
        <f t="shared" ca="1" si="22"/>
        <v>0.95089738946311875</v>
      </c>
      <c r="F366" s="7">
        <f t="shared" ca="1" si="23"/>
        <v>2.6866228772329376E-2</v>
      </c>
      <c r="G366" s="7">
        <f ca="1">$C$11/(1+D366)^1
 +$D$11/(1+D366)^2
 +$E$11/(1+D366)^3
 +$F$11/(1+D366)^4
 +$G$11/(1+D366)^5
 +$H$11/(1+D366)^6
 +$I$11/(1+D366)^7
 + ( $I$11*(1+F366)/(D366-F366) )/(1+D366)^7</f>
        <v>366.65688105283857</v>
      </c>
      <c r="H366" s="7">
        <f ca="1">(G366-$C$8)/$C$9</f>
        <v>2.008066943989363</v>
      </c>
    </row>
    <row r="367" spans="3:8" x14ac:dyDescent="0.35">
      <c r="C367" s="8">
        <f t="shared" ca="1" si="20"/>
        <v>0.98039019445872433</v>
      </c>
      <c r="D367" s="7">
        <f t="shared" ca="1" si="21"/>
        <v>0.10608903486052419</v>
      </c>
      <c r="E367" s="7">
        <f t="shared" ca="1" si="22"/>
        <v>0.78475479997623154</v>
      </c>
      <c r="F367" s="7">
        <f t="shared" ca="1" si="23"/>
        <v>2.3438823275908988E-2</v>
      </c>
      <c r="G367" s="7">
        <f ca="1">$C$11/(1+D367)^1
 +$D$11/(1+D367)^2
 +$E$11/(1+D367)^3
 +$F$11/(1+D367)^4
 +$G$11/(1+D367)^5
 +$H$11/(1+D367)^6
 +$I$11/(1+D367)^7
 + ( $I$11*(1+F367)/(D367-F367) )/(1+D367)^7</f>
        <v>315.20566641103596</v>
      </c>
      <c r="H367" s="7">
        <f ca="1">(G367-$C$8)/$C$9</f>
        <v>1.7171849073441652</v>
      </c>
    </row>
    <row r="368" spans="3:8" x14ac:dyDescent="0.35">
      <c r="C368" s="8">
        <f t="shared" ca="1" si="20"/>
        <v>2.0644177154050869E-2</v>
      </c>
      <c r="D368" s="7">
        <f t="shared" ca="1" si="21"/>
        <v>7.4114392454095956E-2</v>
      </c>
      <c r="E368" s="7">
        <f t="shared" ca="1" si="22"/>
        <v>0.2363136445139099</v>
      </c>
      <c r="F368" s="7">
        <f t="shared" ca="1" si="23"/>
        <v>1.687478937152128E-2</v>
      </c>
      <c r="G368" s="7">
        <f ca="1">$C$11/(1+D368)^1
 +$D$11/(1+D368)^2
 +$E$11/(1+D368)^3
 +$F$11/(1+D368)^4
 +$G$11/(1+D368)^5
 +$H$11/(1+D368)^6
 +$I$11/(1+D368)^7
 + ( $I$11*(1+F368)/(D368-F368) )/(1+D368)^7</f>
        <v>477.04678316028765</v>
      </c>
      <c r="H368" s="7">
        <f ca="1">(G368-$C$8)/$C$9</f>
        <v>2.6321618224801426</v>
      </c>
    </row>
    <row r="369" spans="3:8" x14ac:dyDescent="0.35">
      <c r="C369" s="8">
        <f t="shared" ca="1" si="20"/>
        <v>0.14433621861427581</v>
      </c>
      <c r="D369" s="7">
        <f t="shared" ca="1" si="21"/>
        <v>8.0879140557218038E-2</v>
      </c>
      <c r="E369" s="7">
        <f t="shared" ca="1" si="22"/>
        <v>0.59788110341675116</v>
      </c>
      <c r="F369" s="7">
        <f t="shared" ca="1" si="23"/>
        <v>2.1032069396084194E-2</v>
      </c>
      <c r="G369" s="7">
        <f ca="1">$C$11/(1+D369)^1
 +$D$11/(1+D369)^2
 +$E$11/(1+D369)^3
 +$F$11/(1+D369)^4
 +$G$11/(1+D369)^5
 +$H$11/(1+D369)^6
 +$I$11/(1+D369)^7
 + ( $I$11*(1+F369)/(D369-F369) )/(1+D369)^7</f>
        <v>446.16144004088812</v>
      </c>
      <c r="H369" s="7">
        <f ca="1">(G369-$C$8)/$C$9</f>
        <v>2.4575499776169614</v>
      </c>
    </row>
    <row r="370" spans="3:8" x14ac:dyDescent="0.35">
      <c r="C370" s="8">
        <f t="shared" ca="1" si="20"/>
        <v>0.68534331328385367</v>
      </c>
      <c r="D370" s="7">
        <f t="shared" ca="1" si="21"/>
        <v>9.4333723619232479E-2</v>
      </c>
      <c r="E370" s="7">
        <f t="shared" ca="1" si="22"/>
        <v>0.9950771386614552</v>
      </c>
      <c r="F370" s="7">
        <f t="shared" ca="1" si="23"/>
        <v>2.9007743849749995E-2</v>
      </c>
      <c r="G370" s="7">
        <f ca="1">$C$11/(1+D370)^1
 +$D$11/(1+D370)^2
 +$E$11/(1+D370)^3
 +$F$11/(1+D370)^4
 +$G$11/(1+D370)^5
 +$H$11/(1+D370)^6
 +$I$11/(1+D370)^7
 + ( $I$11*(1+F370)/(D370-F370) )/(1+D370)^7</f>
        <v>391.92789607383844</v>
      </c>
      <c r="H370" s="7">
        <f ca="1">(G370-$C$8)/$C$9</f>
        <v>2.1509379018195296</v>
      </c>
    </row>
    <row r="371" spans="3:8" x14ac:dyDescent="0.35">
      <c r="C371" s="8">
        <f t="shared" ca="1" si="20"/>
        <v>0.27394285270176522</v>
      </c>
      <c r="D371" s="7">
        <f t="shared" ca="1" si="21"/>
        <v>8.4987766318416078E-2</v>
      </c>
      <c r="E371" s="7">
        <f t="shared" ca="1" si="22"/>
        <v>0.47756839086045977</v>
      </c>
      <c r="F371" s="7">
        <f t="shared" ca="1" si="23"/>
        <v>1.9773109953954877E-2</v>
      </c>
      <c r="G371" s="7">
        <f ca="1">$C$11/(1+D371)^1
 +$D$11/(1+D371)^2
 +$E$11/(1+D371)^3
 +$F$11/(1+D371)^4
 +$G$11/(1+D371)^5
 +$H$11/(1+D371)^6
 +$I$11/(1+D371)^7
 + ( $I$11*(1+F371)/(D371-F371) )/(1+D371)^7</f>
        <v>410.61148274833056</v>
      </c>
      <c r="H371" s="7">
        <f ca="1">(G371-$C$8)/$C$9</f>
        <v>2.2565665012908784</v>
      </c>
    </row>
    <row r="372" spans="3:8" x14ac:dyDescent="0.35">
      <c r="C372" s="8">
        <f t="shared" ca="1" si="20"/>
        <v>0.10180714962886994</v>
      </c>
      <c r="D372" s="7">
        <f t="shared" ca="1" si="21"/>
        <v>7.9136840958212717E-2</v>
      </c>
      <c r="E372" s="7">
        <f t="shared" ca="1" si="22"/>
        <v>0.33457039782302467</v>
      </c>
      <c r="F372" s="7">
        <f t="shared" ca="1" si="23"/>
        <v>1.8180102662228935E-2</v>
      </c>
      <c r="G372" s="7">
        <f ca="1">$C$11/(1+D372)^1
 +$D$11/(1+D372)^2
 +$E$11/(1+D372)^3
 +$F$11/(1+D372)^4
 +$G$11/(1+D372)^5
 +$H$11/(1+D372)^6
 +$I$11/(1+D372)^7
 + ( $I$11*(1+F372)/(D372-F372) )/(1+D372)^7</f>
        <v>443.95058393364849</v>
      </c>
      <c r="H372" s="7">
        <f ca="1">(G372-$C$8)/$C$9</f>
        <v>2.4450507911219383</v>
      </c>
    </row>
    <row r="373" spans="3:8" x14ac:dyDescent="0.35">
      <c r="C373" s="8">
        <f t="shared" ca="1" si="20"/>
        <v>0.95180764123351047</v>
      </c>
      <c r="D373" s="7">
        <f t="shared" ca="1" si="21"/>
        <v>0.10386892832876161</v>
      </c>
      <c r="E373" s="7">
        <f t="shared" ca="1" si="22"/>
        <v>0.71027757272859149</v>
      </c>
      <c r="F373" s="7">
        <f t="shared" ca="1" si="23"/>
        <v>2.2387872475169525E-2</v>
      </c>
      <c r="G373" s="7">
        <f ca="1">$C$11/(1+D373)^1
 +$D$11/(1+D373)^2
 +$E$11/(1+D373)^3
 +$F$11/(1+D373)^4
 +$G$11/(1+D373)^5
 +$H$11/(1+D373)^6
 +$I$11/(1+D373)^7
 + ( $I$11*(1+F373)/(D373-F373) )/(1+D373)^7</f>
        <v>321.49561647407188</v>
      </c>
      <c r="H373" s="7">
        <f ca="1">(G373-$C$8)/$C$9</f>
        <v>1.7527454572256438</v>
      </c>
    </row>
    <row r="374" spans="3:8" x14ac:dyDescent="0.35">
      <c r="C374" s="8">
        <f t="shared" ca="1" si="20"/>
        <v>0.7484388431045641</v>
      </c>
      <c r="D374" s="7">
        <f t="shared" ca="1" si="21"/>
        <v>9.5992227072855582E-2</v>
      </c>
      <c r="E374" s="7">
        <f t="shared" ca="1" si="22"/>
        <v>0.37146230533904157</v>
      </c>
      <c r="F374" s="7">
        <f t="shared" ca="1" si="23"/>
        <v>1.8619307458712001E-2</v>
      </c>
      <c r="G374" s="7">
        <f ca="1">$C$11/(1+D374)^1
 +$D$11/(1+D374)^2
 +$E$11/(1+D374)^3
 +$F$11/(1+D374)^4
 +$G$11/(1+D374)^5
 +$H$11/(1+D374)^6
 +$I$11/(1+D374)^7
 + ( $I$11*(1+F374)/(D374-F374) )/(1+D374)^7</f>
        <v>345.4226719921943</v>
      </c>
      <c r="H374" s="7">
        <f ca="1">(G374-$C$8)/$C$9</f>
        <v>1.8880182722308587</v>
      </c>
    </row>
    <row r="375" spans="3:8" x14ac:dyDescent="0.35">
      <c r="C375" s="8">
        <f t="shared" ca="1" si="20"/>
        <v>0.75215539291062383</v>
      </c>
      <c r="D375" s="7">
        <f t="shared" ca="1" si="21"/>
        <v>9.6096087114423023E-2</v>
      </c>
      <c r="E375" s="7">
        <f t="shared" ca="1" si="22"/>
        <v>0.86366057486998593</v>
      </c>
      <c r="F375" s="7">
        <f t="shared" ca="1" si="23"/>
        <v>2.4778133951736905E-2</v>
      </c>
      <c r="G375" s="7">
        <f ca="1">$C$11/(1+D375)^1
 +$D$11/(1+D375)^2
 +$E$11/(1+D375)^3
 +$F$11/(1+D375)^4
 +$G$11/(1+D375)^5
 +$H$11/(1+D375)^6
 +$I$11/(1+D375)^7
 + ( $I$11*(1+F375)/(D375-F375) )/(1+D375)^7</f>
        <v>365.2163492155068</v>
      </c>
      <c r="H375" s="7">
        <f ca="1">(G375-$C$8)/$C$9</f>
        <v>1.9999228246014631</v>
      </c>
    </row>
    <row r="376" spans="3:8" x14ac:dyDescent="0.35">
      <c r="C376" s="8">
        <f t="shared" ca="1" si="20"/>
        <v>0.680206893763591</v>
      </c>
      <c r="D376" s="7">
        <f t="shared" ca="1" si="21"/>
        <v>9.420637397984874E-2</v>
      </c>
      <c r="E376" s="7">
        <f t="shared" ca="1" si="22"/>
        <v>7.4075717254229234E-2</v>
      </c>
      <c r="F376" s="7">
        <f t="shared" ca="1" si="23"/>
        <v>1.3849044485433476E-2</v>
      </c>
      <c r="G376" s="7">
        <f ca="1">$C$11/(1+D376)^1
 +$D$11/(1+D376)^2
 +$E$11/(1+D376)^3
 +$F$11/(1+D376)^4
 +$G$11/(1+D376)^5
 +$H$11/(1+D376)^6
 +$I$11/(1+D376)^7
 + ( $I$11*(1+F376)/(D376-F376) )/(1+D376)^7</f>
        <v>339.53174401683475</v>
      </c>
      <c r="H376" s="7">
        <f ca="1">(G376-$C$8)/$C$9</f>
        <v>1.8547136138446108</v>
      </c>
    </row>
    <row r="377" spans="3:8" x14ac:dyDescent="0.35">
      <c r="C377" s="8">
        <f t="shared" ca="1" si="20"/>
        <v>0.35991136739912621</v>
      </c>
      <c r="D377" s="7">
        <f t="shared" ca="1" si="21"/>
        <v>8.717927010286769E-2</v>
      </c>
      <c r="E377" s="7">
        <f t="shared" ca="1" si="22"/>
        <v>0.27822534544748534</v>
      </c>
      <c r="F377" s="7">
        <f t="shared" ca="1" si="23"/>
        <v>1.7459562258571013E-2</v>
      </c>
      <c r="G377" s="7">
        <f ca="1">$C$11/(1+D377)^1
 +$D$11/(1+D377)^2
 +$E$11/(1+D377)^3
 +$F$11/(1+D377)^4
 +$G$11/(1+D377)^5
 +$H$11/(1+D377)^6
 +$I$11/(1+D377)^7
 + ( $I$11*(1+F377)/(D377-F377) )/(1+D377)^7</f>
        <v>387.31693860424917</v>
      </c>
      <c r="H377" s="7">
        <f ca="1">(G377-$C$8)/$C$9</f>
        <v>2.1248696212361442</v>
      </c>
    </row>
    <row r="378" spans="3:8" x14ac:dyDescent="0.35">
      <c r="C378" s="8">
        <f t="shared" ca="1" si="20"/>
        <v>0.25082008201214556</v>
      </c>
      <c r="D378" s="7">
        <f t="shared" ca="1" si="21"/>
        <v>8.4341285411355549E-2</v>
      </c>
      <c r="E378" s="7">
        <f t="shared" ca="1" si="22"/>
        <v>0.21826891437240192</v>
      </c>
      <c r="F378" s="7">
        <f t="shared" ca="1" si="23"/>
        <v>1.6607100943264026E-2</v>
      </c>
      <c r="G378" s="7">
        <f ca="1">$C$11/(1+D378)^1
 +$D$11/(1+D378)^2
 +$E$11/(1+D378)^3
 +$F$11/(1+D378)^4
 +$G$11/(1+D378)^5
 +$H$11/(1+D378)^6
 +$I$11/(1+D378)^7
 + ( $I$11*(1+F378)/(D378-F378) )/(1+D378)^7</f>
        <v>400.83921356272663</v>
      </c>
      <c r="H378" s="7">
        <f ca="1">(G378-$C$8)/$C$9</f>
        <v>2.201318484637758</v>
      </c>
    </row>
    <row r="379" spans="3:8" x14ac:dyDescent="0.35">
      <c r="C379" s="8">
        <f t="shared" ca="1" si="20"/>
        <v>0.90880267473001597</v>
      </c>
      <c r="D379" s="7">
        <f t="shared" ca="1" si="21"/>
        <v>0.10156590765342308</v>
      </c>
      <c r="E379" s="7">
        <f t="shared" ca="1" si="22"/>
        <v>0.80659763027304587</v>
      </c>
      <c r="F379" s="7">
        <f t="shared" ca="1" si="23"/>
        <v>2.3780637175289512E-2</v>
      </c>
      <c r="G379" s="7">
        <f ca="1">$C$11/(1+D379)^1
 +$D$11/(1+D379)^2
 +$E$11/(1+D379)^3
 +$F$11/(1+D379)^4
 +$G$11/(1+D379)^5
 +$H$11/(1+D379)^6
 +$I$11/(1+D379)^7
 + ( $I$11*(1+F379)/(D379-F379) )/(1+D379)^7</f>
        <v>335.26084942701516</v>
      </c>
      <c r="H379" s="7">
        <f ca="1">(G379-$C$8)/$C$9</f>
        <v>1.8305678959012615</v>
      </c>
    </row>
    <row r="380" spans="3:8" x14ac:dyDescent="0.35">
      <c r="C380" s="8">
        <f t="shared" ca="1" si="20"/>
        <v>0.42105380621097799</v>
      </c>
      <c r="D380" s="7">
        <f t="shared" ca="1" si="21"/>
        <v>8.8581284161569726E-2</v>
      </c>
      <c r="E380" s="7">
        <f t="shared" ca="1" si="22"/>
        <v>0.49456549091992807</v>
      </c>
      <c r="F380" s="7">
        <f t="shared" ca="1" si="23"/>
        <v>1.9945506431750252E-2</v>
      </c>
      <c r="G380" s="7">
        <f ca="1">$C$11/(1+D380)^1
 +$D$11/(1+D380)^2
 +$E$11/(1+D380)^3
 +$F$11/(1+D380)^4
 +$G$11/(1+D380)^5
 +$H$11/(1+D380)^6
 +$I$11/(1+D380)^7
 + ( $I$11*(1+F380)/(D380-F380) )/(1+D380)^7</f>
        <v>388.9970600769945</v>
      </c>
      <c r="H380" s="7">
        <f ca="1">(G380-$C$8)/$C$9</f>
        <v>2.1343682727102808</v>
      </c>
    </row>
    <row r="381" spans="3:8" x14ac:dyDescent="0.35">
      <c r="C381" s="8">
        <f t="shared" ca="1" si="20"/>
        <v>0.20431549626094969</v>
      </c>
      <c r="D381" s="7">
        <f t="shared" ca="1" si="21"/>
        <v>8.2943674398484338E-2</v>
      </c>
      <c r="E381" s="7">
        <f t="shared" ca="1" si="22"/>
        <v>0.8589156064154071</v>
      </c>
      <c r="F381" s="7">
        <f t="shared" ca="1" si="23"/>
        <v>2.4688043795651305E-2</v>
      </c>
      <c r="G381" s="7">
        <f ca="1">$C$11/(1+D381)^1
 +$D$11/(1+D381)^2
 +$E$11/(1+D381)^3
 +$F$11/(1+D381)^4
 +$G$11/(1+D381)^5
 +$H$11/(1+D381)^6
 +$I$11/(1+D381)^7
 + ( $I$11*(1+F381)/(D381-F381) )/(1+D381)^7</f>
        <v>450.56284951257931</v>
      </c>
      <c r="H381" s="7">
        <f ca="1">(G381-$C$8)/$C$9</f>
        <v>2.4824335680267939</v>
      </c>
    </row>
    <row r="382" spans="3:8" x14ac:dyDescent="0.35">
      <c r="C382" s="8">
        <f t="shared" ca="1" si="20"/>
        <v>0.95023255171674159</v>
      </c>
      <c r="D382" s="7">
        <f t="shared" ca="1" si="21"/>
        <v>0.10376954177761046</v>
      </c>
      <c r="E382" s="7">
        <f t="shared" ca="1" si="22"/>
        <v>0.67572345752024432</v>
      </c>
      <c r="F382" s="7">
        <f t="shared" ca="1" si="23"/>
        <v>2.1946720637159599E-2</v>
      </c>
      <c r="G382" s="7">
        <f ca="1">$C$11/(1+D382)^1
 +$D$11/(1+D382)^2
 +$E$11/(1+D382)^3
 +$F$11/(1+D382)^4
 +$G$11/(1+D382)^5
 +$H$11/(1+D382)^6
 +$I$11/(1+D382)^7
 + ( $I$11*(1+F382)/(D382-F382) )/(1+D382)^7</f>
        <v>320.74993504931257</v>
      </c>
      <c r="H382" s="7">
        <f ca="1">(G382-$C$8)/$C$9</f>
        <v>1.7485297096862988</v>
      </c>
    </row>
    <row r="383" spans="3:8" x14ac:dyDescent="0.35">
      <c r="C383" s="8">
        <f t="shared" ca="1" si="20"/>
        <v>0.17633981910777674</v>
      </c>
      <c r="D383" s="7">
        <f t="shared" ca="1" si="21"/>
        <v>8.2024917948509135E-2</v>
      </c>
      <c r="E383" s="7">
        <f t="shared" ca="1" si="22"/>
        <v>0.16887805762248542</v>
      </c>
      <c r="F383" s="7">
        <f t="shared" ca="1" si="23"/>
        <v>1.5811678890346324E-2</v>
      </c>
      <c r="G383" s="7">
        <f ca="1">$C$11/(1+D383)^1
 +$D$11/(1+D383)^2
 +$E$11/(1+D383)^3
 +$F$11/(1+D383)^4
 +$G$11/(1+D383)^5
 +$H$11/(1+D383)^6
 +$I$11/(1+D383)^7
 + ( $I$11*(1+F383)/(D383-F383) )/(1+D383)^7</f>
        <v>412.05795492313348</v>
      </c>
      <c r="H383" s="7">
        <f ca="1">(G383-$C$8)/$C$9</f>
        <v>2.2647442046762407</v>
      </c>
    </row>
    <row r="384" spans="3:8" x14ac:dyDescent="0.35">
      <c r="C384" s="8">
        <f t="shared" ca="1" si="20"/>
        <v>0.51266093972199556</v>
      </c>
      <c r="D384" s="7">
        <f t="shared" ca="1" si="21"/>
        <v>9.0503219060141152E-2</v>
      </c>
      <c r="E384" s="7">
        <f t="shared" ca="1" si="22"/>
        <v>0.82784531538433681</v>
      </c>
      <c r="F384" s="7">
        <f t="shared" ca="1" si="23"/>
        <v>2.4132211922441929E-2</v>
      </c>
      <c r="G384" s="7">
        <f ca="1">$C$11/(1+D384)^1
 +$D$11/(1+D384)^2
 +$E$11/(1+D384)^3
 +$F$11/(1+D384)^4
 +$G$11/(1+D384)^5
 +$H$11/(1+D384)^6
 +$I$11/(1+D384)^7
 + ( $I$11*(1+F384)/(D384-F384) )/(1+D384)^7</f>
        <v>394.73083684906209</v>
      </c>
      <c r="H384" s="7">
        <f ca="1">(G384-$C$8)/$C$9</f>
        <v>2.1667844688436344</v>
      </c>
    </row>
    <row r="385" spans="3:8" x14ac:dyDescent="0.35">
      <c r="C385" s="8">
        <f t="shared" ca="1" si="20"/>
        <v>0.48006565049129013</v>
      </c>
      <c r="D385" s="7">
        <f t="shared" ca="1" si="21"/>
        <v>8.9840711514531379E-2</v>
      </c>
      <c r="E385" s="7">
        <f t="shared" ca="1" si="22"/>
        <v>0.87197987112812358</v>
      </c>
      <c r="F385" s="7">
        <f t="shared" ca="1" si="23"/>
        <v>2.4939957927608183E-2</v>
      </c>
      <c r="G385" s="7">
        <f ca="1">$C$11/(1+D385)^1
 +$D$11/(1+D385)^2
 +$E$11/(1+D385)^3
 +$F$11/(1+D385)^4
 +$G$11/(1+D385)^5
 +$H$11/(1+D385)^6
 +$I$11/(1+D385)^7
 + ( $I$11*(1+F385)/(D385-F385) )/(1+D385)^7</f>
        <v>402.42533967092385</v>
      </c>
      <c r="H385" s="7">
        <f ca="1">(G385-$C$8)/$C$9</f>
        <v>2.2102857285782669</v>
      </c>
    </row>
    <row r="386" spans="3:8" x14ac:dyDescent="0.35">
      <c r="C386" s="8">
        <f t="shared" ca="1" si="20"/>
        <v>0.4955795679658872</v>
      </c>
      <c r="D386" s="7">
        <f t="shared" ca="1" si="21"/>
        <v>9.0158751095542292E-2</v>
      </c>
      <c r="E386" s="7">
        <f t="shared" ca="1" si="22"/>
        <v>0.29179802503651386</v>
      </c>
      <c r="F386" s="7">
        <f t="shared" ca="1" si="23"/>
        <v>1.7639345849436504E-2</v>
      </c>
      <c r="G386" s="7">
        <f ca="1">$C$11/(1+D386)^1
 +$D$11/(1+D386)^2
 +$E$11/(1+D386)^3
 +$F$11/(1+D386)^4
 +$G$11/(1+D386)^5
 +$H$11/(1+D386)^6
 +$I$11/(1+D386)^7
 + ( $I$11*(1+F386)/(D386-F386) )/(1+D386)^7</f>
        <v>371.37951063232276</v>
      </c>
      <c r="H386" s="7">
        <f ca="1">(G386-$C$8)/$C$9</f>
        <v>2.0347665684776275</v>
      </c>
    </row>
    <row r="387" spans="3:8" x14ac:dyDescent="0.35">
      <c r="C387" s="8">
        <f t="shared" ca="1" si="20"/>
        <v>0.6964932671286771</v>
      </c>
      <c r="D387" s="7">
        <f t="shared" ca="1" si="21"/>
        <v>9.4613796711351048E-2</v>
      </c>
      <c r="E387" s="7">
        <f t="shared" ca="1" si="22"/>
        <v>0.91511154464519207</v>
      </c>
      <c r="F387" s="7">
        <f t="shared" ca="1" si="23"/>
        <v>2.587960061754184E-2</v>
      </c>
      <c r="G387" s="7">
        <f ca="1">$C$11/(1+D387)^1
 +$D$11/(1+D387)^2
 +$E$11/(1+D387)^3
 +$F$11/(1+D387)^4
 +$G$11/(1+D387)^5
 +$H$11/(1+D387)^6
 +$I$11/(1+D387)^7
 + ( $I$11*(1+F387)/(D387-F387) )/(1+D387)^7</f>
        <v>377.47702648598568</v>
      </c>
      <c r="H387" s="7">
        <f ca="1">(G387-$C$8)/$C$9</f>
        <v>2.0692391818520219</v>
      </c>
    </row>
    <row r="388" spans="3:8" x14ac:dyDescent="0.35">
      <c r="C388" s="8">
        <f t="shared" ca="1" si="20"/>
        <v>1.4467876869503682E-2</v>
      </c>
      <c r="D388" s="7">
        <f t="shared" ca="1" si="21"/>
        <v>7.3444366274511619E-2</v>
      </c>
      <c r="E388" s="7">
        <f t="shared" ca="1" si="22"/>
        <v>0.17049542148588714</v>
      </c>
      <c r="F388" s="7">
        <f t="shared" ca="1" si="23"/>
        <v>1.583944212208473E-2</v>
      </c>
      <c r="G388" s="7">
        <f ca="1">$C$11/(1+D388)^1
 +$D$11/(1+D388)^2
 +$E$11/(1+D388)^3
 +$F$11/(1+D388)^4
 +$G$11/(1+D388)^5
 +$H$11/(1+D388)^6
 +$I$11/(1+D388)^7
 + ( $I$11*(1+F388)/(D388-F388) )/(1+D388)^7</f>
        <v>476.36624680259195</v>
      </c>
      <c r="H388" s="7">
        <f ca="1">(G388-$C$8)/$C$9</f>
        <v>2.6283143758626863</v>
      </c>
    </row>
    <row r="389" spans="3:8" x14ac:dyDescent="0.35">
      <c r="C389" s="8">
        <f t="shared" ca="1" si="20"/>
        <v>0.62727245592157466</v>
      </c>
      <c r="D389" s="7">
        <f t="shared" ca="1" si="21"/>
        <v>9.2949267335942082E-2</v>
      </c>
      <c r="E389" s="7">
        <f t="shared" ca="1" si="22"/>
        <v>0.60941863832069909</v>
      </c>
      <c r="F389" s="7">
        <f t="shared" ca="1" si="23"/>
        <v>2.1161658960197328E-2</v>
      </c>
      <c r="G389" s="7">
        <f ca="1">$C$11/(1+D389)^1
 +$D$11/(1+D389)^2
 +$E$11/(1+D389)^3
 +$F$11/(1+D389)^4
 +$G$11/(1+D389)^5
 +$H$11/(1+D389)^6
 +$I$11/(1+D389)^7
 + ( $I$11*(1+F389)/(D389-F389) )/(1+D389)^7</f>
        <v>369.05158337584498</v>
      </c>
      <c r="H389" s="7">
        <f ca="1">(G389-$C$8)/$C$9</f>
        <v>2.0216055143365272</v>
      </c>
    </row>
    <row r="390" spans="3:8" x14ac:dyDescent="0.35">
      <c r="C390" s="8">
        <f t="shared" ca="1" si="20"/>
        <v>0.97183896346569221</v>
      </c>
      <c r="D390" s="7">
        <f t="shared" ca="1" si="21"/>
        <v>0.10531325182063725</v>
      </c>
      <c r="E390" s="7">
        <f t="shared" ca="1" si="22"/>
        <v>0.41681718919830868</v>
      </c>
      <c r="F390" s="7">
        <f t="shared" ca="1" si="23"/>
        <v>1.9130358034582309E-2</v>
      </c>
      <c r="G390" s="7">
        <f ca="1">$C$11/(1+D390)^1
 +$D$11/(1+D390)^2
 +$E$11/(1+D390)^3
 +$F$11/(1+D390)^4
 +$G$11/(1+D390)^5
 +$H$11/(1+D390)^6
 +$I$11/(1+D390)^7
 + ( $I$11*(1+F390)/(D390-F390) )/(1+D390)^7</f>
        <v>307.76002748131776</v>
      </c>
      <c r="H390" s="7">
        <f ca="1">(G390-$C$8)/$C$9</f>
        <v>1.6750906121738904</v>
      </c>
    </row>
    <row r="391" spans="3:8" x14ac:dyDescent="0.35">
      <c r="C391" s="8">
        <f t="shared" ca="1" si="20"/>
        <v>0.38182389202009703</v>
      </c>
      <c r="D391" s="7">
        <f t="shared" ca="1" si="21"/>
        <v>8.7694507381006107E-2</v>
      </c>
      <c r="E391" s="7">
        <f t="shared" ca="1" si="22"/>
        <v>0.65016394026732516</v>
      </c>
      <c r="F391" s="7">
        <f t="shared" ca="1" si="23"/>
        <v>2.1635359425143542E-2</v>
      </c>
      <c r="G391" s="7">
        <f ca="1">$C$11/(1+D391)^1
 +$D$11/(1+D391)^2
 +$E$11/(1+D391)^3
 +$F$11/(1+D391)^4
 +$G$11/(1+D391)^5
 +$H$11/(1+D391)^6
 +$I$11/(1+D391)^7
 + ( $I$11*(1+F391)/(D391-F391) )/(1+D391)^7</f>
        <v>401.4966531275935</v>
      </c>
      <c r="H391" s="7">
        <f ca="1">(G391-$C$8)/$C$9</f>
        <v>2.2050353523721928</v>
      </c>
    </row>
    <row r="392" spans="3:8" x14ac:dyDescent="0.35">
      <c r="C392" s="8">
        <f t="shared" ca="1" si="20"/>
        <v>0.55825529255053929</v>
      </c>
      <c r="D392" s="7">
        <f t="shared" ca="1" si="21"/>
        <v>9.1437649076407931E-2</v>
      </c>
      <c r="E392" s="7">
        <f t="shared" ca="1" si="22"/>
        <v>0.49809962933015395</v>
      </c>
      <c r="F392" s="7">
        <f t="shared" ca="1" si="23"/>
        <v>1.9980978201861316E-2</v>
      </c>
      <c r="G392" s="7">
        <f ca="1">$C$11/(1+D392)^1
 +$D$11/(1+D392)^2
 +$E$11/(1+D392)^3
 +$F$11/(1+D392)^4
 +$G$11/(1+D392)^5
 +$H$11/(1+D392)^6
 +$I$11/(1+D392)^7
 + ( $I$11*(1+F392)/(D392-F392) )/(1+D392)^7</f>
        <v>372.9374174489609</v>
      </c>
      <c r="H392" s="7">
        <f ca="1">(G392-$C$8)/$C$9</f>
        <v>2.0435742732302176</v>
      </c>
    </row>
    <row r="393" spans="3:8" x14ac:dyDescent="0.35">
      <c r="C393" s="8">
        <f t="shared" ca="1" si="20"/>
        <v>0.14335195528161615</v>
      </c>
      <c r="D393" s="7">
        <f t="shared" ca="1" si="21"/>
        <v>8.0841983367028622E-2</v>
      </c>
      <c r="E393" s="7">
        <f t="shared" ca="1" si="22"/>
        <v>0.32094252688075753</v>
      </c>
      <c r="F393" s="7">
        <f t="shared" ca="1" si="23"/>
        <v>1.8011772923401628E-2</v>
      </c>
      <c r="G393" s="7">
        <f ca="1">$C$11/(1+D393)^1
 +$D$11/(1+D393)^2
 +$E$11/(1+D393)^3
 +$F$11/(1+D393)^4
 +$G$11/(1+D393)^5
 +$H$11/(1+D393)^6
 +$I$11/(1+D393)^7
 + ( $I$11*(1+F393)/(D393-F393) )/(1+D393)^7</f>
        <v>430.5438613838561</v>
      </c>
      <c r="H393" s="7">
        <f ca="1">(G393-$C$8)/$C$9</f>
        <v>2.3692552090900953</v>
      </c>
    </row>
    <row r="394" spans="3:8" x14ac:dyDescent="0.35">
      <c r="C394" s="8">
        <f t="shared" ca="1" si="20"/>
        <v>0.17768983219079004</v>
      </c>
      <c r="D394" s="7">
        <f t="shared" ca="1" si="21"/>
        <v>8.207086005206124E-2</v>
      </c>
      <c r="E394" s="7">
        <f t="shared" ca="1" si="22"/>
        <v>0.43151155310391742</v>
      </c>
      <c r="F394" s="7">
        <f t="shared" ca="1" si="23"/>
        <v>1.9289903692761484E-2</v>
      </c>
      <c r="G394" s="7">
        <f ca="1">$C$11/(1+D394)^1
 +$D$11/(1+D394)^2
 +$E$11/(1+D394)^3
 +$F$11/(1+D394)^4
 +$G$11/(1+D394)^5
 +$H$11/(1+D394)^6
 +$I$11/(1+D394)^7
 + ( $I$11*(1+F394)/(D394-F394) )/(1+D394)^7</f>
        <v>428.19373706139379</v>
      </c>
      <c r="H394" s="7">
        <f ca="1">(G394-$C$8)/$C$9</f>
        <v>2.3559686627170611</v>
      </c>
    </row>
    <row r="395" spans="3:8" x14ac:dyDescent="0.35">
      <c r="C395" s="8">
        <f t="shared" ca="1" si="20"/>
        <v>0.70045547897945182</v>
      </c>
      <c r="D395" s="7">
        <f t="shared" ca="1" si="21"/>
        <v>9.4714558351292971E-2</v>
      </c>
      <c r="E395" s="7">
        <f t="shared" ca="1" si="22"/>
        <v>0.95498176478149599</v>
      </c>
      <c r="F395" s="7">
        <f t="shared" ca="1" si="23"/>
        <v>2.6999392220949096E-2</v>
      </c>
      <c r="G395" s="7">
        <f ca="1">$C$11/(1+D395)^1
 +$D$11/(1+D395)^2
 +$E$11/(1+D395)^3
 +$F$11/(1+D395)^4
 +$G$11/(1+D395)^5
 +$H$11/(1+D395)^6
 +$I$11/(1+D395)^7
 + ( $I$11*(1+F395)/(D395-F395) )/(1+D395)^7</f>
        <v>381.30815999365257</v>
      </c>
      <c r="H395" s="7">
        <f ca="1">(G395-$C$8)/$C$9</f>
        <v>2.0908986883404146</v>
      </c>
    </row>
    <row r="396" spans="3:8" x14ac:dyDescent="0.35">
      <c r="C396" s="8">
        <f t="shared" ca="1" si="20"/>
        <v>0.70159396888519565</v>
      </c>
      <c r="D396" s="7">
        <f t="shared" ca="1" si="21"/>
        <v>9.4743633975630126E-2</v>
      </c>
      <c r="E396" s="7">
        <f t="shared" ca="1" si="22"/>
        <v>0.55393710702879284</v>
      </c>
      <c r="F396" s="7">
        <f t="shared" ca="1" si="23"/>
        <v>2.0554758944619708E-2</v>
      </c>
      <c r="G396" s="7">
        <f ca="1">$C$11/(1+D396)^1
 +$D$11/(1+D396)^2
 +$E$11/(1+D396)^3
 +$F$11/(1+D396)^4
 +$G$11/(1+D396)^5
 +$H$11/(1+D396)^6
 +$I$11/(1+D396)^7
 + ( $I$11*(1+F396)/(D396-F396) )/(1+D396)^7</f>
        <v>357.63637117026286</v>
      </c>
      <c r="H396" s="7">
        <f ca="1">(G396-$C$8)/$C$9</f>
        <v>1.9570690364668863</v>
      </c>
    </row>
    <row r="397" spans="3:8" x14ac:dyDescent="0.35">
      <c r="C397" s="8">
        <f t="shared" ca="1" si="20"/>
        <v>0.9161740849917287</v>
      </c>
      <c r="D397" s="7">
        <f t="shared" ca="1" si="21"/>
        <v>0.10191394943705818</v>
      </c>
      <c r="E397" s="7">
        <f t="shared" ca="1" si="22"/>
        <v>4.5301739299447696E-2</v>
      </c>
      <c r="F397" s="7">
        <f t="shared" ca="1" si="23"/>
        <v>1.3010041172457536E-2</v>
      </c>
      <c r="G397" s="7">
        <f ca="1">$C$11/(1+D397)^1
 +$D$11/(1+D397)^2
 +$E$11/(1+D397)^3
 +$F$11/(1+D397)^4
 +$G$11/(1+D397)^5
 +$H$11/(1+D397)^6
 +$I$11/(1+D397)^7
 + ( $I$11*(1+F397)/(D397-F397) )/(1+D397)^7</f>
        <v>306.37753331819624</v>
      </c>
      <c r="H397" s="7">
        <f ca="1">(G397-$C$8)/$C$9</f>
        <v>1.6672746117039587</v>
      </c>
    </row>
    <row r="398" spans="3:8" x14ac:dyDescent="0.35">
      <c r="C398" s="8">
        <f t="shared" ca="1" si="20"/>
        <v>0.8007296116114806</v>
      </c>
      <c r="D398" s="7">
        <f t="shared" ca="1" si="21"/>
        <v>9.7532806934075136E-2</v>
      </c>
      <c r="E398" s="7">
        <f t="shared" ca="1" si="22"/>
        <v>7.0658714365750219E-2</v>
      </c>
      <c r="F398" s="7">
        <f t="shared" ca="1" si="23"/>
        <v>1.3759221046061277E-2</v>
      </c>
      <c r="G398" s="7">
        <f ca="1">$C$11/(1+D398)^1
 +$D$11/(1+D398)^2
 +$E$11/(1+D398)^3
 +$F$11/(1+D398)^4
 +$G$11/(1+D398)^5
 +$H$11/(1+D398)^6
 +$I$11/(1+D398)^7
 + ( $I$11*(1+F398)/(D398-F398) )/(1+D398)^7</f>
        <v>325.09335143660621</v>
      </c>
      <c r="H398" s="7">
        <f ca="1">(G398-$C$8)/$C$9</f>
        <v>1.7730854332689179</v>
      </c>
    </row>
    <row r="399" spans="3:8" x14ac:dyDescent="0.35">
      <c r="C399" s="8">
        <f t="shared" ca="1" si="20"/>
        <v>0.90201298861252832</v>
      </c>
      <c r="D399" s="7">
        <f t="shared" ca="1" si="21"/>
        <v>0.10125758220614985</v>
      </c>
      <c r="E399" s="7">
        <f t="shared" ca="1" si="22"/>
        <v>0.92673563837887307</v>
      </c>
      <c r="F399" s="7">
        <f t="shared" ca="1" si="23"/>
        <v>2.6172092957734556E-2</v>
      </c>
      <c r="G399" s="7">
        <f ca="1">$C$11/(1+D399)^1
 +$D$11/(1+D399)^2
 +$E$11/(1+D399)^3
 +$F$11/(1+D399)^4
 +$G$11/(1+D399)^5
 +$H$11/(1+D399)^6
 +$I$11/(1+D399)^7
 + ( $I$11*(1+F399)/(D399-F399) )/(1+D399)^7</f>
        <v>343.92220276172969</v>
      </c>
      <c r="H399" s="7">
        <f ca="1">(G399-$C$8)/$C$9</f>
        <v>1.8795352937682592</v>
      </c>
    </row>
    <row r="400" spans="3:8" x14ac:dyDescent="0.35">
      <c r="C400" s="8">
        <f t="shared" ca="1" si="20"/>
        <v>0.76883568199771668</v>
      </c>
      <c r="D400" s="7">
        <f t="shared" ca="1" si="21"/>
        <v>9.6572112301565038E-2</v>
      </c>
      <c r="E400" s="7">
        <f t="shared" ca="1" si="22"/>
        <v>0.29937039230051321</v>
      </c>
      <c r="F400" s="7">
        <f t="shared" ca="1" si="23"/>
        <v>1.7737834222836688E-2</v>
      </c>
      <c r="G400" s="7">
        <f ca="1">$C$11/(1+D400)^1
 +$D$11/(1+D400)^2
 +$E$11/(1+D400)^3
 +$F$11/(1+D400)^4
 +$G$11/(1+D400)^5
 +$H$11/(1+D400)^6
 +$I$11/(1+D400)^7
 + ( $I$11*(1+F400)/(D400-F400) )/(1+D400)^7</f>
        <v>340.12979934539356</v>
      </c>
      <c r="H400" s="7">
        <f ca="1">(G400-$C$8)/$C$9</f>
        <v>1.8580947498043507</v>
      </c>
    </row>
    <row r="401" spans="3:8" x14ac:dyDescent="0.35">
      <c r="C401" s="8">
        <f t="shared" ref="C401:C464" ca="1" si="24">RAND()</f>
        <v>0.80498316289406036</v>
      </c>
      <c r="D401" s="7">
        <f t="shared" ref="D401:D464" ca="1" si="25">IF(C401&lt;(0.0905-0.07)/(0.11-0.07),
 0.07+SQRT(C401*(0.11-0.07)*(0.0905-0.07)),
 0.11-SQRT((1-C401)*(0.11-0.07)*(0.11-0.0905))
)</f>
        <v>9.7666584700796255E-2</v>
      </c>
      <c r="E401" s="7">
        <f t="shared" ref="E401:E464" ca="1" si="26">RAND()</f>
        <v>0.27935153217970154</v>
      </c>
      <c r="F401" s="7">
        <f t="shared" ref="F401:F464" ca="1" si="27">MIN(
 IF(E401&lt;(0.02-0.01)/(0.03-0.01),
   0.01+SQRT(E401*(0.03-0.01)*(0.02-0.01)),
   0.03-SQRT((1-E401)*(0.03-0.01)*(0.03-0.02))
 ),
 D401-0.005
)</f>
        <v>1.7474644234740561E-2</v>
      </c>
      <c r="G401" s="7">
        <f ca="1">$C$11/(1+D401)^1
 +$D$11/(1+D401)^2
 +$E$11/(1+D401)^3
 +$F$11/(1+D401)^4
 +$G$11/(1+D401)^5
 +$H$11/(1+D401)^6
 +$I$11/(1+D401)^7
 + ( $I$11*(1+F401)/(D401-F401) )/(1+D401)^7</f>
        <v>334.50659199892596</v>
      </c>
      <c r="H401" s="7">
        <f ca="1">(G401-$C$8)/$C$9</f>
        <v>1.8263036634946062</v>
      </c>
    </row>
    <row r="402" spans="3:8" x14ac:dyDescent="0.35">
      <c r="C402" s="8">
        <f t="shared" ca="1" si="24"/>
        <v>0.3561094094139875</v>
      </c>
      <c r="D402" s="7">
        <f t="shared" ca="1" si="25"/>
        <v>8.7088291773008503E-2</v>
      </c>
      <c r="E402" s="7">
        <f t="shared" ca="1" si="26"/>
        <v>0.82901640069102178</v>
      </c>
      <c r="F402" s="7">
        <f t="shared" ca="1" si="27"/>
        <v>2.4152203845738497E-2</v>
      </c>
      <c r="G402" s="7">
        <f ca="1">$C$11/(1+D402)^1
 +$D$11/(1+D402)^2
 +$E$11/(1+D402)^3
 +$F$11/(1+D402)^4
 +$G$11/(1+D402)^5
 +$H$11/(1+D402)^6
 +$I$11/(1+D402)^7
 + ( $I$11*(1+F402)/(D402-F402) )/(1+D402)^7</f>
        <v>417.0414041039071</v>
      </c>
      <c r="H402" s="7">
        <f ca="1">(G402-$C$8)/$C$9</f>
        <v>2.292918385933441</v>
      </c>
    </row>
    <row r="403" spans="3:8" x14ac:dyDescent="0.35">
      <c r="C403" s="8">
        <f t="shared" ca="1" si="24"/>
        <v>0.43342345658786852</v>
      </c>
      <c r="D403" s="7">
        <f t="shared" ca="1" si="25"/>
        <v>8.8852247462890263E-2</v>
      </c>
      <c r="E403" s="7">
        <f t="shared" ca="1" si="26"/>
        <v>0.40861793550768666</v>
      </c>
      <c r="F403" s="7">
        <f t="shared" ca="1" si="27"/>
        <v>1.9040109905390384E-2</v>
      </c>
      <c r="G403" s="7">
        <f ca="1">$C$11/(1+D403)^1
 +$D$11/(1+D403)^2
 +$E$11/(1+D403)^3
 +$F$11/(1+D403)^4
 +$G$11/(1+D403)^5
 +$H$11/(1+D403)^6
 +$I$11/(1+D403)^7
 + ( $I$11*(1+F403)/(D403-F403) )/(1+D403)^7</f>
        <v>383.84016540510925</v>
      </c>
      <c r="H403" s="7">
        <f ca="1">(G403-$C$8)/$C$9</f>
        <v>2.1052135086222821</v>
      </c>
    </row>
    <row r="404" spans="3:8" x14ac:dyDescent="0.35">
      <c r="C404" s="8">
        <f t="shared" ca="1" si="24"/>
        <v>0.27388615302838093</v>
      </c>
      <c r="D404" s="7">
        <f t="shared" ca="1" si="25"/>
        <v>8.4986215182068905E-2</v>
      </c>
      <c r="E404" s="7">
        <f t="shared" ca="1" si="26"/>
        <v>0.85661920848713413</v>
      </c>
      <c r="F404" s="7">
        <f t="shared" ca="1" si="27"/>
        <v>2.4644987553462346E-2</v>
      </c>
      <c r="G404" s="7">
        <f ca="1">$C$11/(1+D404)^1
 +$D$11/(1+D404)^2
 +$E$11/(1+D404)^3
 +$F$11/(1+D404)^4
 +$G$11/(1+D404)^5
 +$H$11/(1+D404)^6
 +$I$11/(1+D404)^7
 + ( $I$11*(1+F404)/(D404-F404) )/(1+D404)^7</f>
        <v>434.56590364275229</v>
      </c>
      <c r="H404" s="7">
        <f ca="1">(G404-$C$8)/$C$9</f>
        <v>2.3919940278310281</v>
      </c>
    </row>
    <row r="405" spans="3:8" x14ac:dyDescent="0.35">
      <c r="C405" s="8">
        <f t="shared" ca="1" si="24"/>
        <v>0.24192247345716167</v>
      </c>
      <c r="D405" s="7">
        <f t="shared" ca="1" si="25"/>
        <v>8.4084616723037686E-2</v>
      </c>
      <c r="E405" s="7">
        <f t="shared" ca="1" si="26"/>
        <v>0.56962782547873125</v>
      </c>
      <c r="F405" s="7">
        <f t="shared" ca="1" si="27"/>
        <v>2.0722369111445867E-2</v>
      </c>
      <c r="G405" s="7">
        <f ca="1">$C$11/(1+D405)^1
 +$D$11/(1+D405)^2
 +$E$11/(1+D405)^3
 +$F$11/(1+D405)^4
 +$G$11/(1+D405)^5
 +$H$11/(1+D405)^6
 +$I$11/(1+D405)^7
 + ( $I$11*(1+F405)/(D405-F405) )/(1+D405)^7</f>
        <v>421.13993407865991</v>
      </c>
      <c r="H405" s="7">
        <f ca="1">(G405-$C$8)/$C$9</f>
        <v>2.3160896318332198</v>
      </c>
    </row>
    <row r="406" spans="3:8" x14ac:dyDescent="0.35">
      <c r="C406" s="8">
        <f t="shared" ca="1" si="24"/>
        <v>0.30381655097687954</v>
      </c>
      <c r="D406" s="7">
        <f t="shared" ca="1" si="25"/>
        <v>8.5783838943712054E-2</v>
      </c>
      <c r="E406" s="7">
        <f t="shared" ca="1" si="26"/>
        <v>0.31933300181111135</v>
      </c>
      <c r="F406" s="7">
        <f t="shared" ca="1" si="27"/>
        <v>1.7991658173509568E-2</v>
      </c>
      <c r="G406" s="7">
        <f ca="1">$C$11/(1+D406)^1
 +$D$11/(1+D406)^2
 +$E$11/(1+D406)^3
 +$F$11/(1+D406)^4
 +$G$11/(1+D406)^5
 +$H$11/(1+D406)^6
 +$I$11/(1+D406)^7
 + ( $I$11*(1+F406)/(D406-F406) )/(1+D406)^7</f>
        <v>397.79407860529886</v>
      </c>
      <c r="H406" s="7">
        <f ca="1">(G406-$C$8)/$C$9</f>
        <v>2.1841026605907894</v>
      </c>
    </row>
    <row r="407" spans="3:8" x14ac:dyDescent="0.35">
      <c r="C407" s="8">
        <f t="shared" ca="1" si="24"/>
        <v>0.58925649475981068</v>
      </c>
      <c r="D407" s="7">
        <f t="shared" ca="1" si="25"/>
        <v>9.2100839849664801E-2</v>
      </c>
      <c r="E407" s="7">
        <f t="shared" ca="1" si="26"/>
        <v>0.35446182716155084</v>
      </c>
      <c r="F407" s="7">
        <f t="shared" ca="1" si="27"/>
        <v>1.8419760414186984E-2</v>
      </c>
      <c r="G407" s="7">
        <f ca="1">$C$11/(1+D407)^1
 +$D$11/(1+D407)^2
 +$E$11/(1+D407)^3
 +$F$11/(1+D407)^4
 +$G$11/(1+D407)^5
 +$H$11/(1+D407)^6
 +$I$11/(1+D407)^7
 + ( $I$11*(1+F407)/(D407-F407) )/(1+D407)^7</f>
        <v>363.89676059693556</v>
      </c>
      <c r="H407" s="7">
        <f ca="1">(G407-$C$8)/$C$9</f>
        <v>1.9924624637999522</v>
      </c>
    </row>
    <row r="408" spans="3:8" x14ac:dyDescent="0.35">
      <c r="C408" s="8">
        <f t="shared" ca="1" si="24"/>
        <v>2.2282593564944997E-2</v>
      </c>
      <c r="D408" s="7">
        <f t="shared" ca="1" si="25"/>
        <v>7.4274544036883342E-2</v>
      </c>
      <c r="E408" s="7">
        <f t="shared" ca="1" si="26"/>
        <v>0.12902902938534144</v>
      </c>
      <c r="F408" s="7">
        <f t="shared" ca="1" si="27"/>
        <v>1.5079941522996923E-2</v>
      </c>
      <c r="G408" s="7">
        <f ca="1">$C$11/(1+D408)^1
 +$D$11/(1+D408)^2
 +$E$11/(1+D408)^3
 +$F$11/(1+D408)^4
 +$G$11/(1+D408)^5
 +$H$11/(1+D408)^6
 +$I$11/(1+D408)^7
 + ( $I$11*(1+F408)/(D408-F408) )/(1+D408)^7</f>
        <v>464.82095609302445</v>
      </c>
      <c r="H408" s="7">
        <f ca="1">(G408-$C$8)/$C$9</f>
        <v>2.5630424926109479</v>
      </c>
    </row>
    <row r="409" spans="3:8" x14ac:dyDescent="0.35">
      <c r="C409" s="8">
        <f t="shared" ca="1" si="24"/>
        <v>0.96380315669470662</v>
      </c>
      <c r="D409" s="7">
        <f t="shared" ca="1" si="25"/>
        <v>0.10468647595487432</v>
      </c>
      <c r="E409" s="7">
        <f t="shared" ca="1" si="26"/>
        <v>0.61747669533944072</v>
      </c>
      <c r="F409" s="7">
        <f t="shared" ca="1" si="27"/>
        <v>2.1253305714036198E-2</v>
      </c>
      <c r="G409" s="7">
        <f ca="1">$C$11/(1+D409)^1
 +$D$11/(1+D409)^2
 +$E$11/(1+D409)^3
 +$F$11/(1+D409)^4
 +$G$11/(1+D409)^5
 +$H$11/(1+D409)^6
 +$I$11/(1+D409)^7
 + ( $I$11*(1+F409)/(D409-F409) )/(1+D409)^7</f>
        <v>315.29060900041532</v>
      </c>
      <c r="H409" s="7">
        <f ca="1">(G409-$C$8)/$C$9</f>
        <v>1.7176651345568481</v>
      </c>
    </row>
    <row r="410" spans="3:8" x14ac:dyDescent="0.35">
      <c r="C410" s="8">
        <f t="shared" ca="1" si="24"/>
        <v>0.90616015319167864</v>
      </c>
      <c r="D410" s="7">
        <f t="shared" ca="1" si="25"/>
        <v>0.10144458764813229</v>
      </c>
      <c r="E410" s="7">
        <f t="shared" ca="1" si="26"/>
        <v>0.37200986680873849</v>
      </c>
      <c r="F410" s="7">
        <f t="shared" ca="1" si="27"/>
        <v>1.8625657850955352E-2</v>
      </c>
      <c r="G410" s="7">
        <f ca="1">$C$11/(1+D410)^1
 +$D$11/(1+D410)^2
 +$E$11/(1+D410)^3
 +$F$11/(1+D410)^4
 +$G$11/(1+D410)^5
 +$H$11/(1+D410)^6
 +$I$11/(1+D410)^7
 + ( $I$11*(1+F410)/(D410-F410) )/(1+D410)^7</f>
        <v>321.6453228023089</v>
      </c>
      <c r="H410" s="7">
        <f ca="1">(G410-$C$8)/$C$9</f>
        <v>1.7535918295019723</v>
      </c>
    </row>
    <row r="411" spans="3:8" x14ac:dyDescent="0.35">
      <c r="C411" s="8">
        <f t="shared" ca="1" si="24"/>
        <v>0.27300680056150695</v>
      </c>
      <c r="D411" s="7">
        <f t="shared" ca="1" si="25"/>
        <v>8.4962138097893491E-2</v>
      </c>
      <c r="E411" s="7">
        <f t="shared" ca="1" si="26"/>
        <v>0.70849474570751891</v>
      </c>
      <c r="F411" s="7">
        <f t="shared" ca="1" si="27"/>
        <v>2.2364487518280372E-2</v>
      </c>
      <c r="G411" s="7">
        <f ca="1">$C$11/(1+D411)^1
 +$D$11/(1+D411)^2
 +$E$11/(1+D411)^3
 +$F$11/(1+D411)^4
 +$G$11/(1+D411)^5
 +$H$11/(1+D411)^6
 +$I$11/(1+D411)^7
 + ( $I$11*(1+F411)/(D411-F411) )/(1+D411)^7</f>
        <v>423.06261258719974</v>
      </c>
      <c r="H411" s="7">
        <f ca="1">(G411-$C$8)/$C$9</f>
        <v>2.326959591741292</v>
      </c>
    </row>
    <row r="412" spans="3:8" x14ac:dyDescent="0.35">
      <c r="C412" s="8">
        <f t="shared" ca="1" si="24"/>
        <v>0.2843730709053951</v>
      </c>
      <c r="D412" s="7">
        <f t="shared" ca="1" si="25"/>
        <v>8.5270426259355825E-2</v>
      </c>
      <c r="E412" s="7">
        <f t="shared" ca="1" si="26"/>
        <v>0.56230819545715927</v>
      </c>
      <c r="F412" s="7">
        <f t="shared" ca="1" si="27"/>
        <v>2.0643806280940515E-2</v>
      </c>
      <c r="G412" s="7">
        <f ca="1">$C$11/(1+D412)^1
 +$D$11/(1+D412)^2
 +$E$11/(1+D412)^3
 +$F$11/(1+D412)^4
 +$G$11/(1+D412)^5
 +$H$11/(1+D412)^6
 +$I$11/(1+D412)^7
 + ( $I$11*(1+F412)/(D412-F412) )/(1+D412)^7</f>
        <v>412.73959194996377</v>
      </c>
      <c r="H412" s="7">
        <f ca="1">(G412-$C$8)/$C$9</f>
        <v>2.2685978739821562</v>
      </c>
    </row>
    <row r="413" spans="3:8" x14ac:dyDescent="0.35">
      <c r="C413" s="8">
        <f t="shared" ca="1" si="24"/>
        <v>0.41852422667416578</v>
      </c>
      <c r="D413" s="7">
        <f t="shared" ca="1" si="25"/>
        <v>8.8525384365049378E-2</v>
      </c>
      <c r="E413" s="7">
        <f t="shared" ca="1" si="26"/>
        <v>0.95257903224250229</v>
      </c>
      <c r="F413" s="7">
        <f t="shared" ca="1" si="27"/>
        <v>2.6920358210521952E-2</v>
      </c>
      <c r="G413" s="7">
        <f ca="1">$C$11/(1+D413)^1
 +$D$11/(1+D413)^2
 +$E$11/(1+D413)^3
 +$F$11/(1+D413)^4
 +$G$11/(1+D413)^5
 +$H$11/(1+D413)^6
 +$I$11/(1+D413)^7
 + ( $I$11*(1+F413)/(D413-F413) )/(1+D413)^7</f>
        <v>420.63793980694584</v>
      </c>
      <c r="H413" s="7">
        <f ca="1">(G413-$C$8)/$C$9</f>
        <v>2.3132515819026787</v>
      </c>
    </row>
    <row r="414" spans="3:8" x14ac:dyDescent="0.35">
      <c r="C414" s="8">
        <f t="shared" ca="1" si="24"/>
        <v>0.124939346058346</v>
      </c>
      <c r="D414" s="7">
        <f t="shared" ca="1" si="25"/>
        <v>8.0121771770191419E-2</v>
      </c>
      <c r="E414" s="7">
        <f t="shared" ca="1" si="26"/>
        <v>0.88758277116098139</v>
      </c>
      <c r="F414" s="7">
        <f t="shared" ca="1" si="27"/>
        <v>2.5258328800116595E-2</v>
      </c>
      <c r="G414" s="7">
        <f ca="1">$C$11/(1+D414)^1
 +$D$11/(1+D414)^2
 +$E$11/(1+D414)^3
 +$F$11/(1+D414)^4
 +$G$11/(1+D414)^5
 +$H$11/(1+D414)^6
 +$I$11/(1+D414)^7
 + ( $I$11*(1+F414)/(D414-F414) )/(1+D414)^7</f>
        <v>477.99338490688922</v>
      </c>
      <c r="H414" s="7">
        <f ca="1">(G414-$C$8)/$C$9</f>
        <v>2.637513483191368</v>
      </c>
    </row>
    <row r="415" spans="3:8" x14ac:dyDescent="0.35">
      <c r="C415" s="8">
        <f t="shared" ca="1" si="24"/>
        <v>0.23885954489142047</v>
      </c>
      <c r="D415" s="7">
        <f t="shared" ca="1" si="25"/>
        <v>8.3995171553466752E-2</v>
      </c>
      <c r="E415" s="7">
        <f t="shared" ca="1" si="26"/>
        <v>0.98779849367875339</v>
      </c>
      <c r="F415" s="7">
        <f t="shared" ca="1" si="27"/>
        <v>2.8437853635458789E-2</v>
      </c>
      <c r="G415" s="7">
        <f ca="1">$C$11/(1+D415)^1
 +$D$11/(1+D415)^2
 +$E$11/(1+D415)^3
 +$F$11/(1+D415)^4
 +$G$11/(1+D415)^5
 +$H$11/(1+D415)^6
 +$I$11/(1+D415)^7
 + ( $I$11*(1+F415)/(D415-F415) )/(1+D415)^7</f>
        <v>464.43997042147737</v>
      </c>
      <c r="H415" s="7">
        <f ca="1">(G415-$C$8)/$C$9</f>
        <v>2.5608885709038747</v>
      </c>
    </row>
    <row r="416" spans="3:8" x14ac:dyDescent="0.35">
      <c r="C416" s="8">
        <f t="shared" ca="1" si="24"/>
        <v>0.65112531518356698</v>
      </c>
      <c r="D416" s="7">
        <f t="shared" ca="1" si="25"/>
        <v>9.3503871540363853E-2</v>
      </c>
      <c r="E416" s="7">
        <f t="shared" ca="1" si="26"/>
        <v>0.24487437542567836</v>
      </c>
      <c r="F416" s="7">
        <f t="shared" ca="1" si="27"/>
        <v>1.6998205133113467E-2</v>
      </c>
      <c r="G416" s="7">
        <f ca="1">$C$11/(1+D416)^1
 +$D$11/(1+D416)^2
 +$E$11/(1+D416)^3
 +$F$11/(1+D416)^4
 +$G$11/(1+D416)^5
 +$H$11/(1+D416)^6
 +$I$11/(1+D416)^7
 + ( $I$11*(1+F416)/(D416-F416) )/(1+D416)^7</f>
        <v>352.22135247887985</v>
      </c>
      <c r="H416" s="7">
        <f ca="1">(G416-$C$8)/$C$9</f>
        <v>1.9264549552175476</v>
      </c>
    </row>
    <row r="417" spans="3:8" x14ac:dyDescent="0.35">
      <c r="C417" s="8">
        <f t="shared" ca="1" si="24"/>
        <v>0.11258695308752287</v>
      </c>
      <c r="D417" s="7">
        <f t="shared" ca="1" si="25"/>
        <v>7.9608397448678356E-2</v>
      </c>
      <c r="E417" s="7">
        <f t="shared" ca="1" si="26"/>
        <v>0.44642445793694741</v>
      </c>
      <c r="F417" s="7">
        <f t="shared" ca="1" si="27"/>
        <v>1.9449068292026972E-2</v>
      </c>
      <c r="G417" s="7">
        <f ca="1">$C$11/(1+D417)^1
 +$D$11/(1+D417)^2
 +$E$11/(1+D417)^3
 +$F$11/(1+D417)^4
 +$G$11/(1+D417)^5
 +$H$11/(1+D417)^6
 +$I$11/(1+D417)^7
 + ( $I$11*(1+F417)/(D417-F417) )/(1+D417)^7</f>
        <v>447.24875141562666</v>
      </c>
      <c r="H417" s="7">
        <f ca="1">(G417-$C$8)/$C$9</f>
        <v>2.463697147306799</v>
      </c>
    </row>
    <row r="418" spans="3:8" x14ac:dyDescent="0.35">
      <c r="C418" s="8">
        <f t="shared" ca="1" si="24"/>
        <v>0.76036344733348937</v>
      </c>
      <c r="D418" s="7">
        <f t="shared" ca="1" si="25"/>
        <v>9.6328258666875013E-2</v>
      </c>
      <c r="E418" s="7">
        <f t="shared" ca="1" si="26"/>
        <v>0.75838299357910333</v>
      </c>
      <c r="F418" s="7">
        <f t="shared" ca="1" si="27"/>
        <v>2.3048496473123292E-2</v>
      </c>
      <c r="G418" s="7">
        <f ca="1">$C$11/(1+D418)^1
 +$D$11/(1+D418)^2
 +$E$11/(1+D418)^3
 +$F$11/(1+D418)^4
 +$G$11/(1+D418)^5
 +$H$11/(1+D418)^6
 +$I$11/(1+D418)^7
 + ( $I$11*(1+F418)/(D418-F418) )/(1+D418)^7</f>
        <v>357.99158088442431</v>
      </c>
      <c r="H418" s="7">
        <f ca="1">(G418-$C$8)/$C$9</f>
        <v>1.9590772324990067</v>
      </c>
    </row>
    <row r="419" spans="3:8" x14ac:dyDescent="0.35">
      <c r="C419" s="8">
        <f t="shared" ca="1" si="24"/>
        <v>0.65797256674180904</v>
      </c>
      <c r="D419" s="7">
        <f t="shared" ca="1" si="25"/>
        <v>9.3666555845707586E-2</v>
      </c>
      <c r="E419" s="7">
        <f t="shared" ca="1" si="26"/>
        <v>0.48998360887862868</v>
      </c>
      <c r="F419" s="7">
        <f t="shared" ca="1" si="27"/>
        <v>1.9899329359897352E-2</v>
      </c>
      <c r="G419" s="7">
        <f ca="1">$C$11/(1+D419)^1
 +$D$11/(1+D419)^2
 +$E$11/(1+D419)^3
 +$F$11/(1+D419)^4
 +$G$11/(1+D419)^5
 +$H$11/(1+D419)^6
 +$I$11/(1+D419)^7
 + ( $I$11*(1+F419)/(D419-F419) )/(1+D419)^7</f>
        <v>360.89546318112048</v>
      </c>
      <c r="H419" s="7">
        <f ca="1">(G419-$C$8)/$C$9</f>
        <v>1.9754944775052039</v>
      </c>
    </row>
    <row r="420" spans="3:8" x14ac:dyDescent="0.35">
      <c r="C420" s="8">
        <f t="shared" ca="1" si="24"/>
        <v>0.91230196184266243</v>
      </c>
      <c r="D420" s="7">
        <f t="shared" ca="1" si="25"/>
        <v>0.10172930052760208</v>
      </c>
      <c r="E420" s="7">
        <f t="shared" ca="1" si="26"/>
        <v>0.57140538698334542</v>
      </c>
      <c r="F420" s="7">
        <f t="shared" ca="1" si="27"/>
        <v>2.074154858503157E-2</v>
      </c>
      <c r="G420" s="7">
        <f ca="1">$C$11/(1+D420)^1
 +$D$11/(1+D420)^2
 +$E$11/(1+D420)^3
 +$F$11/(1+D420)^4
 +$G$11/(1+D420)^5
 +$H$11/(1+D420)^6
 +$I$11/(1+D420)^7
 + ( $I$11*(1+F420)/(D420-F420) )/(1+D420)^7</f>
        <v>326.03550856029739</v>
      </c>
      <c r="H420" s="7">
        <f ca="1">(G420-$C$8)/$C$9</f>
        <v>1.7784119660803785</v>
      </c>
    </row>
    <row r="421" spans="3:8" x14ac:dyDescent="0.35">
      <c r="C421" s="8">
        <f t="shared" ca="1" si="24"/>
        <v>0.98769013541449835</v>
      </c>
      <c r="D421" s="7">
        <f t="shared" ca="1" si="25"/>
        <v>0.10690133990623507</v>
      </c>
      <c r="E421" s="7">
        <f t="shared" ca="1" si="26"/>
        <v>0.3733131718638506</v>
      </c>
      <c r="F421" s="7">
        <f t="shared" ca="1" si="27"/>
        <v>1.8640754271055861E-2</v>
      </c>
      <c r="G421" s="7">
        <f ca="1">$C$11/(1+D421)^1
 +$D$11/(1+D421)^2
 +$E$11/(1+D421)^3
 +$F$11/(1+D421)^4
 +$G$11/(1+D421)^5
 +$H$11/(1+D421)^6
 +$I$11/(1+D421)^7
 + ( $I$11*(1+F421)/(D421-F421) )/(1+D421)^7</f>
        <v>300.83021824454039</v>
      </c>
      <c r="H421" s="7">
        <f ca="1">(G421-$C$8)/$C$9</f>
        <v>1.6359125861857777</v>
      </c>
    </row>
    <row r="422" spans="3:8" x14ac:dyDescent="0.35">
      <c r="C422" s="8">
        <f t="shared" ca="1" si="24"/>
        <v>0.77273675184764667</v>
      </c>
      <c r="D422" s="7">
        <f t="shared" ca="1" si="25"/>
        <v>9.6685897192869671E-2</v>
      </c>
      <c r="E422" s="7">
        <f t="shared" ca="1" si="26"/>
        <v>0.37298278148157249</v>
      </c>
      <c r="F422" s="7">
        <f t="shared" ca="1" si="27"/>
        <v>1.8636929795726863E-2</v>
      </c>
      <c r="G422" s="7">
        <f ca="1">$C$11/(1+D422)^1
 +$D$11/(1+D422)^2
 +$E$11/(1+D422)^3
 +$F$11/(1+D422)^4
 +$G$11/(1+D422)^5
 +$H$11/(1+D422)^6
 +$I$11/(1+D422)^7
 + ( $I$11*(1+F422)/(D422-F422) )/(1+D422)^7</f>
        <v>342.26191428601737</v>
      </c>
      <c r="H422" s="7">
        <f ca="1">(G422-$C$8)/$C$9</f>
        <v>1.8701487691430199</v>
      </c>
    </row>
    <row r="423" spans="3:8" x14ac:dyDescent="0.35">
      <c r="C423" s="8">
        <f t="shared" ca="1" si="24"/>
        <v>0.77562010132560044</v>
      </c>
      <c r="D423" s="7">
        <f t="shared" ca="1" si="25"/>
        <v>9.6770626584526703E-2</v>
      </c>
      <c r="E423" s="7">
        <f t="shared" ca="1" si="26"/>
        <v>0.84162074478748328</v>
      </c>
      <c r="F423" s="7">
        <f t="shared" ca="1" si="27"/>
        <v>2.4371869667242651E-2</v>
      </c>
      <c r="G423" s="7">
        <f ca="1">$C$11/(1+D423)^1
 +$D$11/(1+D423)^2
 +$E$11/(1+D423)^3
 +$F$11/(1+D423)^4
 +$G$11/(1+D423)^5
 +$H$11/(1+D423)^6
 +$I$11/(1+D423)^7
 + ( $I$11*(1+F423)/(D423-F423) )/(1+D423)^7</f>
        <v>360.24978084933309</v>
      </c>
      <c r="H423" s="7">
        <f ca="1">(G423-$C$8)/$C$9</f>
        <v>1.9718440798808972</v>
      </c>
    </row>
    <row r="424" spans="3:8" x14ac:dyDescent="0.35">
      <c r="C424" s="8">
        <f t="shared" ca="1" si="24"/>
        <v>0.29359282909002737</v>
      </c>
      <c r="D424" s="7">
        <f t="shared" ca="1" si="25"/>
        <v>8.5515995612716014E-2</v>
      </c>
      <c r="E424" s="7">
        <f t="shared" ca="1" si="26"/>
        <v>0.26961064573756566</v>
      </c>
      <c r="F424" s="7">
        <f t="shared" ca="1" si="27"/>
        <v>1.7343168876412494E-2</v>
      </c>
      <c r="G424" s="7">
        <f ca="1">$C$11/(1+D424)^1
 +$D$11/(1+D424)^2
 +$E$11/(1+D424)^3
 +$F$11/(1+D424)^4
 +$G$11/(1+D424)^5
 +$H$11/(1+D424)^6
 +$I$11/(1+D424)^7
 + ( $I$11*(1+F424)/(D424-F424) )/(1+D424)^7</f>
        <v>396.72385770404378</v>
      </c>
      <c r="H424" s="7">
        <f ca="1">(G424-$C$8)/$C$9</f>
        <v>2.1780521127546573</v>
      </c>
    </row>
    <row r="425" spans="3:8" x14ac:dyDescent="0.35">
      <c r="C425" s="8">
        <f t="shared" ca="1" si="24"/>
        <v>3.9529921000526769E-2</v>
      </c>
      <c r="D425" s="7">
        <f t="shared" ca="1" si="25"/>
        <v>7.5693376434105869E-2</v>
      </c>
      <c r="E425" s="7">
        <f t="shared" ca="1" si="26"/>
        <v>0.35350276570053452</v>
      </c>
      <c r="F425" s="7">
        <f t="shared" ca="1" si="27"/>
        <v>1.840836209615802E-2</v>
      </c>
      <c r="G425" s="7">
        <f ca="1">$C$11/(1+D425)^1
 +$D$11/(1+D425)^2
 +$E$11/(1+D425)^3
 +$F$11/(1+D425)^4
 +$G$11/(1+D425)^5
 +$H$11/(1+D425)^6
 +$I$11/(1+D425)^7
 + ( $I$11*(1+F425)/(D425-F425) )/(1+D425)^7</f>
        <v>473.0107635793907</v>
      </c>
      <c r="H425" s="7">
        <f ca="1">(G425-$C$8)/$C$9</f>
        <v>2.6093439822444067</v>
      </c>
    </row>
    <row r="426" spans="3:8" x14ac:dyDescent="0.35">
      <c r="C426" s="8">
        <f t="shared" ca="1" si="24"/>
        <v>0.36850502335412039</v>
      </c>
      <c r="D426" s="7">
        <f t="shared" ca="1" si="25"/>
        <v>8.7383156190703082E-2</v>
      </c>
      <c r="E426" s="7">
        <f t="shared" ca="1" si="26"/>
        <v>0.69794753493857797</v>
      </c>
      <c r="F426" s="7">
        <f t="shared" ca="1" si="27"/>
        <v>2.2227581263706619E-2</v>
      </c>
      <c r="G426" s="7">
        <f ca="1">$C$11/(1+D426)^1
 +$D$11/(1+D426)^2
 +$E$11/(1+D426)^3
 +$F$11/(1+D426)^4
 +$G$11/(1+D426)^5
 +$H$11/(1+D426)^6
 +$I$11/(1+D426)^7
 + ( $I$11*(1+F426)/(D426-F426) )/(1+D426)^7</f>
        <v>406.11118546197702</v>
      </c>
      <c r="H426" s="7">
        <f ca="1">(G426-$C$8)/$C$9</f>
        <v>2.2311238436339722</v>
      </c>
    </row>
    <row r="427" spans="3:8" x14ac:dyDescent="0.35">
      <c r="C427" s="8">
        <f t="shared" ca="1" si="24"/>
        <v>0.1570014859842479</v>
      </c>
      <c r="D427" s="7">
        <f t="shared" ca="1" si="25"/>
        <v>8.1346418752499983E-2</v>
      </c>
      <c r="E427" s="7">
        <f t="shared" ca="1" si="26"/>
        <v>9.9826124362962232E-2</v>
      </c>
      <c r="F427" s="7">
        <f t="shared" ca="1" si="27"/>
        <v>1.4468246286026817E-2</v>
      </c>
      <c r="G427" s="7">
        <f ca="1">$C$11/(1+D427)^1
 +$D$11/(1+D427)^2
 +$E$11/(1+D427)^3
 +$F$11/(1+D427)^4
 +$G$11/(1+D427)^5
 +$H$11/(1+D427)^6
 +$I$11/(1+D427)^7
 + ( $I$11*(1+F427)/(D427-F427) )/(1+D427)^7</f>
        <v>410.46552492875628</v>
      </c>
      <c r="H427" s="7">
        <f ca="1">(G427-$C$8)/$C$9</f>
        <v>2.2557413213973105</v>
      </c>
    </row>
    <row r="428" spans="3:8" x14ac:dyDescent="0.35">
      <c r="C428" s="8">
        <f t="shared" ca="1" si="24"/>
        <v>0.98616766453800708</v>
      </c>
      <c r="D428" s="7">
        <f t="shared" ca="1" si="25"/>
        <v>0.10671530493647363</v>
      </c>
      <c r="E428" s="7">
        <f t="shared" ca="1" si="26"/>
        <v>0.14226625604054144</v>
      </c>
      <c r="F428" s="7">
        <f t="shared" ca="1" si="27"/>
        <v>1.5334158903529991E-2</v>
      </c>
      <c r="G428" s="7">
        <f ca="1">$C$11/(1+D428)^1
 +$D$11/(1+D428)^2
 +$E$11/(1+D428)^3
 +$F$11/(1+D428)^4
 +$G$11/(1+D428)^5
 +$H$11/(1+D428)^6
 +$I$11/(1+D428)^7
 + ( $I$11*(1+F428)/(D428-F428) )/(1+D428)^7</f>
        <v>294.44388135179247</v>
      </c>
      <c r="H428" s="7">
        <f ca="1">(G428-$C$8)/$C$9</f>
        <v>1.5998071085017664</v>
      </c>
    </row>
    <row r="429" spans="3:8" x14ac:dyDescent="0.35">
      <c r="C429" s="8">
        <f t="shared" ca="1" si="24"/>
        <v>9.1545212094504835E-3</v>
      </c>
      <c r="D429" s="7">
        <f t="shared" ca="1" si="25"/>
        <v>7.273983711044095E-2</v>
      </c>
      <c r="E429" s="7">
        <f t="shared" ca="1" si="26"/>
        <v>0.58556080101566688</v>
      </c>
      <c r="F429" s="7">
        <f t="shared" ca="1" si="27"/>
        <v>2.0895724092665765E-2</v>
      </c>
      <c r="G429" s="7">
        <f ca="1">$C$11/(1+D429)^1
 +$D$11/(1+D429)^2
 +$E$11/(1+D429)^3
 +$F$11/(1+D429)^4
 +$G$11/(1+D429)^5
 +$H$11/(1+D429)^6
 +$I$11/(1+D429)^7
 + ( $I$11*(1+F429)/(D429-F429) )/(1+D429)^7</f>
        <v>517.98669704799465</v>
      </c>
      <c r="H429" s="7">
        <f ca="1">(G429-$C$8)/$C$9</f>
        <v>2.8636176902306345</v>
      </c>
    </row>
    <row r="430" spans="3:8" x14ac:dyDescent="0.35">
      <c r="C430" s="8">
        <f t="shared" ca="1" si="24"/>
        <v>0.40236511786331319</v>
      </c>
      <c r="D430" s="7">
        <f t="shared" ca="1" si="25"/>
        <v>8.81642339956277E-2</v>
      </c>
      <c r="E430" s="7">
        <f t="shared" ca="1" si="26"/>
        <v>0.73692212700486159</v>
      </c>
      <c r="F430" s="7">
        <f t="shared" ca="1" si="27"/>
        <v>2.2746340606354082E-2</v>
      </c>
      <c r="G430" s="7">
        <f ca="1">$C$11/(1+D430)^1
 +$D$11/(1+D430)^2
 +$E$11/(1+D430)^3
 +$F$11/(1+D430)^4
 +$G$11/(1+D430)^5
 +$H$11/(1+D430)^6
 +$I$11/(1+D430)^7
 + ( $I$11*(1+F430)/(D430-F430) )/(1+D430)^7</f>
        <v>403.40167134554451</v>
      </c>
      <c r="H430" s="7">
        <f ca="1">(G430-$C$8)/$C$9</f>
        <v>2.2158054689368187</v>
      </c>
    </row>
    <row r="431" spans="3:8" x14ac:dyDescent="0.35">
      <c r="C431" s="8">
        <f t="shared" ca="1" si="24"/>
        <v>0.58895791579770185</v>
      </c>
      <c r="D431" s="7">
        <f t="shared" ca="1" si="25"/>
        <v>9.2094335374586278E-2</v>
      </c>
      <c r="E431" s="7">
        <f t="shared" ca="1" si="26"/>
        <v>0.44521932179873847</v>
      </c>
      <c r="F431" s="7">
        <f t="shared" ca="1" si="27"/>
        <v>1.9436305652094345E-2</v>
      </c>
      <c r="G431" s="7">
        <f ca="1">$C$11/(1+D431)^1
 +$D$11/(1+D431)^2
 +$E$11/(1+D431)^3
 +$F$11/(1+D431)^4
 +$G$11/(1+D431)^5
 +$H$11/(1+D431)^6
 +$I$11/(1+D431)^7
 + ( $I$11*(1+F431)/(D431-F431) )/(1+D431)^7</f>
        <v>367.46189014427216</v>
      </c>
      <c r="H431" s="7">
        <f ca="1">(G431-$C$8)/$C$9</f>
        <v>2.0126181034841255</v>
      </c>
    </row>
    <row r="432" spans="3:8" x14ac:dyDescent="0.35">
      <c r="C432" s="8">
        <f t="shared" ca="1" si="24"/>
        <v>0.67398367561904005</v>
      </c>
      <c r="D432" s="7">
        <f t="shared" ca="1" si="25"/>
        <v>9.4053441342498101E-2</v>
      </c>
      <c r="E432" s="7">
        <f t="shared" ca="1" si="26"/>
        <v>2.7999112301539952E-2</v>
      </c>
      <c r="F432" s="7">
        <f t="shared" ca="1" si="27"/>
        <v>1.2366394400836004E-2</v>
      </c>
      <c r="G432" s="7">
        <f ca="1">$C$11/(1+D432)^1
 +$D$11/(1+D432)^2
 +$E$11/(1+D432)^3
 +$F$11/(1+D432)^4
 +$G$11/(1+D432)^5
 +$H$11/(1+D432)^6
 +$I$11/(1+D432)^7
 + ( $I$11*(1+F432)/(D432-F432) )/(1+D432)^7</f>
        <v>336.05005569156515</v>
      </c>
      <c r="H432" s="7">
        <f ca="1">(G432-$C$8)/$C$9</f>
        <v>1.8350297133173064</v>
      </c>
    </row>
    <row r="433" spans="3:8" x14ac:dyDescent="0.35">
      <c r="C433" s="8">
        <f t="shared" ca="1" si="24"/>
        <v>0.12406208730338597</v>
      </c>
      <c r="D433" s="7">
        <f t="shared" ca="1" si="25"/>
        <v>8.0086174279119737E-2</v>
      </c>
      <c r="E433" s="7">
        <f t="shared" ca="1" si="26"/>
        <v>0.66601227814977115</v>
      </c>
      <c r="F433" s="7">
        <f t="shared" ca="1" si="27"/>
        <v>2.1827023530558418E-2</v>
      </c>
      <c r="G433" s="7">
        <f ca="1">$C$11/(1+D433)^1
 +$D$11/(1+D433)^2
 +$E$11/(1+D433)^3
 +$F$11/(1+D433)^4
 +$G$11/(1+D433)^5
 +$H$11/(1+D433)^6
 +$I$11/(1+D433)^7
 + ( $I$11*(1+F433)/(D433-F433) )/(1+D433)^7</f>
        <v>456.96615705668194</v>
      </c>
      <c r="H433" s="7">
        <f ca="1">(G433-$C$8)/$C$9</f>
        <v>2.5186349901440632</v>
      </c>
    </row>
    <row r="434" spans="3:8" x14ac:dyDescent="0.35">
      <c r="C434" s="8">
        <f t="shared" ca="1" si="24"/>
        <v>0.72298829381470031</v>
      </c>
      <c r="D434" s="7">
        <f t="shared" ca="1" si="25"/>
        <v>9.5300709853039373E-2</v>
      </c>
      <c r="E434" s="7">
        <f t="shared" ca="1" si="26"/>
        <v>0.66957430447562849</v>
      </c>
      <c r="F434" s="7">
        <f t="shared" ca="1" si="27"/>
        <v>2.1870723334461158E-2</v>
      </c>
      <c r="G434" s="7">
        <f ca="1">$C$11/(1+D434)^1
 +$D$11/(1+D434)^2
 +$E$11/(1+D434)^3
 +$F$11/(1+D434)^4
 +$G$11/(1+D434)^5
 +$H$11/(1+D434)^6
 +$I$11/(1+D434)^7
 + ( $I$11*(1+F434)/(D434-F434) )/(1+D434)^7</f>
        <v>359.23558884011783</v>
      </c>
      <c r="H434" s="7">
        <f ca="1">(G434-$C$8)/$C$9</f>
        <v>1.9661102942114304</v>
      </c>
    </row>
    <row r="435" spans="3:8" x14ac:dyDescent="0.35">
      <c r="C435" s="8">
        <f t="shared" ca="1" si="24"/>
        <v>0.38343107135882348</v>
      </c>
      <c r="D435" s="7">
        <f t="shared" ca="1" si="25"/>
        <v>8.7731708279639484E-2</v>
      </c>
      <c r="E435" s="7">
        <f t="shared" ca="1" si="26"/>
        <v>0.89905070874002491</v>
      </c>
      <c r="F435" s="7">
        <f t="shared" ca="1" si="27"/>
        <v>2.5506687385458804E-2</v>
      </c>
      <c r="G435" s="7">
        <f ca="1">$C$11/(1+D435)^1
 +$D$11/(1+D435)^2
 +$E$11/(1+D435)^3
 +$F$11/(1+D435)^4
 +$G$11/(1+D435)^5
 +$H$11/(1+D435)^6
 +$I$11/(1+D435)^7
 + ( $I$11*(1+F435)/(D435-F435) )/(1+D435)^7</f>
        <v>419.19204241439382</v>
      </c>
      <c r="H435" s="7">
        <f ca="1">(G435-$C$8)/$C$9</f>
        <v>2.305077128077758</v>
      </c>
    </row>
    <row r="436" spans="3:8" x14ac:dyDescent="0.35">
      <c r="C436" s="8">
        <f t="shared" ca="1" si="24"/>
        <v>0.48913867930991894</v>
      </c>
      <c r="D436" s="7">
        <f t="shared" ca="1" si="25"/>
        <v>9.0027324260473079E-2</v>
      </c>
      <c r="E436" s="7">
        <f t="shared" ca="1" si="26"/>
        <v>0.36938988612902268</v>
      </c>
      <c r="F436" s="7">
        <f t="shared" ca="1" si="27"/>
        <v>1.8595229911166106E-2</v>
      </c>
      <c r="G436" s="7">
        <f ca="1">$C$11/(1+D436)^1
 +$D$11/(1+D436)^2
 +$E$11/(1+D436)^3
 +$F$11/(1+D436)^4
 +$G$11/(1+D436)^5
 +$H$11/(1+D436)^6
 +$I$11/(1+D436)^7
 + ( $I$11*(1+F436)/(D436-F436) )/(1+D436)^7</f>
        <v>375.56180612567181</v>
      </c>
      <c r="H436" s="7">
        <f ca="1">(G436-$C$8)/$C$9</f>
        <v>2.058411386961057</v>
      </c>
    </row>
    <row r="437" spans="3:8" x14ac:dyDescent="0.35">
      <c r="C437" s="8">
        <f t="shared" ca="1" si="24"/>
        <v>6.3312498599460421E-3</v>
      </c>
      <c r="D437" s="7">
        <f t="shared" ca="1" si="25"/>
        <v>7.2278513744780962E-2</v>
      </c>
      <c r="E437" s="7">
        <f t="shared" ca="1" si="26"/>
        <v>0.21178243633866267</v>
      </c>
      <c r="F437" s="7">
        <f t="shared" ca="1" si="27"/>
        <v>1.6508186173407498E-2</v>
      </c>
      <c r="G437" s="7">
        <f ca="1">$C$11/(1+D437)^1
 +$D$11/(1+D437)^2
 +$E$11/(1+D437)^3
 +$F$11/(1+D437)^4
 +$G$11/(1+D437)^5
 +$H$11/(1+D437)^6
 +$I$11/(1+D437)^7
 + ( $I$11*(1+F437)/(D437-F437) )/(1+D437)^7</f>
        <v>491.01187584461275</v>
      </c>
      <c r="H437" s="7">
        <f ca="1">(G437-$C$8)/$C$9</f>
        <v>2.711114178225988</v>
      </c>
    </row>
    <row r="438" spans="3:8" x14ac:dyDescent="0.35">
      <c r="C438" s="8">
        <f t="shared" ca="1" si="24"/>
        <v>0.91407838121429252</v>
      </c>
      <c r="D438" s="7">
        <f t="shared" ca="1" si="25"/>
        <v>0.10181349508930387</v>
      </c>
      <c r="E438" s="7">
        <f t="shared" ca="1" si="26"/>
        <v>0.16013535760248321</v>
      </c>
      <c r="F438" s="7">
        <f t="shared" ca="1" si="27"/>
        <v>1.5659246550601646E-2</v>
      </c>
      <c r="G438" s="7">
        <f ca="1">$C$11/(1+D438)^1
 +$D$11/(1+D438)^2
 +$E$11/(1+D438)^3
 +$F$11/(1+D438)^4
 +$G$11/(1+D438)^5
 +$H$11/(1+D438)^6
 +$I$11/(1+D438)^7
 + ( $I$11*(1+F438)/(D438-F438) )/(1+D438)^7</f>
        <v>312.85014500637726</v>
      </c>
      <c r="H438" s="7">
        <f ca="1">(G438-$C$8)/$C$9</f>
        <v>1.7038678482947605</v>
      </c>
    </row>
    <row r="439" spans="3:8" x14ac:dyDescent="0.35">
      <c r="C439" s="8">
        <f t="shared" ca="1" si="24"/>
        <v>0.76614955721251254</v>
      </c>
      <c r="D439" s="7">
        <f t="shared" ca="1" si="25"/>
        <v>9.6494321735868277E-2</v>
      </c>
      <c r="E439" s="7">
        <f t="shared" ca="1" si="26"/>
        <v>0.30355463835597141</v>
      </c>
      <c r="F439" s="7">
        <f t="shared" ca="1" si="27"/>
        <v>1.7791721739846354E-2</v>
      </c>
      <c r="G439" s="7">
        <f ca="1">$C$11/(1+D439)^1
 +$D$11/(1+D439)^2
 +$E$11/(1+D439)^3
 +$F$11/(1+D439)^4
 +$G$11/(1+D439)^5
 +$H$11/(1+D439)^6
 +$I$11/(1+D439)^7
 + ( $I$11*(1+F439)/(D439-F439) )/(1+D439)^7</f>
        <v>340.63986486276889</v>
      </c>
      <c r="H439" s="7">
        <f ca="1">(G439-$C$8)/$C$9</f>
        <v>1.8609784309292676</v>
      </c>
    </row>
    <row r="440" spans="3:8" x14ac:dyDescent="0.35">
      <c r="C440" s="8">
        <f t="shared" ca="1" si="24"/>
        <v>0.45153741513770562</v>
      </c>
      <c r="D440" s="7">
        <f t="shared" ca="1" si="25"/>
        <v>8.9242158933262108E-2</v>
      </c>
      <c r="E440" s="7">
        <f t="shared" ca="1" si="26"/>
        <v>0.91826706627500898</v>
      </c>
      <c r="F440" s="7">
        <f t="shared" ca="1" si="27"/>
        <v>2.5956908763705894E-2</v>
      </c>
      <c r="G440" s="7">
        <f ca="1">$C$11/(1+D440)^1
 +$D$11/(1+D440)^2
 +$E$11/(1+D440)^3
 +$F$11/(1+D440)^4
 +$G$11/(1+D440)^5
 +$H$11/(1+D440)^6
 +$I$11/(1+D440)^7
 + ( $I$11*(1+F440)/(D440-F440) )/(1+D440)^7</f>
        <v>411.02678199721487</v>
      </c>
      <c r="H440" s="7">
        <f ca="1">(G440-$C$8)/$C$9</f>
        <v>2.2589144165378499</v>
      </c>
    </row>
    <row r="441" spans="3:8" x14ac:dyDescent="0.35">
      <c r="C441" s="8">
        <f t="shared" ca="1" si="24"/>
        <v>1.5078400312812934E-2</v>
      </c>
      <c r="D441" s="7">
        <f t="shared" ca="1" si="25"/>
        <v>7.3516288989333309E-2</v>
      </c>
      <c r="E441" s="7">
        <f t="shared" ca="1" si="26"/>
        <v>0.27045607907191138</v>
      </c>
      <c r="F441" s="7">
        <f t="shared" ca="1" si="27"/>
        <v>1.7354673059652773E-2</v>
      </c>
      <c r="G441" s="7">
        <f ca="1">$C$11/(1+D441)^1
 +$D$11/(1+D441)^2
 +$E$11/(1+D441)^3
 +$F$11/(1+D441)^4
 +$G$11/(1+D441)^5
 +$H$11/(1+D441)^6
 +$I$11/(1+D441)^7
 + ( $I$11*(1+F441)/(D441-F441) )/(1+D441)^7</f>
        <v>485.39081860461658</v>
      </c>
      <c r="H441" s="7">
        <f ca="1">(G441-$C$8)/$C$9</f>
        <v>2.679335247651609</v>
      </c>
    </row>
    <row r="442" spans="3:8" x14ac:dyDescent="0.35">
      <c r="C442" s="8">
        <f t="shared" ca="1" si="24"/>
        <v>0.88404870567888527</v>
      </c>
      <c r="D442" s="7">
        <f t="shared" ca="1" si="25"/>
        <v>0.10048989960250317</v>
      </c>
      <c r="E442" s="7">
        <f t="shared" ca="1" si="26"/>
        <v>0.71718531942400487</v>
      </c>
      <c r="F442" s="7">
        <f t="shared" ca="1" si="27"/>
        <v>2.247916652789074E-2</v>
      </c>
      <c r="G442" s="7">
        <f ca="1">$C$11/(1+D442)^1
 +$D$11/(1+D442)^2
 +$E$11/(1+D442)^3
 +$F$11/(1+D442)^4
 +$G$11/(1+D442)^5
 +$H$11/(1+D442)^6
 +$I$11/(1+D442)^7
 + ( $I$11*(1+F442)/(D442-F442) )/(1+D442)^7</f>
        <v>336.29862402995366</v>
      </c>
      <c r="H442" s="7">
        <f ca="1">(G442-$C$8)/$C$9</f>
        <v>1.8364350069536048</v>
      </c>
    </row>
    <row r="443" spans="3:8" x14ac:dyDescent="0.35">
      <c r="C443" s="8">
        <f t="shared" ca="1" si="24"/>
        <v>0.20582674053706207</v>
      </c>
      <c r="D443" s="7">
        <f t="shared" ca="1" si="25"/>
        <v>8.2991455932280689E-2</v>
      </c>
      <c r="E443" s="7">
        <f t="shared" ca="1" si="26"/>
        <v>0.15598087448876641</v>
      </c>
      <c r="F443" s="7">
        <f t="shared" ca="1" si="27"/>
        <v>1.5585353605435674E-2</v>
      </c>
      <c r="G443" s="7">
        <f ca="1">$C$11/(1+D443)^1
 +$D$11/(1+D443)^2
 +$E$11/(1+D443)^3
 +$F$11/(1+D443)^4
 +$G$11/(1+D443)^5
 +$H$11/(1+D443)^6
 +$I$11/(1+D443)^7
 + ( $I$11*(1+F443)/(D443-F443) )/(1+D443)^7</f>
        <v>404.88886297213696</v>
      </c>
      <c r="H443" s="7">
        <f ca="1">(G443-$C$8)/$C$9</f>
        <v>2.2242133817963419</v>
      </c>
    </row>
    <row r="444" spans="3:8" x14ac:dyDescent="0.35">
      <c r="C444" s="8">
        <f t="shared" ca="1" si="24"/>
        <v>0.99896877230793801</v>
      </c>
      <c r="D444" s="7">
        <f t="shared" ca="1" si="25"/>
        <v>0.10910314014483402</v>
      </c>
      <c r="E444" s="7">
        <f t="shared" ca="1" si="26"/>
        <v>0.62389677790524312</v>
      </c>
      <c r="F444" s="7">
        <f t="shared" ca="1" si="27"/>
        <v>2.1327016406163829E-2</v>
      </c>
      <c r="G444" s="7">
        <f ca="1">$C$11/(1+D444)^1
 +$D$11/(1+D444)^2
 +$E$11/(1+D444)^3
 +$F$11/(1+D444)^4
 +$G$11/(1+D444)^5
 +$H$11/(1+D444)^6
 +$I$11/(1+D444)^7
 + ( $I$11*(1+F444)/(D444-F444) )/(1+D444)^7</f>
        <v>298.86874193260633</v>
      </c>
      <c r="H444" s="7">
        <f ca="1">(G444-$C$8)/$C$9</f>
        <v>1.6248232809396557</v>
      </c>
    </row>
    <row r="445" spans="3:8" x14ac:dyDescent="0.35">
      <c r="C445" s="8">
        <f t="shared" ca="1" si="24"/>
        <v>0.96959928908647919</v>
      </c>
      <c r="D445" s="7">
        <f t="shared" ca="1" si="25"/>
        <v>0.10513044616904729</v>
      </c>
      <c r="E445" s="7">
        <f t="shared" ca="1" si="26"/>
        <v>0.2338698919742741</v>
      </c>
      <c r="F445" s="7">
        <f t="shared" ca="1" si="27"/>
        <v>1.6839150414697343E-2</v>
      </c>
      <c r="G445" s="7">
        <f ca="1">$C$11/(1+D445)^1
 +$D$11/(1+D445)^2
 +$E$11/(1+D445)^3
 +$F$11/(1+D445)^4
 +$G$11/(1+D445)^5
 +$H$11/(1+D445)^6
 +$I$11/(1+D445)^7
 + ( $I$11*(1+F445)/(D445-F445) )/(1+D445)^7</f>
        <v>303.22096010133106</v>
      </c>
      <c r="H445" s="7">
        <f ca="1">(G445-$C$8)/$C$9</f>
        <v>1.6494287658374662</v>
      </c>
    </row>
    <row r="446" spans="3:8" x14ac:dyDescent="0.35">
      <c r="C446" s="8">
        <f t="shared" ca="1" si="24"/>
        <v>0.87484330503857655</v>
      </c>
      <c r="D446" s="7">
        <f t="shared" ca="1" si="25"/>
        <v>0.10011960415418945</v>
      </c>
      <c r="E446" s="7">
        <f t="shared" ca="1" si="26"/>
        <v>0.72141220272654649</v>
      </c>
      <c r="F446" s="7">
        <f t="shared" ca="1" si="27"/>
        <v>2.2535580434173686E-2</v>
      </c>
      <c r="G446" s="7">
        <f ca="1">$C$11/(1+D446)^1
 +$D$11/(1+D446)^2
 +$E$11/(1+D446)^3
 +$F$11/(1+D446)^4
 +$G$11/(1+D446)^5
 +$H$11/(1+D446)^6
 +$I$11/(1+D446)^7
 + ( $I$11*(1+F446)/(D446-F446) )/(1+D446)^7</f>
        <v>338.13886271343097</v>
      </c>
      <c r="H446" s="7">
        <f ca="1">(G446-$C$8)/$C$9</f>
        <v>1.8468388891532732</v>
      </c>
    </row>
    <row r="447" spans="3:8" x14ac:dyDescent="0.35">
      <c r="C447" s="8">
        <f t="shared" ca="1" si="24"/>
        <v>0.78912454596878501</v>
      </c>
      <c r="D447" s="7">
        <f t="shared" ca="1" si="25"/>
        <v>9.7174913094082063E-2</v>
      </c>
      <c r="E447" s="7">
        <f t="shared" ca="1" si="26"/>
        <v>0.77828530210356217</v>
      </c>
      <c r="F447" s="7">
        <f t="shared" ca="1" si="27"/>
        <v>2.3340950549869181E-2</v>
      </c>
      <c r="G447" s="7">
        <f ca="1">$C$11/(1+D447)^1
 +$D$11/(1+D447)^2
 +$E$11/(1+D447)^3
 +$F$11/(1+D447)^4
 +$G$11/(1+D447)^5
 +$H$11/(1+D447)^6
 +$I$11/(1+D447)^7
 + ( $I$11*(1+F447)/(D447-F447) )/(1+D447)^7</f>
        <v>354.70189017022454</v>
      </c>
      <c r="H447" s="7">
        <f ca="1">(G447-$C$8)/$C$9</f>
        <v>1.9404788001482616</v>
      </c>
    </row>
    <row r="448" spans="3:8" x14ac:dyDescent="0.35">
      <c r="C448" s="8">
        <f t="shared" ca="1" si="24"/>
        <v>0.40497694689633723</v>
      </c>
      <c r="D448" s="7">
        <f t="shared" ca="1" si="25"/>
        <v>8.8223092395501829E-2</v>
      </c>
      <c r="E448" s="7">
        <f t="shared" ca="1" si="26"/>
        <v>0.86748705898779777</v>
      </c>
      <c r="F448" s="7">
        <f t="shared" ca="1" si="27"/>
        <v>2.485193354720042E-2</v>
      </c>
      <c r="G448" s="7">
        <f ca="1">$C$11/(1+D448)^1
 +$D$11/(1+D448)^2
 +$E$11/(1+D448)^3
 +$F$11/(1+D448)^4
 +$G$11/(1+D448)^5
 +$H$11/(1+D448)^6
 +$I$11/(1+D448)^7
 + ( $I$11*(1+F448)/(D448-F448) )/(1+D448)^7</f>
        <v>412.66548852504548</v>
      </c>
      <c r="H448" s="7">
        <f ca="1">(G448-$C$8)/$C$9</f>
        <v>2.2681789265323693</v>
      </c>
    </row>
    <row r="449" spans="3:8" x14ac:dyDescent="0.35">
      <c r="C449" s="8">
        <f t="shared" ca="1" si="24"/>
        <v>6.5969532688746169E-2</v>
      </c>
      <c r="D449" s="7">
        <f t="shared" ca="1" si="25"/>
        <v>7.7354931461595819E-2</v>
      </c>
      <c r="E449" s="7">
        <f t="shared" ca="1" si="26"/>
        <v>0.93867153518207846</v>
      </c>
      <c r="F449" s="7">
        <f t="shared" ca="1" si="27"/>
        <v>2.6497758865585593E-2</v>
      </c>
      <c r="G449" s="7">
        <f ca="1">$C$11/(1+D449)^1
 +$D$11/(1+D449)^2
 +$E$11/(1+D449)^3
 +$F$11/(1+D449)^4
 +$G$11/(1+D449)^5
 +$H$11/(1+D449)^6
 +$I$11/(1+D449)^7
 + ( $I$11*(1+F449)/(D449-F449) )/(1+D449)^7</f>
        <v>513.61913933085498</v>
      </c>
      <c r="H449" s="7">
        <f ca="1">(G449-$C$8)/$C$9</f>
        <v>2.8389254824222916</v>
      </c>
    </row>
    <row r="450" spans="3:8" x14ac:dyDescent="0.35">
      <c r="C450" s="8">
        <f t="shared" ca="1" si="24"/>
        <v>0.79972438759329101</v>
      </c>
      <c r="D450" s="7">
        <f t="shared" ca="1" si="25"/>
        <v>9.7501400971419516E-2</v>
      </c>
      <c r="E450" s="7">
        <f t="shared" ca="1" si="26"/>
        <v>0.92301489272169623</v>
      </c>
      <c r="F450" s="7">
        <f t="shared" ca="1" si="27"/>
        <v>2.6076096145971367E-2</v>
      </c>
      <c r="G450" s="7">
        <f ca="1">$C$11/(1+D450)^1
 +$D$11/(1+D450)^2
 +$E$11/(1+D450)^3
 +$F$11/(1+D450)^4
 +$G$11/(1+D450)^5
 +$H$11/(1+D450)^6
 +$I$11/(1+D450)^7
 + ( $I$11*(1+F450)/(D450-F450) )/(1+D450)^7</f>
        <v>362.3988261567124</v>
      </c>
      <c r="H450" s="7">
        <f ca="1">(G450-$C$8)/$C$9</f>
        <v>1.9839938159018113</v>
      </c>
    </row>
    <row r="451" spans="3:8" x14ac:dyDescent="0.35">
      <c r="C451" s="8">
        <f t="shared" ca="1" si="24"/>
        <v>0.42670344810487637</v>
      </c>
      <c r="D451" s="7">
        <f t="shared" ca="1" si="25"/>
        <v>8.8705529328142491E-2</v>
      </c>
      <c r="E451" s="7">
        <f t="shared" ca="1" si="26"/>
        <v>0.43666612174881958</v>
      </c>
      <c r="F451" s="7">
        <f t="shared" ca="1" si="27"/>
        <v>1.9345224681609527E-2</v>
      </c>
      <c r="G451" s="7">
        <f ca="1">$C$11/(1+D451)^1
 +$D$11/(1+D451)^2
 +$E$11/(1+D451)^3
 +$F$11/(1+D451)^4
 +$G$11/(1+D451)^5
 +$H$11/(1+D451)^6
 +$I$11/(1+D451)^7
 + ( $I$11*(1+F451)/(D451-F451) )/(1+D451)^7</f>
        <v>385.87993891677979</v>
      </c>
      <c r="H451" s="7">
        <f ca="1">(G451-$C$8)/$C$9</f>
        <v>2.1167454710356162</v>
      </c>
    </row>
    <row r="452" spans="3:8" x14ac:dyDescent="0.35">
      <c r="C452" s="8">
        <f t="shared" ca="1" si="24"/>
        <v>0.42668410115343791</v>
      </c>
      <c r="D452" s="7">
        <f t="shared" ca="1" si="25"/>
        <v>8.8705105264227174E-2</v>
      </c>
      <c r="E452" s="7">
        <f t="shared" ca="1" si="26"/>
        <v>0.80127736476300682</v>
      </c>
      <c r="F452" s="7">
        <f t="shared" ca="1" si="27"/>
        <v>2.369567394185559E-2</v>
      </c>
      <c r="G452" s="7">
        <f ca="1">$C$11/(1+D452)^1
 +$D$11/(1+D452)^2
 +$E$11/(1+D452)^3
 +$F$11/(1+D452)^4
 +$G$11/(1+D452)^5
 +$H$11/(1+D452)^6
 +$I$11/(1+D452)^7
 + ( $I$11*(1+F452)/(D452-F452) )/(1+D452)^7</f>
        <v>404.16286298704131</v>
      </c>
      <c r="H452" s="7">
        <f ca="1">(G452-$C$8)/$C$9</f>
        <v>2.2201089042686641</v>
      </c>
    </row>
    <row r="453" spans="3:8" x14ac:dyDescent="0.35">
      <c r="C453" s="8">
        <f t="shared" ca="1" si="24"/>
        <v>0.91829297389816189</v>
      </c>
      <c r="D453" s="7">
        <f t="shared" ca="1" si="25"/>
        <v>0.10201680011778273</v>
      </c>
      <c r="E453" s="7">
        <f t="shared" ca="1" si="26"/>
        <v>0.94938268724838082</v>
      </c>
      <c r="F453" s="7">
        <f t="shared" ca="1" si="27"/>
        <v>2.6818261080741562E-2</v>
      </c>
      <c r="G453" s="7">
        <f ca="1">$C$11/(1+D453)^1
 +$D$11/(1+D453)^2
 +$E$11/(1+D453)^3
 +$F$11/(1+D453)^4
 +$G$11/(1+D453)^5
 +$H$11/(1+D453)^6
 +$I$11/(1+D453)^7
 + ( $I$11*(1+F453)/(D453-F453) )/(1+D453)^7</f>
        <v>342.34228887346336</v>
      </c>
      <c r="H453" s="7">
        <f ca="1">(G453-$C$8)/$C$9</f>
        <v>1.8706031709264097</v>
      </c>
    </row>
    <row r="454" spans="3:8" x14ac:dyDescent="0.35">
      <c r="C454" s="8">
        <f t="shared" ca="1" si="24"/>
        <v>0.17827148134101523</v>
      </c>
      <c r="D454" s="7">
        <f t="shared" ca="1" si="25"/>
        <v>8.209060026217195E-2</v>
      </c>
      <c r="E454" s="7">
        <f t="shared" ca="1" si="26"/>
        <v>0.89759515475604523</v>
      </c>
      <c r="F454" s="7">
        <f t="shared" ca="1" si="27"/>
        <v>2.5474409535895789E-2</v>
      </c>
      <c r="G454" s="7">
        <f ca="1">$C$11/(1+D454)^1
 +$D$11/(1+D454)^2
 +$E$11/(1+D454)^3
 +$F$11/(1+D454)^4
 +$G$11/(1+D454)^5
 +$H$11/(1+D454)^6
 +$I$11/(1+D454)^7
 + ( $I$11*(1+F454)/(D454-F454) )/(1+D454)^7</f>
        <v>462.23735922500884</v>
      </c>
      <c r="H454" s="7">
        <f ca="1">(G454-$C$8)/$C$9</f>
        <v>2.5484359974276845</v>
      </c>
    </row>
    <row r="455" spans="3:8" x14ac:dyDescent="0.35">
      <c r="C455" s="8">
        <f t="shared" ca="1" si="24"/>
        <v>0.15826111957330247</v>
      </c>
      <c r="D455" s="7">
        <f t="shared" ca="1" si="25"/>
        <v>8.1391844365602442E-2</v>
      </c>
      <c r="E455" s="7">
        <f t="shared" ca="1" si="26"/>
        <v>0.16052107511090152</v>
      </c>
      <c r="F455" s="7">
        <f t="shared" ca="1" si="27"/>
        <v>1.5666058155559322E-2</v>
      </c>
      <c r="G455" s="7">
        <f ca="1">$C$11/(1+D455)^1
 +$D$11/(1+D455)^2
 +$E$11/(1+D455)^3
 +$F$11/(1+D455)^4
 +$G$11/(1+D455)^5
 +$H$11/(1+D455)^6
 +$I$11/(1+D455)^7
 + ( $I$11*(1+F455)/(D455-F455) )/(1+D455)^7</f>
        <v>415.5465599249045</v>
      </c>
      <c r="H455" s="7">
        <f ca="1">(G455-$C$8)/$C$9</f>
        <v>2.2844672089829516</v>
      </c>
    </row>
    <row r="456" spans="3:8" x14ac:dyDescent="0.35">
      <c r="C456" s="8">
        <f t="shared" ca="1" si="24"/>
        <v>0.97974961299380703</v>
      </c>
      <c r="D456" s="7">
        <f t="shared" ca="1" si="25"/>
        <v>0.10602566963315448</v>
      </c>
      <c r="E456" s="7">
        <f t="shared" ca="1" si="26"/>
        <v>0.58919254767275853</v>
      </c>
      <c r="F456" s="7">
        <f t="shared" ca="1" si="27"/>
        <v>2.0935702428458769E-2</v>
      </c>
      <c r="G456" s="7">
        <f ca="1">$C$11/(1+D456)^1
 +$D$11/(1+D456)^2
 +$E$11/(1+D456)^3
 +$F$11/(1+D456)^4
 +$G$11/(1+D456)^5
 +$H$11/(1+D456)^6
 +$I$11/(1+D456)^7
 + ( $I$11*(1+F456)/(D456-F456) )/(1+D456)^7</f>
        <v>309.31913704387563</v>
      </c>
      <c r="H456" s="7">
        <f ca="1">(G456-$C$8)/$C$9</f>
        <v>1.6839051167111918</v>
      </c>
    </row>
    <row r="457" spans="3:8" x14ac:dyDescent="0.35">
      <c r="C457" s="8">
        <f t="shared" ca="1" si="24"/>
        <v>0.42901538100438974</v>
      </c>
      <c r="D457" s="7">
        <f t="shared" ca="1" si="25"/>
        <v>8.875613532750283E-2</v>
      </c>
      <c r="E457" s="7">
        <f t="shared" ca="1" si="26"/>
        <v>0.89875013110254087</v>
      </c>
      <c r="F457" s="7">
        <f t="shared" ca="1" si="27"/>
        <v>2.5500002913390739E-2</v>
      </c>
      <c r="G457" s="7">
        <f ca="1">$C$11/(1+D457)^1
 +$D$11/(1+D457)^2
 +$E$11/(1+D457)^3
 +$F$11/(1+D457)^4
 +$G$11/(1+D457)^5
 +$H$11/(1+D457)^6
 +$I$11/(1+D457)^7
 + ( $I$11*(1+F457)/(D457-F457) )/(1+D457)^7</f>
        <v>412.13858969204051</v>
      </c>
      <c r="H457" s="7">
        <f ca="1">(G457-$C$8)/$C$9</f>
        <v>2.2652000774086414</v>
      </c>
    </row>
    <row r="458" spans="3:8" x14ac:dyDescent="0.35">
      <c r="C458" s="8">
        <f t="shared" ca="1" si="24"/>
        <v>0.59429149455805486</v>
      </c>
      <c r="D458" s="7">
        <f t="shared" ca="1" si="25"/>
        <v>9.2210884388348097E-2</v>
      </c>
      <c r="E458" s="7">
        <f t="shared" ca="1" si="26"/>
        <v>0.8221657943439391</v>
      </c>
      <c r="F458" s="7">
        <f t="shared" ca="1" si="27"/>
        <v>2.4036205810793587E-2</v>
      </c>
      <c r="G458" s="7">
        <f ca="1">$C$11/(1+D458)^1
 +$D$11/(1+D458)^2
 +$E$11/(1+D458)^3
 +$F$11/(1+D458)^4
 +$G$11/(1+D458)^5
 +$H$11/(1+D458)^6
 +$I$11/(1+D458)^7
 + ( $I$11*(1+F458)/(D458-F458) )/(1+D458)^7</f>
        <v>384.07823561136229</v>
      </c>
      <c r="H458" s="7">
        <f ca="1">(G458-$C$8)/$C$9</f>
        <v>2.1065594505391356</v>
      </c>
    </row>
    <row r="459" spans="3:8" x14ac:dyDescent="0.35">
      <c r="C459" s="8">
        <f t="shared" ca="1" si="24"/>
        <v>0.60989172247101453</v>
      </c>
      <c r="D459" s="7">
        <f t="shared" ca="1" si="25"/>
        <v>9.2556248784375295E-2</v>
      </c>
      <c r="E459" s="7">
        <f t="shared" ca="1" si="26"/>
        <v>0.3525762859894741</v>
      </c>
      <c r="F459" s="7">
        <f t="shared" ca="1" si="27"/>
        <v>1.839733631563574E-2</v>
      </c>
      <c r="G459" s="7">
        <f ca="1">$C$11/(1+D459)^1
 +$D$11/(1+D459)^2
 +$E$11/(1+D459)^3
 +$F$11/(1+D459)^4
 +$G$11/(1+D459)^5
 +$H$11/(1+D459)^6
 +$I$11/(1+D459)^7
 + ( $I$11*(1+F459)/(D459-F459) )/(1+D459)^7</f>
        <v>361.483966476153</v>
      </c>
      <c r="H459" s="7">
        <f ca="1">(G459-$C$8)/$C$9</f>
        <v>1.9788216105616971</v>
      </c>
    </row>
    <row r="460" spans="3:8" x14ac:dyDescent="0.35">
      <c r="C460" s="8">
        <f t="shared" ca="1" si="24"/>
        <v>6.6252951725478404E-2</v>
      </c>
      <c r="D460" s="7">
        <f t="shared" ca="1" si="25"/>
        <v>7.7370713697797008E-2</v>
      </c>
      <c r="E460" s="7">
        <f t="shared" ca="1" si="26"/>
        <v>0.68485472340087417</v>
      </c>
      <c r="F460" s="7">
        <f t="shared" ca="1" si="27"/>
        <v>2.2060915964683007E-2</v>
      </c>
      <c r="G460" s="7">
        <f ca="1">$C$11/(1+D460)^1
 +$D$11/(1+D460)^2
 +$E$11/(1+D460)^3
 +$F$11/(1+D460)^4
 +$G$11/(1+D460)^5
 +$H$11/(1+D460)^6
 +$I$11/(1+D460)^7
 + ( $I$11*(1+F460)/(D460-F460) )/(1+D460)^7</f>
        <v>481.64305962452693</v>
      </c>
      <c r="H460" s="7">
        <f ca="1">(G460-$C$8)/$C$9</f>
        <v>2.6581471032594242</v>
      </c>
    </row>
    <row r="461" spans="3:8" x14ac:dyDescent="0.35">
      <c r="C461" s="8">
        <f t="shared" ca="1" si="24"/>
        <v>0.92390367479387225</v>
      </c>
      <c r="D461" s="7">
        <f t="shared" ca="1" si="25"/>
        <v>0.10229577170244938</v>
      </c>
      <c r="E461" s="7">
        <f t="shared" ca="1" si="26"/>
        <v>0.99865050454977455</v>
      </c>
      <c r="F461" s="7">
        <f t="shared" ca="1" si="27"/>
        <v>2.9480481867453032E-2</v>
      </c>
      <c r="G461" s="7">
        <f ca="1">$C$11/(1+D461)^1
 +$D$11/(1+D461)^2
 +$E$11/(1+D461)^3
 +$F$11/(1+D461)^4
 +$G$11/(1+D461)^5
 +$H$11/(1+D461)^6
 +$I$11/(1+D461)^7
 + ( $I$11*(1+F461)/(D461-F461) )/(1+D461)^7</f>
        <v>349.54833784596963</v>
      </c>
      <c r="H461" s="7">
        <f ca="1">(G461-$C$8)/$C$9</f>
        <v>1.9113429321911444</v>
      </c>
    </row>
    <row r="462" spans="3:8" x14ac:dyDescent="0.35">
      <c r="C462" s="8">
        <f t="shared" ca="1" si="24"/>
        <v>0.2231769603841921</v>
      </c>
      <c r="D462" s="7">
        <f t="shared" ca="1" si="25"/>
        <v>8.3527938036339372E-2</v>
      </c>
      <c r="E462" s="7">
        <f t="shared" ca="1" si="26"/>
        <v>0.62205718999858162</v>
      </c>
      <c r="F462" s="7">
        <f t="shared" ca="1" si="27"/>
        <v>2.1305831724639575E-2</v>
      </c>
      <c r="G462" s="7">
        <f ca="1">$C$11/(1+D462)^1
 +$D$11/(1+D462)^2
 +$E$11/(1+D462)^3
 +$F$11/(1+D462)^4
 +$G$11/(1+D462)^5
 +$H$11/(1+D462)^6
 +$I$11/(1+D462)^7
 + ( $I$11*(1+F462)/(D462-F462) )/(1+D462)^7</f>
        <v>427.92893026858457</v>
      </c>
      <c r="H462" s="7">
        <f ca="1">(G462-$C$8)/$C$9</f>
        <v>2.3544715641597951</v>
      </c>
    </row>
    <row r="463" spans="3:8" x14ac:dyDescent="0.35">
      <c r="C463" s="8">
        <f t="shared" ca="1" si="24"/>
        <v>0.53077853837240441</v>
      </c>
      <c r="D463" s="7">
        <f t="shared" ca="1" si="25"/>
        <v>9.0869063272554465E-2</v>
      </c>
      <c r="E463" s="7">
        <f t="shared" ca="1" si="26"/>
        <v>0.54860143108692438</v>
      </c>
      <c r="F463" s="7">
        <f t="shared" ca="1" si="27"/>
        <v>2.0498436245405961E-2</v>
      </c>
      <c r="G463" s="7">
        <f ca="1">$C$11/(1+D463)^1
 +$D$11/(1+D463)^2
 +$E$11/(1+D463)^3
 +$F$11/(1+D463)^4
 +$G$11/(1+D463)^5
 +$H$11/(1+D463)^6
 +$I$11/(1+D463)^7
 + ( $I$11*(1+F463)/(D463-F463) )/(1+D463)^7</f>
        <v>378.00000698612723</v>
      </c>
      <c r="H463" s="7">
        <f ca="1">(G463-$C$8)/$C$9</f>
        <v>2.0721958784833063</v>
      </c>
    </row>
    <row r="464" spans="3:8" x14ac:dyDescent="0.35">
      <c r="C464" s="8">
        <f t="shared" ca="1" si="24"/>
        <v>0.36759054736995678</v>
      </c>
      <c r="D464" s="7">
        <f t="shared" ca="1" si="25"/>
        <v>8.7361573916075824E-2</v>
      </c>
      <c r="E464" s="7">
        <f t="shared" ca="1" si="26"/>
        <v>0.5451377832436648</v>
      </c>
      <c r="F464" s="7">
        <f t="shared" ca="1" si="27"/>
        <v>2.0462052456043437E-2</v>
      </c>
      <c r="G464" s="7">
        <f ca="1">$C$11/(1+D464)^1
 +$D$11/(1+D464)^2
 +$E$11/(1+D464)^3
 +$F$11/(1+D464)^4
 +$G$11/(1+D464)^5
 +$H$11/(1+D464)^6
 +$I$11/(1+D464)^7
 + ( $I$11*(1+F464)/(D464-F464) )/(1+D464)^7</f>
        <v>398.5169960888561</v>
      </c>
      <c r="H464" s="7">
        <f ca="1">(G464-$C$8)/$C$9</f>
        <v>2.1881897110405704</v>
      </c>
    </row>
    <row r="465" spans="3:8" x14ac:dyDescent="0.35">
      <c r="C465" s="8">
        <f t="shared" ref="C465:C528" ca="1" si="28">RAND()</f>
        <v>0.33608439362125508</v>
      </c>
      <c r="D465" s="7">
        <f t="shared" ref="D465:D528" ca="1" si="29">IF(C465&lt;(0.0905-0.07)/(0.11-0.07),
 0.07+SQRT(C465*(0.11-0.07)*(0.0905-0.07)),
 0.11-SQRT((1-C465)*(0.11-0.07)*(0.11-0.0905))
)</f>
        <v>8.660087957818588E-2</v>
      </c>
      <c r="E465" s="7">
        <f t="shared" ref="E465:E528" ca="1" si="30">RAND()</f>
        <v>0.59780759672642381</v>
      </c>
      <c r="F465" s="7">
        <f t="shared" ref="F465:F528" ca="1" si="31">MIN(
 IF(E465&lt;(0.02-0.01)/(0.03-0.01),
   0.01+SQRT(E465*(0.03-0.01)*(0.02-0.01)),
   0.03-SQRT((1-E465)*(0.03-0.01)*(0.03-0.02))
 ),
 D465-0.005
)</f>
        <v>2.1031249771862569E-2</v>
      </c>
      <c r="G465" s="7">
        <f ca="1">$C$11/(1+D465)^1
 +$D$11/(1+D465)^2
 +$E$11/(1+D465)^3
 +$F$11/(1+D465)^4
 +$G$11/(1+D465)^5
 +$H$11/(1+D465)^6
 +$I$11/(1+D465)^7
 + ( $I$11*(1+F465)/(D465-F465) )/(1+D465)^7</f>
        <v>405.80323254991805</v>
      </c>
      <c r="H465" s="7">
        <f ca="1">(G465-$C$8)/$C$9</f>
        <v>2.2293828163156832</v>
      </c>
    </row>
    <row r="466" spans="3:8" x14ac:dyDescent="0.35">
      <c r="C466" s="8">
        <f t="shared" ca="1" si="28"/>
        <v>0.95770968665111378</v>
      </c>
      <c r="D466" s="7">
        <f t="shared" ca="1" si="29"/>
        <v>0.10425661733713212</v>
      </c>
      <c r="E466" s="7">
        <f t="shared" ca="1" si="30"/>
        <v>0.19459886071032306</v>
      </c>
      <c r="F466" s="7">
        <f t="shared" ca="1" si="31"/>
        <v>1.6238571322191052E-2</v>
      </c>
      <c r="G466" s="7">
        <f ca="1">$C$11/(1+D466)^1
 +$D$11/(1+D466)^2
 +$E$11/(1+D466)^3
 +$F$11/(1+D466)^4
 +$G$11/(1+D466)^5
 +$H$11/(1+D466)^6
 +$I$11/(1+D466)^7
 + ( $I$11*(1+F466)/(D466-F466) )/(1+D466)^7</f>
        <v>305.05545191643131</v>
      </c>
      <c r="H466" s="7">
        <f ca="1">(G466-$C$8)/$C$9</f>
        <v>1.6598001578269521</v>
      </c>
    </row>
    <row r="467" spans="3:8" x14ac:dyDescent="0.35">
      <c r="C467" s="8">
        <f t="shared" ca="1" si="28"/>
        <v>0.78988984111097515</v>
      </c>
      <c r="D467" s="7">
        <f t="shared" ca="1" si="29"/>
        <v>9.7198206222039063E-2</v>
      </c>
      <c r="E467" s="7">
        <f t="shared" ca="1" si="30"/>
        <v>0.3709277387176364</v>
      </c>
      <c r="F467" s="7">
        <f t="shared" ca="1" si="31"/>
        <v>1.8613103258612849E-2</v>
      </c>
      <c r="G467" s="7">
        <f ca="1">$C$11/(1+D467)^1
 +$D$11/(1+D467)^2
 +$E$11/(1+D467)^3
 +$F$11/(1+D467)^4
 +$G$11/(1+D467)^5
 +$H$11/(1+D467)^6
 +$I$11/(1+D467)^7
 + ( $I$11*(1+F467)/(D467-F467) )/(1+D467)^7</f>
        <v>339.85490027140304</v>
      </c>
      <c r="H467" s="7">
        <f ca="1">(G467-$C$8)/$C$9</f>
        <v>1.8565405940264756</v>
      </c>
    </row>
    <row r="468" spans="3:8" x14ac:dyDescent="0.35">
      <c r="C468" s="8">
        <f t="shared" ca="1" si="28"/>
        <v>0.23467095450257169</v>
      </c>
      <c r="D468" s="7">
        <f t="shared" ca="1" si="29"/>
        <v>8.387192065620723E-2</v>
      </c>
      <c r="E468" s="7">
        <f t="shared" ca="1" si="30"/>
        <v>0.60612947031239095</v>
      </c>
      <c r="F468" s="7">
        <f t="shared" ca="1" si="31"/>
        <v>2.1124522213563833E-2</v>
      </c>
      <c r="G468" s="7">
        <f ca="1">$C$11/(1+D468)^1
 +$D$11/(1+D468)^2
 +$E$11/(1+D468)^3
 +$F$11/(1+D468)^4
 +$G$11/(1+D468)^5
 +$H$11/(1+D468)^6
 +$I$11/(1+D468)^7
 + ( $I$11*(1+F468)/(D468-F468) )/(1+D468)^7</f>
        <v>424.58851359047486</v>
      </c>
      <c r="H468" s="7">
        <f ca="1">(G468-$C$8)/$C$9</f>
        <v>2.3355863500139917</v>
      </c>
    </row>
    <row r="469" spans="3:8" x14ac:dyDescent="0.35">
      <c r="C469" s="8">
        <f t="shared" ca="1" si="28"/>
        <v>0.86949262611451006</v>
      </c>
      <c r="D469" s="7">
        <f t="shared" ca="1" si="29"/>
        <v>9.9910611929820412E-2</v>
      </c>
      <c r="E469" s="7">
        <f t="shared" ca="1" si="30"/>
        <v>0.21556173085494135</v>
      </c>
      <c r="F469" s="7">
        <f t="shared" ca="1" si="31"/>
        <v>1.6565999251522062E-2</v>
      </c>
      <c r="G469" s="7">
        <f ca="1">$C$11/(1+D469)^1
 +$D$11/(1+D469)^2
 +$E$11/(1+D469)^3
 +$F$11/(1+D469)^4
 +$G$11/(1+D469)^5
 +$H$11/(1+D469)^6
 +$I$11/(1+D469)^7
 + ( $I$11*(1+F469)/(D469-F469) )/(1+D469)^7</f>
        <v>322.59782654740729</v>
      </c>
      <c r="H469" s="7">
        <f ca="1">(G469-$C$8)/$C$9</f>
        <v>1.7589768574593356</v>
      </c>
    </row>
    <row r="470" spans="3:8" x14ac:dyDescent="0.35">
      <c r="C470" s="8">
        <f t="shared" ca="1" si="28"/>
        <v>0.87698466896017424</v>
      </c>
      <c r="D470" s="7">
        <f t="shared" ca="1" si="29"/>
        <v>0.10020449295793914</v>
      </c>
      <c r="E470" s="7">
        <f t="shared" ca="1" si="30"/>
        <v>0.2816662616270359</v>
      </c>
      <c r="F470" s="7">
        <f t="shared" ca="1" si="31"/>
        <v>1.7505548102930736E-2</v>
      </c>
      <c r="G470" s="7">
        <f ca="1">$C$11/(1+D470)^1
 +$D$11/(1+D470)^2
 +$E$11/(1+D470)^3
 +$F$11/(1+D470)^4
 +$G$11/(1+D470)^5
 +$H$11/(1+D470)^6
 +$I$11/(1+D470)^7
 + ( $I$11*(1+F470)/(D470-F470) )/(1+D470)^7</f>
        <v>323.82234046084091</v>
      </c>
      <c r="H470" s="7">
        <f ca="1">(G470-$C$8)/$C$9</f>
        <v>1.7658997086207648</v>
      </c>
    </row>
    <row r="471" spans="3:8" x14ac:dyDescent="0.35">
      <c r="C471" s="8">
        <f t="shared" ca="1" si="28"/>
        <v>0.7686291071998459</v>
      </c>
      <c r="D471" s="7">
        <f t="shared" ca="1" si="29"/>
        <v>9.6566113876315599E-2</v>
      </c>
      <c r="E471" s="7">
        <f t="shared" ca="1" si="30"/>
        <v>0.21561471857431036</v>
      </c>
      <c r="F471" s="7">
        <f t="shared" ca="1" si="31"/>
        <v>1.6566806203540809E-2</v>
      </c>
      <c r="G471" s="7">
        <f ca="1">$C$11/(1+D471)^1
 +$D$11/(1+D471)^2
 +$E$11/(1+D471)^3
 +$F$11/(1+D471)^4
 +$G$11/(1+D471)^5
 +$H$11/(1+D471)^6
 +$I$11/(1+D471)^7
 + ( $I$11*(1+F471)/(D471-F471) )/(1+D471)^7</f>
        <v>336.78724960393572</v>
      </c>
      <c r="H471" s="7">
        <f ca="1">(G471-$C$8)/$C$9</f>
        <v>1.8391974762773389</v>
      </c>
    </row>
    <row r="472" spans="3:8" x14ac:dyDescent="0.35">
      <c r="C472" s="8">
        <f t="shared" ca="1" si="28"/>
        <v>0.38791723873429551</v>
      </c>
      <c r="D472" s="7">
        <f t="shared" ca="1" si="29"/>
        <v>8.7835137671521415E-2</v>
      </c>
      <c r="E472" s="7">
        <f t="shared" ca="1" si="30"/>
        <v>0.39965746060429264</v>
      </c>
      <c r="F472" s="7">
        <f t="shared" ca="1" si="31"/>
        <v>1.8940441382888126E-2</v>
      </c>
      <c r="G472" s="7">
        <f ca="1">$C$11/(1+D472)^1
 +$D$11/(1+D472)^2
 +$E$11/(1+D472)^3
 +$F$11/(1+D472)^4
 +$G$11/(1+D472)^5
 +$H$11/(1+D472)^6
 +$I$11/(1+D472)^7
 + ( $I$11*(1+F472)/(D472-F472) )/(1+D472)^7</f>
        <v>389.36098430300609</v>
      </c>
      <c r="H472" s="7">
        <f ca="1">(G472-$C$8)/$C$9</f>
        <v>2.136425736674616</v>
      </c>
    </row>
    <row r="473" spans="3:8" x14ac:dyDescent="0.35">
      <c r="C473" s="8">
        <f t="shared" ca="1" si="28"/>
        <v>0.89941907628612006</v>
      </c>
      <c r="D473" s="7">
        <f t="shared" ca="1" si="29"/>
        <v>0.10114262338517627</v>
      </c>
      <c r="E473" s="7">
        <f t="shared" ca="1" si="30"/>
        <v>0.99938622623248818</v>
      </c>
      <c r="F473" s="7">
        <f t="shared" ca="1" si="31"/>
        <v>2.9649636255439631E-2</v>
      </c>
      <c r="G473" s="7">
        <f ca="1">$C$11/(1+D473)^1
 +$D$11/(1+D473)^2
 +$E$11/(1+D473)^3
 +$F$11/(1+D473)^4
 +$G$11/(1+D473)^5
 +$H$11/(1+D473)^6
 +$I$11/(1+D473)^7
 + ( $I$11*(1+F473)/(D473-F473) )/(1+D473)^7</f>
        <v>355.95298454249968</v>
      </c>
      <c r="H473" s="7">
        <f ca="1">(G473-$C$8)/$C$9</f>
        <v>1.9475519252741953</v>
      </c>
    </row>
    <row r="474" spans="3:8" x14ac:dyDescent="0.35">
      <c r="C474" s="8">
        <f t="shared" ca="1" si="28"/>
        <v>0.20725684278777101</v>
      </c>
      <c r="D474" s="7">
        <f t="shared" ca="1" si="29"/>
        <v>8.3036510694429411E-2</v>
      </c>
      <c r="E474" s="7">
        <f t="shared" ca="1" si="30"/>
        <v>3.5342901098337154E-2</v>
      </c>
      <c r="F474" s="7">
        <f t="shared" ca="1" si="31"/>
        <v>1.2658680164981759E-2</v>
      </c>
      <c r="G474" s="7">
        <f ca="1">$C$11/(1+D474)^1
 +$D$11/(1+D474)^2
 +$E$11/(1+D474)^3
 +$F$11/(1+D474)^4
 +$G$11/(1+D474)^5
 +$H$11/(1+D474)^6
 +$I$11/(1+D474)^7
 + ( $I$11*(1+F474)/(D474-F474) )/(1+D474)^7</f>
        <v>392.55330984631189</v>
      </c>
      <c r="H474" s="7">
        <f ca="1">(G474-$C$8)/$C$9</f>
        <v>2.1544737101216183</v>
      </c>
    </row>
    <row r="475" spans="3:8" x14ac:dyDescent="0.35">
      <c r="C475" s="8">
        <f t="shared" ca="1" si="28"/>
        <v>0.93597309639925685</v>
      </c>
      <c r="D475" s="7">
        <f t="shared" ca="1" si="29"/>
        <v>0.10293310642441959</v>
      </c>
      <c r="E475" s="7">
        <f t="shared" ca="1" si="30"/>
        <v>0.55140888057746384</v>
      </c>
      <c r="F475" s="7">
        <f t="shared" ca="1" si="31"/>
        <v>2.0528029566953494E-2</v>
      </c>
      <c r="G475" s="7">
        <f ca="1">$C$11/(1+D475)^1
 +$D$11/(1+D475)^2
 +$E$11/(1+D475)^3
 +$F$11/(1+D475)^4
 +$G$11/(1+D475)^5
 +$H$11/(1+D475)^6
 +$I$11/(1+D475)^7
 + ( $I$11*(1+F475)/(D475-F475) )/(1+D475)^7</f>
        <v>320.48735713692815</v>
      </c>
      <c r="H475" s="7">
        <f ca="1">(G475-$C$8)/$C$9</f>
        <v>1.7470452122169162</v>
      </c>
    </row>
    <row r="476" spans="3:8" x14ac:dyDescent="0.35">
      <c r="C476" s="8">
        <f t="shared" ca="1" si="28"/>
        <v>0.96862630806270955</v>
      </c>
      <c r="D476" s="7">
        <f t="shared" ca="1" si="29"/>
        <v>0.10505313435485797</v>
      </c>
      <c r="E476" s="7">
        <f t="shared" ca="1" si="30"/>
        <v>0.61596480295593437</v>
      </c>
      <c r="F476" s="7">
        <f t="shared" ca="1" si="31"/>
        <v>2.1236037459641151E-2</v>
      </c>
      <c r="G476" s="7">
        <f ca="1">$C$11/(1+D476)^1
 +$D$11/(1+D476)^2
 +$E$11/(1+D476)^3
 +$F$11/(1+D476)^4
 +$G$11/(1+D476)^5
 +$H$11/(1+D476)^6
 +$I$11/(1+D476)^7
 + ( $I$11*(1+F476)/(D476-F476) )/(1+D476)^7</f>
        <v>313.80414461130988</v>
      </c>
      <c r="H476" s="7">
        <f ca="1">(G476-$C$8)/$C$9</f>
        <v>1.7092613331711322</v>
      </c>
    </row>
    <row r="477" spans="3:8" x14ac:dyDescent="0.35">
      <c r="C477" s="8">
        <f t="shared" ca="1" si="28"/>
        <v>0.91654437199578687</v>
      </c>
      <c r="D477" s="7">
        <f t="shared" ca="1" si="29"/>
        <v>0.10193182859358539</v>
      </c>
      <c r="E477" s="7">
        <f t="shared" ca="1" si="30"/>
        <v>0.96448376021041027</v>
      </c>
      <c r="F477" s="7">
        <f t="shared" ca="1" si="31"/>
        <v>2.7334808082347922E-2</v>
      </c>
      <c r="G477" s="7">
        <f ca="1">$C$11/(1+D477)^1
 +$D$11/(1+D477)^2
 +$E$11/(1+D477)^3
 +$F$11/(1+D477)^4
 +$G$11/(1+D477)^5
 +$H$11/(1+D477)^6
 +$I$11/(1+D477)^7
 + ( $I$11*(1+F477)/(D477-F477) )/(1+D477)^7</f>
        <v>344.36888285678259</v>
      </c>
      <c r="H477" s="7">
        <f ca="1">(G477-$C$8)/$C$9</f>
        <v>1.8820606222115703</v>
      </c>
    </row>
    <row r="478" spans="3:8" x14ac:dyDescent="0.35">
      <c r="C478" s="8">
        <f t="shared" ca="1" si="28"/>
        <v>0.61797053394972634</v>
      </c>
      <c r="D478" s="7">
        <f t="shared" ca="1" si="29"/>
        <v>9.2737816374536694E-2</v>
      </c>
      <c r="E478" s="7">
        <f t="shared" ca="1" si="30"/>
        <v>0.72764788230296673</v>
      </c>
      <c r="F478" s="7">
        <f t="shared" ca="1" si="31"/>
        <v>2.2619591912407103E-2</v>
      </c>
      <c r="G478" s="7">
        <f ca="1">$C$11/(1+D478)^1
 +$D$11/(1+D478)^2
 +$E$11/(1+D478)^3
 +$F$11/(1+D478)^4
 +$G$11/(1+D478)^5
 +$H$11/(1+D478)^6
 +$I$11/(1+D478)^7
 + ( $I$11*(1+F478)/(D478-F478) )/(1+D478)^7</f>
        <v>375.57104375599653</v>
      </c>
      <c r="H478" s="7">
        <f ca="1">(G478-$C$8)/$C$9</f>
        <v>2.0584636123699487</v>
      </c>
    </row>
    <row r="479" spans="3:8" x14ac:dyDescent="0.35">
      <c r="C479" s="8">
        <f t="shared" ca="1" si="28"/>
        <v>0.52487714384376927</v>
      </c>
      <c r="D479" s="7">
        <f t="shared" ca="1" si="29"/>
        <v>9.0749134362271916E-2</v>
      </c>
      <c r="E479" s="7">
        <f t="shared" ca="1" si="30"/>
        <v>0.8104468518922896</v>
      </c>
      <c r="F479" s="7">
        <f t="shared" ca="1" si="31"/>
        <v>2.3842839159032625E-2</v>
      </c>
      <c r="G479" s="7">
        <f ca="1">$C$11/(1+D479)^1
 +$D$11/(1+D479)^2
 +$E$11/(1+D479)^3
 +$F$11/(1+D479)^4
 +$G$11/(1+D479)^5
 +$H$11/(1+D479)^6
 +$I$11/(1+D479)^7
 + ( $I$11*(1+F479)/(D479-F479) )/(1+D479)^7</f>
        <v>392.00318099453409</v>
      </c>
      <c r="H479" s="7">
        <f ca="1">(G479-$C$8)/$C$9</f>
        <v>2.1513635289152764</v>
      </c>
    </row>
    <row r="480" spans="3:8" x14ac:dyDescent="0.35">
      <c r="C480" s="8">
        <f t="shared" ca="1" si="28"/>
        <v>0.43256386700392635</v>
      </c>
      <c r="D480" s="7">
        <f t="shared" ca="1" si="29"/>
        <v>8.8833543770178242E-2</v>
      </c>
      <c r="E480" s="7">
        <f t="shared" ca="1" si="30"/>
        <v>0.52717693491702189</v>
      </c>
      <c r="F480" s="7">
        <f t="shared" ca="1" si="31"/>
        <v>2.0275566185294094E-2</v>
      </c>
      <c r="G480" s="7">
        <f ca="1">$C$11/(1+D480)^1
 +$D$11/(1+D480)^2
 +$E$11/(1+D480)^3
 +$F$11/(1+D480)^4
 +$G$11/(1+D480)^5
 +$H$11/(1+D480)^6
 +$I$11/(1+D480)^7
 + ( $I$11*(1+F480)/(D480-F480) )/(1+D480)^7</f>
        <v>388.83609031378609</v>
      </c>
      <c r="H480" s="7">
        <f ca="1">(G480-$C$8)/$C$9</f>
        <v>2.1334582220363303</v>
      </c>
    </row>
    <row r="481" spans="3:8" x14ac:dyDescent="0.35">
      <c r="C481" s="8">
        <f t="shared" ca="1" si="28"/>
        <v>0.81515259214245661</v>
      </c>
      <c r="D481" s="7">
        <f t="shared" ca="1" si="29"/>
        <v>9.7992461612433468E-2</v>
      </c>
      <c r="E481" s="7">
        <f t="shared" ca="1" si="30"/>
        <v>2.1589027569989705E-2</v>
      </c>
      <c r="F481" s="7">
        <f t="shared" ca="1" si="31"/>
        <v>1.2077932990738137E-2</v>
      </c>
      <c r="G481" s="7">
        <f ca="1">$C$11/(1+D481)^1
 +$D$11/(1+D481)^2
 +$E$11/(1+D481)^3
 +$F$11/(1+D481)^4
 +$G$11/(1+D481)^5
 +$H$11/(1+D481)^6
 +$I$11/(1+D481)^7
 + ( $I$11*(1+F481)/(D481-F481) )/(1+D481)^7</f>
        <v>319.03938329005086</v>
      </c>
      <c r="H481" s="7">
        <f ca="1">(G481-$C$8)/$C$9</f>
        <v>1.7388590190527524</v>
      </c>
    </row>
    <row r="482" spans="3:8" x14ac:dyDescent="0.35">
      <c r="C482" s="8">
        <f t="shared" ca="1" si="28"/>
        <v>0.44953452919327863</v>
      </c>
      <c r="D482" s="7">
        <f t="shared" ca="1" si="29"/>
        <v>8.9199435250509024E-2</v>
      </c>
      <c r="E482" s="7">
        <f t="shared" ca="1" si="30"/>
        <v>0.29143030810112291</v>
      </c>
      <c r="F482" s="7">
        <f t="shared" ca="1" si="31"/>
        <v>1.7634530870998203E-2</v>
      </c>
      <c r="G482" s="7">
        <f ca="1">$C$11/(1+D482)^1
 +$D$11/(1+D482)^2
 +$E$11/(1+D482)^3
 +$F$11/(1+D482)^4
 +$G$11/(1+D482)^5
 +$H$11/(1+D482)^6
 +$I$11/(1+D482)^7
 + ( $I$11*(1+F482)/(D482-F482) )/(1+D482)^7</f>
        <v>376.5689318694038</v>
      </c>
      <c r="H482" s="7">
        <f ca="1">(G482-$C$8)/$C$9</f>
        <v>2.0641052231422647</v>
      </c>
    </row>
    <row r="483" spans="3:8" x14ac:dyDescent="0.35">
      <c r="C483" s="8">
        <f t="shared" ca="1" si="28"/>
        <v>0.52332845007631346</v>
      </c>
      <c r="D483" s="7">
        <f t="shared" ca="1" si="29"/>
        <v>9.0717785165067899E-2</v>
      </c>
      <c r="E483" s="7">
        <f t="shared" ca="1" si="30"/>
        <v>0.71766080604580063</v>
      </c>
      <c r="F483" s="7">
        <f t="shared" ca="1" si="31"/>
        <v>2.2485491447151059E-2</v>
      </c>
      <c r="G483" s="7">
        <f ca="1">$C$11/(1+D483)^1
 +$D$11/(1+D483)^2
 +$E$11/(1+D483)^3
 +$F$11/(1+D483)^4
 +$G$11/(1+D483)^5
 +$H$11/(1+D483)^6
 +$I$11/(1+D483)^7
 + ( $I$11*(1+F483)/(D483-F483) )/(1+D483)^7</f>
        <v>386.61992003846859</v>
      </c>
      <c r="H483" s="7">
        <f ca="1">(G483-$C$8)/$C$9</f>
        <v>2.1209289916240874</v>
      </c>
    </row>
    <row r="484" spans="3:8" x14ac:dyDescent="0.35">
      <c r="C484" s="8">
        <f t="shared" ca="1" si="28"/>
        <v>0.54986370043721955</v>
      </c>
      <c r="D484" s="7">
        <f t="shared" ca="1" si="29"/>
        <v>9.1262168917962544E-2</v>
      </c>
      <c r="E484" s="7">
        <f t="shared" ca="1" si="30"/>
        <v>0.84267934101614883</v>
      </c>
      <c r="F484" s="7">
        <f t="shared" ca="1" si="31"/>
        <v>2.4390710223497966E-2</v>
      </c>
      <c r="G484" s="7">
        <f ca="1">$C$11/(1+D484)^1
 +$D$11/(1+D484)^2
 +$E$11/(1+D484)^3
 +$F$11/(1+D484)^4
 +$G$11/(1+D484)^5
 +$H$11/(1+D484)^6
 +$I$11/(1+D484)^7
 + ( $I$11*(1+F484)/(D484-F484) )/(1+D484)^7</f>
        <v>391.17821320401384</v>
      </c>
      <c r="H484" s="7">
        <f ca="1">(G484-$C$8)/$C$9</f>
        <v>2.146699531908717</v>
      </c>
    </row>
    <row r="485" spans="3:8" x14ac:dyDescent="0.35">
      <c r="C485" s="8">
        <f t="shared" ca="1" si="28"/>
        <v>0.95591701479388413</v>
      </c>
      <c r="D485" s="7">
        <f t="shared" ca="1" si="29"/>
        <v>0.10413615071298978</v>
      </c>
      <c r="E485" s="7">
        <f t="shared" ca="1" si="30"/>
        <v>0.40812227621366415</v>
      </c>
      <c r="F485" s="7">
        <f t="shared" ca="1" si="31"/>
        <v>1.9034625351542413E-2</v>
      </c>
      <c r="G485" s="7">
        <f ca="1">$C$11/(1+D485)^1
 +$D$11/(1+D485)^2
 +$E$11/(1+D485)^3
 +$F$11/(1+D485)^4
 +$G$11/(1+D485)^5
 +$H$11/(1+D485)^6
 +$I$11/(1+D485)^7
 + ( $I$11*(1+F485)/(D485-F485) )/(1+D485)^7</f>
        <v>312.00474837062325</v>
      </c>
      <c r="H485" s="7">
        <f ca="1">(G485-$C$8)/$C$9</f>
        <v>1.699088355781452</v>
      </c>
    </row>
    <row r="486" spans="3:8" x14ac:dyDescent="0.35">
      <c r="C486" s="8">
        <f t="shared" ca="1" si="28"/>
        <v>0.62576907924649738</v>
      </c>
      <c r="D486" s="7">
        <f t="shared" ca="1" si="29"/>
        <v>9.2914915329805003E-2</v>
      </c>
      <c r="E486" s="7">
        <f t="shared" ca="1" si="30"/>
        <v>0.78864520048628717</v>
      </c>
      <c r="F486" s="7">
        <f t="shared" ca="1" si="31"/>
        <v>2.3498387899701909E-2</v>
      </c>
      <c r="G486" s="7">
        <f ca="1">$C$11/(1+D486)^1
 +$D$11/(1+D486)^2
 +$E$11/(1+D486)^3
 +$F$11/(1+D486)^4
 +$G$11/(1+D486)^5
 +$H$11/(1+D486)^6
 +$I$11/(1+D486)^7
 + ( $I$11*(1+F486)/(D486-F486) )/(1+D486)^7</f>
        <v>377.92102251695013</v>
      </c>
      <c r="H486" s="7">
        <f ca="1">(G486-$C$8)/$C$9</f>
        <v>2.0717493358036529</v>
      </c>
    </row>
    <row r="487" spans="3:8" x14ac:dyDescent="0.35">
      <c r="C487" s="8">
        <f t="shared" ca="1" si="28"/>
        <v>0.83003925410991086</v>
      </c>
      <c r="D487" s="7">
        <f t="shared" ca="1" si="29"/>
        <v>9.84861222086445E-2</v>
      </c>
      <c r="E487" s="7">
        <f t="shared" ca="1" si="30"/>
        <v>0.62304177885869261</v>
      </c>
      <c r="F487" s="7">
        <f t="shared" ca="1" si="31"/>
        <v>2.1317163814267744E-2</v>
      </c>
      <c r="G487" s="7">
        <f ca="1">$C$11/(1+D487)^1
 +$D$11/(1+D487)^2
 +$E$11/(1+D487)^3
 +$F$11/(1+D487)^4
 +$G$11/(1+D487)^5
 +$H$11/(1+D487)^6
 +$I$11/(1+D487)^7
 + ( $I$11*(1+F487)/(D487-F487) )/(1+D487)^7</f>
        <v>341.99331288464043</v>
      </c>
      <c r="H487" s="7">
        <f ca="1">(G487-$C$8)/$C$9</f>
        <v>1.8686302175748553</v>
      </c>
    </row>
    <row r="488" spans="3:8" x14ac:dyDescent="0.35">
      <c r="C488" s="8">
        <f t="shared" ca="1" si="28"/>
        <v>0.37984803504115294</v>
      </c>
      <c r="D488" s="7">
        <f t="shared" ca="1" si="29"/>
        <v>8.7648665352760974E-2</v>
      </c>
      <c r="E488" s="7">
        <f t="shared" ca="1" si="30"/>
        <v>0.61868613172842257</v>
      </c>
      <c r="F488" s="7">
        <f t="shared" ca="1" si="31"/>
        <v>2.1267144015024896E-2</v>
      </c>
      <c r="G488" s="7">
        <f ca="1">$C$11/(1+D488)^1
 +$D$11/(1+D488)^2
 +$E$11/(1+D488)^3
 +$F$11/(1+D488)^4
 +$G$11/(1+D488)^5
 +$H$11/(1+D488)^6
 +$I$11/(1+D488)^7
 + ( $I$11*(1+F488)/(D488-F488) )/(1+D488)^7</f>
        <v>400.1850534272362</v>
      </c>
      <c r="H488" s="7">
        <f ca="1">(G488-$C$8)/$C$9</f>
        <v>2.197620157322683</v>
      </c>
    </row>
    <row r="489" spans="3:8" x14ac:dyDescent="0.35">
      <c r="C489" s="8">
        <f t="shared" ca="1" si="28"/>
        <v>0.8593358759643972</v>
      </c>
      <c r="D489" s="7">
        <f t="shared" ca="1" si="29"/>
        <v>9.9525363168693148E-2</v>
      </c>
      <c r="E489" s="7">
        <f t="shared" ca="1" si="30"/>
        <v>0.81340301016750316</v>
      </c>
      <c r="F489" s="7">
        <f t="shared" ca="1" si="31"/>
        <v>2.3891039534708107E-2</v>
      </c>
      <c r="G489" s="7">
        <f ca="1">$C$11/(1+D489)^1
 +$D$11/(1+D489)^2
 +$E$11/(1+D489)^3
 +$F$11/(1+D489)^4
 +$G$11/(1+D489)^5
 +$H$11/(1+D489)^6
 +$I$11/(1+D489)^7
 + ( $I$11*(1+F489)/(D489-F489) )/(1+D489)^7</f>
        <v>345.01780333424949</v>
      </c>
      <c r="H489" s="7">
        <f ca="1">(G489-$C$8)/$C$9</f>
        <v>1.8857293268557749</v>
      </c>
    </row>
    <row r="490" spans="3:8" x14ac:dyDescent="0.35">
      <c r="C490" s="8">
        <f t="shared" ca="1" si="28"/>
        <v>0.83145670175740771</v>
      </c>
      <c r="D490" s="7">
        <f t="shared" ca="1" si="29"/>
        <v>9.8534234756056535E-2</v>
      </c>
      <c r="E490" s="7">
        <f t="shared" ca="1" si="30"/>
        <v>0.12275241139010085</v>
      </c>
      <c r="F490" s="7">
        <f t="shared" ca="1" si="31"/>
        <v>1.4954844324297199E-2</v>
      </c>
      <c r="G490" s="7">
        <f ca="1">$C$11/(1+D490)^1
 +$D$11/(1+D490)^2
 +$E$11/(1+D490)^3
 +$F$11/(1+D490)^4
 +$G$11/(1+D490)^5
 +$H$11/(1+D490)^6
 +$I$11/(1+D490)^7
 + ( $I$11*(1+F490)/(D490-F490) )/(1+D490)^7</f>
        <v>324.07294577995805</v>
      </c>
      <c r="H490" s="7">
        <f ca="1">(G490-$C$8)/$C$9</f>
        <v>1.7673165184303372</v>
      </c>
    </row>
    <row r="491" spans="3:8" x14ac:dyDescent="0.35">
      <c r="C491" s="8">
        <f t="shared" ca="1" si="28"/>
        <v>0.32143031317185577</v>
      </c>
      <c r="D491" s="7">
        <f t="shared" ca="1" si="29"/>
        <v>8.6234927064847616E-2</v>
      </c>
      <c r="E491" s="7">
        <f t="shared" ca="1" si="30"/>
        <v>0.10683981959633582</v>
      </c>
      <c r="F491" s="7">
        <f t="shared" ca="1" si="31"/>
        <v>1.462254950425273E-2</v>
      </c>
      <c r="G491" s="7">
        <f ca="1">$C$11/(1+D491)^1
 +$D$11/(1+D491)^2
 +$E$11/(1+D491)^3
 +$F$11/(1+D491)^4
 +$G$11/(1+D491)^5
 +$H$11/(1+D491)^6
 +$I$11/(1+D491)^7
 + ( $I$11*(1+F491)/(D491-F491) )/(1+D491)^7</f>
        <v>381.80976767225252</v>
      </c>
      <c r="H491" s="7">
        <f ca="1">(G491-$C$8)/$C$9</f>
        <v>2.0937345526472892</v>
      </c>
    </row>
    <row r="492" spans="3:8" x14ac:dyDescent="0.35">
      <c r="C492" s="8">
        <f t="shared" ca="1" si="28"/>
        <v>0.65728596884855739</v>
      </c>
      <c r="D492" s="7">
        <f t="shared" ca="1" si="29"/>
        <v>9.3650169900022659E-2</v>
      </c>
      <c r="E492" s="7">
        <f t="shared" ca="1" si="30"/>
        <v>0.48698158325037499</v>
      </c>
      <c r="F492" s="7">
        <f t="shared" ca="1" si="31"/>
        <v>1.9868957222020721E-2</v>
      </c>
      <c r="G492" s="7">
        <f ca="1">$C$11/(1+D492)^1
 +$D$11/(1+D492)^2
 +$E$11/(1+D492)^3
 +$F$11/(1+D492)^4
 +$G$11/(1+D492)^5
 +$H$11/(1+D492)^6
 +$I$11/(1+D492)^7
 + ( $I$11*(1+F492)/(D492-F492) )/(1+D492)^7</f>
        <v>360.87627258659916</v>
      </c>
      <c r="H492" s="7">
        <f ca="1">(G492-$C$8)/$C$9</f>
        <v>1.9753859825113023</v>
      </c>
    </row>
    <row r="493" spans="3:8" x14ac:dyDescent="0.35">
      <c r="C493" s="8">
        <f t="shared" ca="1" si="28"/>
        <v>0.64908276615863558</v>
      </c>
      <c r="D493" s="7">
        <f t="shared" ca="1" si="29"/>
        <v>9.3455652252316973E-2</v>
      </c>
      <c r="E493" s="7">
        <f t="shared" ca="1" si="30"/>
        <v>0.8438020364595531</v>
      </c>
      <c r="F493" s="7">
        <f t="shared" ca="1" si="31"/>
        <v>2.4410760990251947E-2</v>
      </c>
      <c r="G493" s="7">
        <f ca="1">$C$11/(1+D493)^1
 +$D$11/(1+D493)^2
 +$E$11/(1+D493)^3
 +$F$11/(1+D493)^4
 +$G$11/(1+D493)^5
 +$H$11/(1+D493)^6
 +$I$11/(1+D493)^7
 + ( $I$11*(1+F493)/(D493-F493) )/(1+D493)^7</f>
        <v>378.37264011271577</v>
      </c>
      <c r="H493" s="7">
        <f ca="1">(G493-$C$8)/$C$9</f>
        <v>2.0743025786562401</v>
      </c>
    </row>
    <row r="494" spans="3:8" x14ac:dyDescent="0.35">
      <c r="C494" s="8">
        <f t="shared" ca="1" si="28"/>
        <v>5.0720596092803438E-2</v>
      </c>
      <c r="D494" s="7">
        <f t="shared" ca="1" si="29"/>
        <v>7.6449099843861848E-2</v>
      </c>
      <c r="E494" s="7">
        <f t="shared" ca="1" si="30"/>
        <v>7.4408007617788874E-2</v>
      </c>
      <c r="F494" s="7">
        <f t="shared" ca="1" si="31"/>
        <v>1.3857667886632775E-2</v>
      </c>
      <c r="G494" s="7">
        <f ca="1">$C$11/(1+D494)^1
 +$D$11/(1+D494)^2
 +$E$11/(1+D494)^3
 +$F$11/(1+D494)^4
 +$G$11/(1+D494)^5
 +$H$11/(1+D494)^6
 +$I$11/(1+D494)^7
 + ( $I$11*(1+F494)/(D494-F494) )/(1+D494)^7</f>
        <v>441.21708483828075</v>
      </c>
      <c r="H494" s="7">
        <f ca="1">(G494-$C$8)/$C$9</f>
        <v>2.42959681613682</v>
      </c>
    </row>
    <row r="495" spans="3:8" x14ac:dyDescent="0.35">
      <c r="C495" s="8">
        <f t="shared" ca="1" si="28"/>
        <v>0.68037875630123235</v>
      </c>
      <c r="D495" s="7">
        <f t="shared" ca="1" si="29"/>
        <v>9.421061843880392E-2</v>
      </c>
      <c r="E495" s="7">
        <f t="shared" ca="1" si="30"/>
        <v>0.22801596135741464</v>
      </c>
      <c r="F495" s="7">
        <f t="shared" ca="1" si="31"/>
        <v>1.675301356962082E-2</v>
      </c>
      <c r="G495" s="7">
        <f ca="1">$C$11/(1+D495)^1
 +$D$11/(1+D495)^2
 +$E$11/(1+D495)^3
 +$F$11/(1+D495)^4
 +$G$11/(1+D495)^5
 +$H$11/(1+D495)^6
 +$I$11/(1+D495)^7
 + ( $I$11*(1+F495)/(D495-F495) )/(1+D495)^7</f>
        <v>348.08863290221848</v>
      </c>
      <c r="H495" s="7">
        <f ca="1">(G495-$C$8)/$C$9</f>
        <v>1.9030904166792089</v>
      </c>
    </row>
    <row r="496" spans="3:8" x14ac:dyDescent="0.35">
      <c r="C496" s="8">
        <f t="shared" ca="1" si="28"/>
        <v>0.13133257794731379</v>
      </c>
      <c r="D496" s="7">
        <f t="shared" ca="1" si="29"/>
        <v>8.0377510005622613E-2</v>
      </c>
      <c r="E496" s="7">
        <f t="shared" ca="1" si="30"/>
        <v>8.9542626759032795E-2</v>
      </c>
      <c r="F496" s="7">
        <f t="shared" ca="1" si="31"/>
        <v>1.4231846565248622E-2</v>
      </c>
      <c r="G496" s="7">
        <f ca="1">$C$11/(1+D496)^1
 +$D$11/(1+D496)^2
 +$E$11/(1+D496)^3
 +$F$11/(1+D496)^4
 +$G$11/(1+D496)^5
 +$H$11/(1+D496)^6
 +$I$11/(1+D496)^7
 + ( $I$11*(1+F496)/(D496-F496) )/(1+D496)^7</f>
        <v>415.70230213889675</v>
      </c>
      <c r="H496" s="7">
        <f ca="1">(G496-$C$8)/$C$9</f>
        <v>2.2853477054437854</v>
      </c>
    </row>
    <row r="497" spans="3:8" x14ac:dyDescent="0.35">
      <c r="C497" s="8">
        <f t="shared" ca="1" si="28"/>
        <v>0.8588904653365691</v>
      </c>
      <c r="D497" s="7">
        <f t="shared" ca="1" si="29"/>
        <v>9.9508792393748186E-2</v>
      </c>
      <c r="E497" s="7">
        <f t="shared" ca="1" si="30"/>
        <v>0.15257708684179583</v>
      </c>
      <c r="F497" s="7">
        <f t="shared" ca="1" si="31"/>
        <v>1.552407615519185E-2</v>
      </c>
      <c r="G497" s="7">
        <f ca="1">$C$11/(1+D497)^1
 +$D$11/(1+D497)^2
 +$E$11/(1+D497)^3
 +$F$11/(1+D497)^4
 +$G$11/(1+D497)^5
 +$H$11/(1+D497)^6
 +$I$11/(1+D497)^7
 + ( $I$11*(1+F497)/(D497-F497) )/(1+D497)^7</f>
        <v>321.57036006897215</v>
      </c>
      <c r="H497" s="7">
        <f ca="1">(G497-$C$8)/$C$9</f>
        <v>1.7531680239087073</v>
      </c>
    </row>
    <row r="498" spans="3:8" x14ac:dyDescent="0.35">
      <c r="C498" s="8">
        <f t="shared" ca="1" si="28"/>
        <v>0.50173406544993981</v>
      </c>
      <c r="D498" s="7">
        <f t="shared" ca="1" si="29"/>
        <v>9.0283538489843204E-2</v>
      </c>
      <c r="E498" s="7">
        <f t="shared" ca="1" si="30"/>
        <v>0.3086990126999315</v>
      </c>
      <c r="F498" s="7">
        <f t="shared" ca="1" si="31"/>
        <v>1.7857467947117969E-2</v>
      </c>
      <c r="G498" s="7">
        <f ca="1">$C$11/(1+D498)^1
 +$D$11/(1+D498)^2
 +$E$11/(1+D498)^3
 +$F$11/(1+D498)^4
 +$G$11/(1+D498)^5
 +$H$11/(1+D498)^6
 +$I$11/(1+D498)^7
 + ( $I$11*(1+F498)/(D498-F498) )/(1+D498)^7</f>
        <v>371.4910373001303</v>
      </c>
      <c r="H498" s="7">
        <f ca="1">(G498-$C$8)/$C$9</f>
        <v>2.0353970901183303</v>
      </c>
    </row>
    <row r="499" spans="3:8" x14ac:dyDescent="0.35">
      <c r="C499" s="8">
        <f t="shared" ca="1" si="28"/>
        <v>0.42031899599271438</v>
      </c>
      <c r="D499" s="7">
        <f t="shared" ca="1" si="29"/>
        <v>8.8565063337194022E-2</v>
      </c>
      <c r="E499" s="7">
        <f t="shared" ca="1" si="30"/>
        <v>0.72274515785064808</v>
      </c>
      <c r="F499" s="7">
        <f t="shared" ca="1" si="31"/>
        <v>2.2553459297776558E-2</v>
      </c>
      <c r="G499" s="7">
        <f ca="1">$C$11/(1+D499)^1
 +$D$11/(1+D499)^2
 +$E$11/(1+D499)^3
 +$F$11/(1+D499)^4
 +$G$11/(1+D499)^5
 +$H$11/(1+D499)^6
 +$I$11/(1+D499)^7
 + ( $I$11*(1+F499)/(D499-F499) )/(1+D499)^7</f>
        <v>400.00990156001581</v>
      </c>
      <c r="H499" s="7">
        <f ca="1">(G499-$C$8)/$C$9</f>
        <v>2.1966299274085017</v>
      </c>
    </row>
    <row r="500" spans="3:8" x14ac:dyDescent="0.35">
      <c r="C500" s="8">
        <f t="shared" ca="1" si="28"/>
        <v>0.49322784543974174</v>
      </c>
      <c r="D500" s="7">
        <f t="shared" ca="1" si="29"/>
        <v>9.0110863563273164E-2</v>
      </c>
      <c r="E500" s="7">
        <f t="shared" ca="1" si="30"/>
        <v>0.80732906211248401</v>
      </c>
      <c r="F500" s="7">
        <f t="shared" ca="1" si="31"/>
        <v>2.3792408874812775E-2</v>
      </c>
      <c r="G500" s="7">
        <f ca="1">$C$11/(1+D500)^1
 +$D$11/(1+D500)^2
 +$E$11/(1+D500)^3
 +$F$11/(1+D500)^4
 +$G$11/(1+D500)^5
 +$H$11/(1+D500)^6
 +$I$11/(1+D500)^7
 + ( $I$11*(1+F500)/(D500-F500) )/(1+D500)^7</f>
        <v>395.70553585710678</v>
      </c>
      <c r="H500" s="7">
        <f ca="1">(G500-$C$8)/$C$9</f>
        <v>2.1722949788393642</v>
      </c>
    </row>
    <row r="501" spans="3:8" x14ac:dyDescent="0.35">
      <c r="C501" s="8">
        <f t="shared" ca="1" si="28"/>
        <v>0.77781289984118562</v>
      </c>
      <c r="D501" s="7">
        <f t="shared" ca="1" si="29"/>
        <v>9.6835428676790292E-2</v>
      </c>
      <c r="E501" s="7">
        <f t="shared" ca="1" si="30"/>
        <v>0.7992219223689514</v>
      </c>
      <c r="F501" s="7">
        <f t="shared" ca="1" si="31"/>
        <v>2.3663154134254981E-2</v>
      </c>
      <c r="G501" s="7">
        <f ca="1">$C$11/(1+D501)^1
 +$D$11/(1+D501)^2
 +$E$11/(1+D501)^3
 +$F$11/(1+D501)^4
 +$G$11/(1+D501)^5
 +$H$11/(1+D501)^6
 +$I$11/(1+D501)^7
 + ( $I$11*(1+F501)/(D501-F501) )/(1+D501)^7</f>
        <v>357.49303617598258</v>
      </c>
      <c r="H501" s="7">
        <f ca="1">(G501-$C$8)/$C$9</f>
        <v>1.9562586848483863</v>
      </c>
    </row>
    <row r="502" spans="3:8" x14ac:dyDescent="0.35">
      <c r="C502" s="8">
        <f t="shared" ca="1" si="28"/>
        <v>0.20143621447983373</v>
      </c>
      <c r="D502" s="7">
        <f t="shared" ca="1" si="29"/>
        <v>8.2852147519907465E-2</v>
      </c>
      <c r="E502" s="7">
        <f t="shared" ca="1" si="30"/>
        <v>0.71552320445014483</v>
      </c>
      <c r="F502" s="7">
        <f t="shared" ca="1" si="31"/>
        <v>2.2457098760425731E-2</v>
      </c>
      <c r="G502" s="7">
        <f ca="1">$C$11/(1+D502)^1
 +$D$11/(1+D502)^2
 +$E$11/(1+D502)^3
 +$F$11/(1+D502)^4
 +$G$11/(1+D502)^5
 +$H$11/(1+D502)^6
 +$I$11/(1+D502)^7
 + ( $I$11*(1+F502)/(D502-F502) )/(1+D502)^7</f>
        <v>438.86701559445567</v>
      </c>
      <c r="H502" s="7">
        <f ca="1">(G502-$C$8)/$C$9</f>
        <v>2.4163105811536387</v>
      </c>
    </row>
    <row r="503" spans="3:8" x14ac:dyDescent="0.35">
      <c r="C503" s="8">
        <f t="shared" ca="1" si="28"/>
        <v>0.81742814665907826</v>
      </c>
      <c r="D503" s="7">
        <f t="shared" ca="1" si="29"/>
        <v>9.8066599579083966E-2</v>
      </c>
      <c r="E503" s="7">
        <f t="shared" ca="1" si="30"/>
        <v>0.24118916982475946</v>
      </c>
      <c r="F503" s="7">
        <f t="shared" ca="1" si="31"/>
        <v>1.6945346209149829E-2</v>
      </c>
      <c r="G503" s="7">
        <f ca="1">$C$11/(1+D503)^1
 +$D$11/(1+D503)^2
 +$E$11/(1+D503)^3
 +$F$11/(1+D503)^4
 +$G$11/(1+D503)^5
 +$H$11/(1+D503)^6
 +$I$11/(1+D503)^7
 + ( $I$11*(1+F503)/(D503-F503) )/(1+D503)^7</f>
        <v>331.30737097981091</v>
      </c>
      <c r="H503" s="7">
        <f ca="1">(G503-$C$8)/$C$9</f>
        <v>1.8082167061273795</v>
      </c>
    </row>
    <row r="504" spans="3:8" x14ac:dyDescent="0.35">
      <c r="C504" s="8">
        <f t="shared" ca="1" si="28"/>
        <v>0.43098434839591226</v>
      </c>
      <c r="D504" s="7">
        <f t="shared" ca="1" si="29"/>
        <v>8.8799126726650052E-2</v>
      </c>
      <c r="E504" s="7">
        <f t="shared" ca="1" si="30"/>
        <v>0.3916687256139687</v>
      </c>
      <c r="F504" s="7">
        <f t="shared" ca="1" si="31"/>
        <v>1.8850635294869727E-2</v>
      </c>
      <c r="G504" s="7">
        <f ca="1">$C$11/(1+D504)^1
 +$D$11/(1+D504)^2
 +$E$11/(1+D504)^3
 +$F$11/(1+D504)^4
 +$G$11/(1+D504)^5
 +$H$11/(1+D504)^6
 +$I$11/(1+D504)^7
 + ( $I$11*(1+F504)/(D504-F504) )/(1+D504)^7</f>
        <v>383.40977442866478</v>
      </c>
      <c r="H504" s="7">
        <f ca="1">(G504-$C$8)/$C$9</f>
        <v>2.1027802715324784</v>
      </c>
    </row>
    <row r="505" spans="3:8" x14ac:dyDescent="0.35">
      <c r="C505" s="8">
        <f t="shared" ca="1" si="28"/>
        <v>0.65174357318569476</v>
      </c>
      <c r="D505" s="7">
        <f t="shared" ca="1" si="29"/>
        <v>9.3518494822524306E-2</v>
      </c>
      <c r="E505" s="7">
        <f t="shared" ca="1" si="30"/>
        <v>0.73689585220989084</v>
      </c>
      <c r="F505" s="7">
        <f t="shared" ca="1" si="31"/>
        <v>2.2745978387265321E-2</v>
      </c>
      <c r="G505" s="7">
        <f ca="1">$C$11/(1+D505)^1
 +$D$11/(1+D505)^2
 +$E$11/(1+D505)^3
 +$F$11/(1+D505)^4
 +$G$11/(1+D505)^5
 +$H$11/(1+D505)^6
 +$I$11/(1+D505)^7
 + ( $I$11*(1+F505)/(D505-F505) )/(1+D505)^7</f>
        <v>371.73477762152078</v>
      </c>
      <c r="H505" s="7">
        <f ca="1">(G505-$C$8)/$C$9</f>
        <v>2.0367750883170554</v>
      </c>
    </row>
    <row r="506" spans="3:8" x14ac:dyDescent="0.35">
      <c r="C506" s="8">
        <f t="shared" ca="1" si="28"/>
        <v>0.35772981879904986</v>
      </c>
      <c r="D506" s="7">
        <f t="shared" ca="1" si="29"/>
        <v>8.7127126186702222E-2</v>
      </c>
      <c r="E506" s="7">
        <f t="shared" ca="1" si="30"/>
        <v>0.44774434163401189</v>
      </c>
      <c r="F506" s="7">
        <f t="shared" ca="1" si="31"/>
        <v>1.9463026383076523E-2</v>
      </c>
      <c r="G506" s="7">
        <f ca="1">$C$11/(1+D506)^1
 +$D$11/(1+D506)^2
 +$E$11/(1+D506)^3
 +$F$11/(1+D506)^4
 +$G$11/(1+D506)^5
 +$H$11/(1+D506)^6
 +$I$11/(1+D506)^7
 + ( $I$11*(1+F506)/(D506-F506) )/(1+D506)^7</f>
        <v>395.74267281963489</v>
      </c>
      <c r="H506" s="7">
        <f ca="1">(G506-$C$8)/$C$9</f>
        <v>2.172504934529822</v>
      </c>
    </row>
    <row r="507" spans="3:8" x14ac:dyDescent="0.35">
      <c r="C507" s="8">
        <f t="shared" ca="1" si="28"/>
        <v>0.32927376015796062</v>
      </c>
      <c r="D507" s="7">
        <f t="shared" ca="1" si="29"/>
        <v>8.6431813147961722E-2</v>
      </c>
      <c r="E507" s="7">
        <f t="shared" ca="1" si="30"/>
        <v>0.92298328455067247</v>
      </c>
      <c r="F507" s="7">
        <f t="shared" ca="1" si="31"/>
        <v>2.6075290699954262E-2</v>
      </c>
      <c r="G507" s="7">
        <f ca="1">$C$11/(1+D507)^1
 +$D$11/(1+D507)^2
 +$E$11/(1+D507)^3
 +$F$11/(1+D507)^4
 +$G$11/(1+D507)^5
 +$H$11/(1+D507)^6
 +$I$11/(1+D507)^7
 + ( $I$11*(1+F507)/(D507-F507) )/(1+D507)^7</f>
        <v>431.41027022044898</v>
      </c>
      <c r="H507" s="7">
        <f ca="1">(G507-$C$8)/$C$9</f>
        <v>2.3741534951404848</v>
      </c>
    </row>
    <row r="508" spans="3:8" x14ac:dyDescent="0.35">
      <c r="C508" s="8">
        <f t="shared" ca="1" si="28"/>
        <v>0.97865457980953496</v>
      </c>
      <c r="D508" s="7">
        <f t="shared" ca="1" si="29"/>
        <v>0.10591962896925258</v>
      </c>
      <c r="E508" s="7">
        <f t="shared" ca="1" si="30"/>
        <v>0.59943680012785161</v>
      </c>
      <c r="F508" s="7">
        <f t="shared" ca="1" si="31"/>
        <v>2.1049433538907737E-2</v>
      </c>
      <c r="G508" s="7">
        <f ca="1">$C$11/(1+D508)^1
 +$D$11/(1+D508)^2
 +$E$11/(1+D508)^3
 +$F$11/(1+D508)^4
 +$G$11/(1+D508)^5
 +$H$11/(1+D508)^6
 +$I$11/(1+D508)^7
 + ( $I$11*(1+F508)/(D508-F508) )/(1+D508)^7</f>
        <v>309.99540818478454</v>
      </c>
      <c r="H508" s="7">
        <f ca="1">(G508-$C$8)/$C$9</f>
        <v>1.6877284497104508</v>
      </c>
    </row>
    <row r="509" spans="3:8" x14ac:dyDescent="0.35">
      <c r="C509" s="8">
        <f t="shared" ca="1" si="28"/>
        <v>0.75695345290837268</v>
      </c>
      <c r="D509" s="7">
        <f t="shared" ca="1" si="29"/>
        <v>9.6231328795723631E-2</v>
      </c>
      <c r="E509" s="7">
        <f t="shared" ca="1" si="30"/>
        <v>9.1321128368737292E-2</v>
      </c>
      <c r="F509" s="7">
        <f t="shared" ca="1" si="31"/>
        <v>1.4273666537500024E-2</v>
      </c>
      <c r="G509" s="7">
        <f ca="1">$C$11/(1+D509)^1
 +$D$11/(1+D509)^2
 +$E$11/(1+D509)^3
 +$F$11/(1+D509)^4
 +$G$11/(1+D509)^5
 +$H$11/(1+D509)^6
 +$I$11/(1+D509)^7
 + ( $I$11*(1+F509)/(D509-F509) )/(1+D509)^7</f>
        <v>331.88857608516037</v>
      </c>
      <c r="H509" s="7">
        <f ca="1">(G509-$C$8)/$C$9</f>
        <v>1.8115025785004542</v>
      </c>
    </row>
    <row r="510" spans="3:8" x14ac:dyDescent="0.35">
      <c r="C510" s="8">
        <f t="shared" ca="1" si="28"/>
        <v>0.26212294706284511</v>
      </c>
      <c r="D510" s="7">
        <f t="shared" ca="1" si="29"/>
        <v>8.4660860022233789E-2</v>
      </c>
      <c r="E510" s="7">
        <f t="shared" ca="1" si="30"/>
        <v>0.56794337797434957</v>
      </c>
      <c r="F510" s="7">
        <f t="shared" ca="1" si="31"/>
        <v>2.0704230833054747E-2</v>
      </c>
      <c r="G510" s="7">
        <f ca="1">$C$11/(1+D510)^1
 +$D$11/(1+D510)^2
 +$E$11/(1+D510)^3
 +$F$11/(1+D510)^4
 +$G$11/(1+D510)^5
 +$H$11/(1+D510)^6
 +$I$11/(1+D510)^7
 + ( $I$11*(1+F510)/(D510-F510) )/(1+D510)^7</f>
        <v>417.111134256063</v>
      </c>
      <c r="H510" s="7">
        <f ca="1">(G510-$C$8)/$C$9</f>
        <v>2.293312608865123</v>
      </c>
    </row>
    <row r="511" spans="3:8" x14ac:dyDescent="0.35">
      <c r="C511" s="8">
        <f t="shared" ca="1" si="28"/>
        <v>0.6630008849563358</v>
      </c>
      <c r="D511" s="7">
        <f t="shared" ca="1" si="29"/>
        <v>9.3787063506753074E-2</v>
      </c>
      <c r="E511" s="7">
        <f t="shared" ca="1" si="30"/>
        <v>0.7020428733157561</v>
      </c>
      <c r="F511" s="7">
        <f t="shared" ca="1" si="31"/>
        <v>2.2280451740104942E-2</v>
      </c>
      <c r="G511" s="7">
        <f ca="1">$C$11/(1+D511)^1
 +$D$11/(1+D511)^2
 +$E$11/(1+D511)^3
 +$F$11/(1+D511)^4
 +$G$11/(1+D511)^5
 +$H$11/(1+D511)^6
 +$I$11/(1+D511)^7
 + ( $I$11*(1+F511)/(D511-F511) )/(1+D511)^7</f>
        <v>368.584441893757</v>
      </c>
      <c r="H511" s="7">
        <f ca="1">(G511-$C$8)/$C$9</f>
        <v>2.0189645064097523</v>
      </c>
    </row>
    <row r="512" spans="3:8" x14ac:dyDescent="0.35">
      <c r="C512" s="8">
        <f t="shared" ca="1" si="28"/>
        <v>0.17462404856699831</v>
      </c>
      <c r="D512" s="7">
        <f t="shared" ca="1" si="29"/>
        <v>8.1966274266660394E-2</v>
      </c>
      <c r="E512" s="7">
        <f t="shared" ca="1" si="30"/>
        <v>0.77266458625059364</v>
      </c>
      <c r="F512" s="7">
        <f t="shared" ca="1" si="31"/>
        <v>2.3257071648765556E-2</v>
      </c>
      <c r="G512" s="7">
        <f ca="1">$C$11/(1+D512)^1
 +$D$11/(1+D512)^2
 +$E$11/(1+D512)^3
 +$F$11/(1+D512)^4
 +$G$11/(1+D512)^5
 +$H$11/(1+D512)^6
 +$I$11/(1+D512)^7
 + ( $I$11*(1+F512)/(D512-F512) )/(1+D512)^7</f>
        <v>450.1392409238299</v>
      </c>
      <c r="H512" s="7">
        <f ca="1">(G512-$C$8)/$C$9</f>
        <v>2.4800386755078576</v>
      </c>
    </row>
    <row r="513" spans="3:8" x14ac:dyDescent="0.35">
      <c r="C513" s="8">
        <f t="shared" ca="1" si="28"/>
        <v>0.71922182824679892</v>
      </c>
      <c r="D513" s="7">
        <f t="shared" ca="1" si="29"/>
        <v>9.5201115786401433E-2</v>
      </c>
      <c r="E513" s="7">
        <f t="shared" ca="1" si="30"/>
        <v>0.21983232648681128</v>
      </c>
      <c r="F513" s="7">
        <f t="shared" ca="1" si="31"/>
        <v>1.663072132556951E-2</v>
      </c>
      <c r="G513" s="7">
        <f ca="1">$C$11/(1+D513)^1
 +$D$11/(1+D513)^2
 +$E$11/(1+D513)^3
 +$F$11/(1+D513)^4
 +$G$11/(1+D513)^5
 +$H$11/(1+D513)^6
 +$I$11/(1+D513)^7
 + ( $I$11*(1+F513)/(D513-F513) )/(1+D513)^7</f>
        <v>343.11665296939947</v>
      </c>
      <c r="H513" s="7">
        <f ca="1">(G513-$C$8)/$C$9</f>
        <v>1.8749810773937101</v>
      </c>
    </row>
    <row r="514" spans="3:8" x14ac:dyDescent="0.35">
      <c r="C514" s="8">
        <f t="shared" ca="1" si="28"/>
        <v>0.65081923209600856</v>
      </c>
      <c r="D514" s="7">
        <f t="shared" ca="1" si="29"/>
        <v>9.3496636737770283E-2</v>
      </c>
      <c r="E514" s="7">
        <f t="shared" ca="1" si="30"/>
        <v>0.39991020519195775</v>
      </c>
      <c r="F514" s="7">
        <f t="shared" ca="1" si="31"/>
        <v>1.8943267917176113E-2</v>
      </c>
      <c r="G514" s="7">
        <f ca="1">$C$11/(1+D514)^1
 +$D$11/(1+D514)^2
 +$E$11/(1+D514)^3
 +$F$11/(1+D514)^4
 +$G$11/(1+D514)^5
 +$H$11/(1+D514)^6
 +$I$11/(1+D514)^7
 + ( $I$11*(1+F514)/(D514-F514) )/(1+D514)^7</f>
        <v>358.55000441047974</v>
      </c>
      <c r="H514" s="7">
        <f ca="1">(G514-$C$8)/$C$9</f>
        <v>1.9622343080646751</v>
      </c>
    </row>
    <row r="515" spans="3:8" x14ac:dyDescent="0.35">
      <c r="C515" s="8">
        <f t="shared" ca="1" si="28"/>
        <v>0.62973052702452581</v>
      </c>
      <c r="D515" s="7">
        <f t="shared" ca="1" si="29"/>
        <v>9.3005583595755059E-2</v>
      </c>
      <c r="E515" s="7">
        <f t="shared" ca="1" si="30"/>
        <v>0.25611144849498402</v>
      </c>
      <c r="F515" s="7">
        <f t="shared" ca="1" si="31"/>
        <v>1.7156974898586468E-2</v>
      </c>
      <c r="G515" s="7">
        <f ca="1">$C$11/(1+D515)^1
 +$D$11/(1+D515)^2
 +$E$11/(1+D515)^3
 +$F$11/(1+D515)^4
 +$G$11/(1+D515)^5
 +$H$11/(1+D515)^6
 +$I$11/(1+D515)^7
 + ( $I$11*(1+F515)/(D515-F515) )/(1+D515)^7</f>
        <v>355.15145380310872</v>
      </c>
      <c r="H515" s="7">
        <f ca="1">(G515-$C$8)/$C$9</f>
        <v>1.943020430818118</v>
      </c>
    </row>
    <row r="516" spans="3:8" x14ac:dyDescent="0.35">
      <c r="C516" s="8">
        <f t="shared" ca="1" si="28"/>
        <v>0.46335469820150155</v>
      </c>
      <c r="D516" s="7">
        <f t="shared" ca="1" si="29"/>
        <v>8.9492328042725722E-2</v>
      </c>
      <c r="E516" s="7">
        <f t="shared" ca="1" si="30"/>
        <v>0.1515325042810145</v>
      </c>
      <c r="F516" s="7">
        <f t="shared" ca="1" si="31"/>
        <v>1.550513404525293E-2</v>
      </c>
      <c r="G516" s="7">
        <f ca="1">$C$11/(1+D516)^1
 +$D$11/(1+D516)^2
 +$E$11/(1+D516)^3
 +$F$11/(1+D516)^4
 +$G$11/(1+D516)^5
 +$H$11/(1+D516)^6
 +$I$11/(1+D516)^7
 + ( $I$11*(1+F516)/(D516-F516) )/(1+D516)^7</f>
        <v>367.40862375577842</v>
      </c>
      <c r="H516" s="7">
        <f ca="1">(G516-$C$8)/$C$9</f>
        <v>2.0123169592705699</v>
      </c>
    </row>
    <row r="517" spans="3:8" x14ac:dyDescent="0.35">
      <c r="C517" s="8">
        <f t="shared" ca="1" si="28"/>
        <v>0.45811989981446299</v>
      </c>
      <c r="D517" s="7">
        <f t="shared" ca="1" si="29"/>
        <v>8.938190697139628E-2</v>
      </c>
      <c r="E517" s="7">
        <f t="shared" ca="1" si="30"/>
        <v>0.16109147279618286</v>
      </c>
      <c r="F517" s="7">
        <f t="shared" ca="1" si="31"/>
        <v>1.5676116150964193E-2</v>
      </c>
      <c r="G517" s="7">
        <f ca="1">$C$11/(1+D517)^1
 +$D$11/(1+D517)^2
 +$E$11/(1+D517)^3
 +$F$11/(1+D517)^4
 +$G$11/(1+D517)^5
 +$H$11/(1+D517)^6
 +$I$11/(1+D517)^7
 + ( $I$11*(1+F517)/(D517-F517) )/(1+D517)^7</f>
        <v>368.57716041207095</v>
      </c>
      <c r="H517" s="7">
        <f ca="1">(G517-$C$8)/$C$9</f>
        <v>2.0189233401858373</v>
      </c>
    </row>
    <row r="518" spans="3:8" x14ac:dyDescent="0.35">
      <c r="C518" s="8">
        <f t="shared" ca="1" si="28"/>
        <v>0.26578530546612744</v>
      </c>
      <c r="D518" s="7">
        <f t="shared" ca="1" si="29"/>
        <v>8.4762924862039513E-2</v>
      </c>
      <c r="E518" s="7">
        <f t="shared" ca="1" si="30"/>
        <v>6.0367560556393474E-2</v>
      </c>
      <c r="F518" s="7">
        <f t="shared" ca="1" si="31"/>
        <v>1.3474695973934797E-2</v>
      </c>
      <c r="G518" s="7">
        <f ca="1">$C$11/(1+D518)^1
 +$D$11/(1+D518)^2
 +$E$11/(1+D518)^3
 +$F$11/(1+D518)^4
 +$G$11/(1+D518)^5
 +$H$11/(1+D518)^6
 +$I$11/(1+D518)^7
 + ( $I$11*(1+F518)/(D518-F518) )/(1+D518)^7</f>
        <v>385.76528375388432</v>
      </c>
      <c r="H518" s="7">
        <f ca="1">(G518-$C$8)/$C$9</f>
        <v>2.1160972622901646</v>
      </c>
    </row>
    <row r="519" spans="3:8" x14ac:dyDescent="0.35">
      <c r="C519" s="8">
        <f t="shared" ca="1" si="28"/>
        <v>0.81143144373478349</v>
      </c>
      <c r="D519" s="7">
        <f t="shared" ca="1" si="29"/>
        <v>9.7872202430495936E-2</v>
      </c>
      <c r="E519" s="7">
        <f t="shared" ca="1" si="30"/>
        <v>0.22750340848109196</v>
      </c>
      <c r="F519" s="7">
        <f t="shared" ca="1" si="31"/>
        <v>1.6745419312112361E-2</v>
      </c>
      <c r="G519" s="7">
        <f ca="1">$C$11/(1+D519)^1
 +$D$11/(1+D519)^2
 +$E$11/(1+D519)^3
 +$F$11/(1+D519)^4
 +$G$11/(1+D519)^5
 +$H$11/(1+D519)^6
 +$I$11/(1+D519)^7
 + ( $I$11*(1+F519)/(D519-F519) )/(1+D519)^7</f>
        <v>331.59454681679676</v>
      </c>
      <c r="H519" s="7">
        <f ca="1">(G519-$C$8)/$C$9</f>
        <v>1.8098402692039617</v>
      </c>
    </row>
    <row r="520" spans="3:8" x14ac:dyDescent="0.35">
      <c r="C520" s="8">
        <f t="shared" ca="1" si="28"/>
        <v>0.32250104949344405</v>
      </c>
      <c r="D520" s="7">
        <f t="shared" ca="1" si="29"/>
        <v>8.6261945166080961E-2</v>
      </c>
      <c r="E520" s="7">
        <f t="shared" ca="1" si="30"/>
        <v>0.67973015222378264</v>
      </c>
      <c r="F520" s="7">
        <f t="shared" ca="1" si="31"/>
        <v>2.1996627613609154E-2</v>
      </c>
      <c r="G520" s="7">
        <f ca="1">$C$11/(1+D520)^1
 +$D$11/(1+D520)^2
 +$E$11/(1+D520)^3
 +$F$11/(1+D520)^4
 +$G$11/(1+D520)^5
 +$H$11/(1+D520)^6
 +$I$11/(1+D520)^7
 + ( $I$11*(1+F520)/(D520-F520) )/(1+D520)^7</f>
        <v>412.41774990670694</v>
      </c>
      <c r="H520" s="7">
        <f ca="1">(G520-$C$8)/$C$9</f>
        <v>2.2667783237602155</v>
      </c>
    </row>
    <row r="521" spans="3:8" x14ac:dyDescent="0.35">
      <c r="C521" s="8">
        <f t="shared" ca="1" si="28"/>
        <v>0.66521302457074094</v>
      </c>
      <c r="D521" s="7">
        <f t="shared" ca="1" si="29"/>
        <v>9.3840363839652136E-2</v>
      </c>
      <c r="E521" s="7">
        <f t="shared" ca="1" si="30"/>
        <v>0.35796295058220262</v>
      </c>
      <c r="F521" s="7">
        <f t="shared" ca="1" si="31"/>
        <v>1.8461240459674962E-2</v>
      </c>
      <c r="G521" s="7">
        <f ca="1">$C$11/(1+D521)^1
 +$D$11/(1+D521)^2
 +$E$11/(1+D521)^3
 +$F$11/(1+D521)^4
 +$G$11/(1+D521)^5
 +$H$11/(1+D521)^6
 +$I$11/(1+D521)^7
 + ( $I$11*(1+F521)/(D521-F521) )/(1+D521)^7</f>
        <v>355.25712613630816</v>
      </c>
      <c r="H521" s="7">
        <f ca="1">(G521-$C$8)/$C$9</f>
        <v>1.943617854682882</v>
      </c>
    </row>
    <row r="522" spans="3:8" x14ac:dyDescent="0.35">
      <c r="C522" s="8">
        <f t="shared" ca="1" si="28"/>
        <v>0.8160089702755482</v>
      </c>
      <c r="D522" s="7">
        <f t="shared" ca="1" si="29"/>
        <v>9.802030871912501E-2</v>
      </c>
      <c r="E522" s="7">
        <f t="shared" ca="1" si="30"/>
        <v>0.65209122878653836</v>
      </c>
      <c r="F522" s="7">
        <f t="shared" ca="1" si="31"/>
        <v>2.1658432147210437E-2</v>
      </c>
      <c r="G522" s="7">
        <f ca="1">$C$11/(1+D522)^1
 +$D$11/(1+D522)^2
 +$E$11/(1+D522)^3
 +$F$11/(1+D522)^4
 +$G$11/(1+D522)^5
 +$H$11/(1+D522)^6
 +$I$11/(1+D522)^7
 + ( $I$11*(1+F522)/(D522-F522) )/(1+D522)^7</f>
        <v>345.21104067307635</v>
      </c>
      <c r="H522" s="7">
        <f ca="1">(G522-$C$8)/$C$9</f>
        <v>1.8868218038957278</v>
      </c>
    </row>
    <row r="523" spans="3:8" x14ac:dyDescent="0.35">
      <c r="C523" s="8">
        <f t="shared" ca="1" si="28"/>
        <v>0.63606936697108629</v>
      </c>
      <c r="D523" s="7">
        <f t="shared" ca="1" si="29"/>
        <v>9.315167979404021E-2</v>
      </c>
      <c r="E523" s="7">
        <f t="shared" ca="1" si="30"/>
        <v>0.7469421633559894</v>
      </c>
      <c r="F523" s="7">
        <f t="shared" ca="1" si="31"/>
        <v>2.2885819279157851E-2</v>
      </c>
      <c r="G523" s="7">
        <f ca="1">$C$11/(1+D523)^1
 +$D$11/(1+D523)^2
 +$E$11/(1+D523)^3
 +$F$11/(1+D523)^4
 +$G$11/(1+D523)^5
 +$H$11/(1+D523)^6
 +$I$11/(1+D523)^7
 + ( $I$11*(1+F523)/(D523-F523) )/(1+D523)^7</f>
        <v>374.27219334787128</v>
      </c>
      <c r="H523" s="7">
        <f ca="1">(G523-$C$8)/$C$9</f>
        <v>2.0511204960870151</v>
      </c>
    </row>
    <row r="524" spans="3:8" x14ac:dyDescent="0.35">
      <c r="C524" s="8">
        <f t="shared" ca="1" si="28"/>
        <v>0.51903035082819116</v>
      </c>
      <c r="D524" s="7">
        <f t="shared" ca="1" si="29"/>
        <v>9.0631047360427291E-2</v>
      </c>
      <c r="E524" s="7">
        <f t="shared" ca="1" si="30"/>
        <v>6.3717960209919489E-2</v>
      </c>
      <c r="F524" s="7">
        <f t="shared" ca="1" si="31"/>
        <v>1.3569816807902599E-2</v>
      </c>
      <c r="G524" s="7">
        <f ca="1">$C$11/(1+D524)^1
 +$D$11/(1+D524)^2
 +$E$11/(1+D524)^3
 +$F$11/(1+D524)^4
 +$G$11/(1+D524)^5
 +$H$11/(1+D524)^6
 +$I$11/(1+D524)^7
 + ( $I$11*(1+F524)/(D524-F524) )/(1+D524)^7</f>
        <v>355.30317413725459</v>
      </c>
      <c r="H524" s="7">
        <f ca="1">(G524-$C$8)/$C$9</f>
        <v>1.9438781893784181</v>
      </c>
    </row>
    <row r="525" spans="3:8" x14ac:dyDescent="0.35">
      <c r="C525" s="8">
        <f t="shared" ca="1" si="28"/>
        <v>0.55915369339087817</v>
      </c>
      <c r="D525" s="7">
        <f t="shared" ca="1" si="29"/>
        <v>9.1456534327286204E-2</v>
      </c>
      <c r="E525" s="7">
        <f t="shared" ca="1" si="30"/>
        <v>0.15866249564912616</v>
      </c>
      <c r="F525" s="7">
        <f t="shared" ca="1" si="31"/>
        <v>1.5633160669626354E-2</v>
      </c>
      <c r="G525" s="7">
        <f ca="1">$C$11/(1+D525)^1
 +$D$11/(1+D525)^2
 +$E$11/(1+D525)^3
 +$F$11/(1+D525)^4
 +$G$11/(1+D525)^5
 +$H$11/(1+D525)^6
 +$I$11/(1+D525)^7
 + ( $I$11*(1+F525)/(D525-F525) )/(1+D525)^7</f>
        <v>357.86292197955765</v>
      </c>
      <c r="H525" s="7">
        <f ca="1">(G525-$C$8)/$C$9</f>
        <v>1.9583498528921168</v>
      </c>
    </row>
    <row r="526" spans="3:8" x14ac:dyDescent="0.35">
      <c r="C526" s="8">
        <f t="shared" ca="1" si="28"/>
        <v>0.61238176566600666</v>
      </c>
      <c r="D526" s="7">
        <f t="shared" ca="1" si="29"/>
        <v>9.2612009236817644E-2</v>
      </c>
      <c r="E526" s="7">
        <f t="shared" ca="1" si="30"/>
        <v>0.89391741816349701</v>
      </c>
      <c r="F526" s="7">
        <f t="shared" ca="1" si="31"/>
        <v>2.5393861013028308E-2</v>
      </c>
      <c r="G526" s="7">
        <f ca="1">$C$11/(1+D526)^1
 +$D$11/(1+D526)^2
 +$E$11/(1+D526)^3
 +$F$11/(1+D526)^4
 +$G$11/(1+D526)^5
 +$H$11/(1+D526)^6
 +$I$11/(1+D526)^7
 + ( $I$11*(1+F526)/(D526-F526) )/(1+D526)^7</f>
        <v>387.20808771002049</v>
      </c>
      <c r="H526" s="7">
        <f ca="1">(G526-$C$8)/$C$9</f>
        <v>2.1242542272163076</v>
      </c>
    </row>
    <row r="527" spans="3:8" x14ac:dyDescent="0.35">
      <c r="C527" s="8">
        <f t="shared" ca="1" si="28"/>
        <v>0.13542084906688756</v>
      </c>
      <c r="D527" s="7">
        <f t="shared" ca="1" si="29"/>
        <v>8.0537793708117839E-2</v>
      </c>
      <c r="E527" s="7">
        <f t="shared" ca="1" si="30"/>
        <v>0.58181573133996134</v>
      </c>
      <c r="F527" s="7">
        <f t="shared" ca="1" si="31"/>
        <v>2.0854681321462454E-2</v>
      </c>
      <c r="G527" s="7">
        <f ca="1">$C$11/(1+D527)^1
 +$D$11/(1+D527)^2
 +$E$11/(1+D527)^3
 +$F$11/(1+D527)^4
 +$G$11/(1+D527)^5
 +$H$11/(1+D527)^6
 +$I$11/(1+D527)^7
 + ( $I$11*(1+F527)/(D527-F527) )/(1+D527)^7</f>
        <v>447.82544584723291</v>
      </c>
      <c r="H527" s="7">
        <f ca="1">(G527-$C$8)/$C$9</f>
        <v>2.4669575183583952</v>
      </c>
    </row>
    <row r="528" spans="3:8" x14ac:dyDescent="0.35">
      <c r="C528" s="8">
        <f t="shared" ca="1" si="28"/>
        <v>0.83945009140046767</v>
      </c>
      <c r="D528" s="7">
        <f t="shared" ca="1" si="29"/>
        <v>9.880942679271365E-2</v>
      </c>
      <c r="E528" s="7">
        <f t="shared" ca="1" si="30"/>
        <v>0.55059950732926355</v>
      </c>
      <c r="F528" s="7">
        <f t="shared" ca="1" si="31"/>
        <v>2.0519488487737211E-2</v>
      </c>
      <c r="G528" s="7">
        <f ca="1">$C$11/(1+D528)^1
 +$D$11/(1+D528)^2
 +$E$11/(1+D528)^3
 +$F$11/(1+D528)^4
 +$G$11/(1+D528)^5
 +$H$11/(1+D528)^6
 +$I$11/(1+D528)^7
 + ( $I$11*(1+F528)/(D528-F528) )/(1+D528)^7</f>
        <v>338.14664142615527</v>
      </c>
      <c r="H528" s="7">
        <f ca="1">(G528-$C$8)/$C$9</f>
        <v>1.846882866497938</v>
      </c>
    </row>
    <row r="529" spans="3:8" x14ac:dyDescent="0.35">
      <c r="C529" s="8">
        <f t="shared" ref="C529:C592" ca="1" si="32">RAND()</f>
        <v>0.7987764718778928</v>
      </c>
      <c r="D529" s="7">
        <f t="shared" ref="D529:D592" ca="1" si="33">IF(C529&lt;(0.0905-0.07)/(0.11-0.07),
 0.07+SQRT(C529*(0.11-0.07)*(0.0905-0.07)),
 0.11-SQRT((1-C529)*(0.11-0.07)*(0.11-0.0905))
)</f>
        <v>9.7471857602372022E-2</v>
      </c>
      <c r="E529" s="7">
        <f t="shared" ref="E529:E592" ca="1" si="34">RAND()</f>
        <v>0.49234008570612475</v>
      </c>
      <c r="F529" s="7">
        <f t="shared" ref="F529:F592" ca="1" si="35">MIN(
 IF(E529&lt;(0.02-0.01)/(0.03-0.01),
   0.01+SQRT(E529*(0.03-0.01)*(0.02-0.01)),
   0.03-SQRT((1-E529)*(0.03-0.01)*(0.03-0.02))
 ),
 D529-0.005
)</f>
        <v>1.9923105216676125E-2</v>
      </c>
      <c r="G529" s="7">
        <f ca="1">$C$11/(1+D529)^1
 +$D$11/(1+D529)^2
 +$E$11/(1+D529)^3
 +$F$11/(1+D529)^4
 +$G$11/(1+D529)^5
 +$H$11/(1+D529)^6
 +$I$11/(1+D529)^7
 + ( $I$11*(1+F529)/(D529-F529) )/(1+D529)^7</f>
        <v>342.48759837602779</v>
      </c>
      <c r="H529" s="7">
        <f ca="1">(G529-$C$8)/$C$9</f>
        <v>1.871424685527068</v>
      </c>
    </row>
    <row r="530" spans="3:8" x14ac:dyDescent="0.35">
      <c r="C530" s="8">
        <f t="shared" ca="1" si="32"/>
        <v>0.51764501296174026</v>
      </c>
      <c r="D530" s="7">
        <f t="shared" ca="1" si="33"/>
        <v>9.0603173200498932E-2</v>
      </c>
      <c r="E530" s="7">
        <f t="shared" ca="1" si="34"/>
        <v>0.88855176302902639</v>
      </c>
      <c r="F530" s="7">
        <f t="shared" ca="1" si="35"/>
        <v>2.5278808689091839E-2</v>
      </c>
      <c r="G530" s="7">
        <f ca="1">$C$11/(1+D530)^1
 +$D$11/(1+D530)^2
 +$E$11/(1+D530)^3
 +$F$11/(1+D530)^4
 +$G$11/(1+D530)^5
 +$H$11/(1+D530)^6
 +$I$11/(1+D530)^7
 + ( $I$11*(1+F530)/(D530-F530) )/(1+D530)^7</f>
        <v>399.06630394169417</v>
      </c>
      <c r="H530" s="7">
        <f ca="1">(G530-$C$8)/$C$9</f>
        <v>2.1912952506880039</v>
      </c>
    </row>
    <row r="531" spans="3:8" x14ac:dyDescent="0.35">
      <c r="C531" s="8">
        <f t="shared" ca="1" si="32"/>
        <v>0.78127738735330121</v>
      </c>
      <c r="D531" s="7">
        <f t="shared" ca="1" si="33"/>
        <v>9.6938467246742252E-2</v>
      </c>
      <c r="E531" s="7">
        <f t="shared" ca="1" si="34"/>
        <v>0.47922111001601131</v>
      </c>
      <c r="F531" s="7">
        <f t="shared" ca="1" si="35"/>
        <v>1.979000623100937E-2</v>
      </c>
      <c r="G531" s="7">
        <f ca="1">$C$11/(1+D531)^1
 +$D$11/(1+D531)^2
 +$E$11/(1+D531)^3
 +$F$11/(1+D531)^4
 +$G$11/(1+D531)^5
 +$H$11/(1+D531)^6
 +$I$11/(1+D531)^7
 + ( $I$11*(1+F531)/(D531-F531) )/(1+D531)^7</f>
        <v>344.56253917315775</v>
      </c>
      <c r="H531" s="7">
        <f ca="1">(G531-$C$8)/$C$9</f>
        <v>1.8831554679622213</v>
      </c>
    </row>
    <row r="532" spans="3:8" x14ac:dyDescent="0.35">
      <c r="C532" s="8">
        <f t="shared" ca="1" si="32"/>
        <v>0.2442372691200132</v>
      </c>
      <c r="D532" s="7">
        <f t="shared" ca="1" si="33"/>
        <v>8.4151839480378895E-2</v>
      </c>
      <c r="E532" s="7">
        <f t="shared" ca="1" si="34"/>
        <v>0.33124553591056771</v>
      </c>
      <c r="F532" s="7">
        <f t="shared" ca="1" si="35"/>
        <v>1.8139355452498285E-2</v>
      </c>
      <c r="G532" s="7">
        <f ca="1">$C$11/(1+D532)^1
 +$D$11/(1+D532)^2
 +$E$11/(1+D532)^3
 +$F$11/(1+D532)^4
 +$G$11/(1+D532)^5
 +$H$11/(1+D532)^6
 +$I$11/(1+D532)^7
 + ( $I$11*(1+F532)/(D532-F532) )/(1+D532)^7</f>
        <v>408.69042679116944</v>
      </c>
      <c r="H532" s="7">
        <f ca="1">(G532-$C$8)/$C$9</f>
        <v>2.2457057145588504</v>
      </c>
    </row>
    <row r="533" spans="3:8" x14ac:dyDescent="0.35">
      <c r="C533" s="8">
        <f t="shared" ca="1" si="32"/>
        <v>0.87217083292246245</v>
      </c>
      <c r="D533" s="7">
        <f t="shared" ca="1" si="33"/>
        <v>0.10001467324918813</v>
      </c>
      <c r="E533" s="7">
        <f t="shared" ca="1" si="34"/>
        <v>2.7277314736955383E-2</v>
      </c>
      <c r="F533" s="7">
        <f t="shared" ca="1" si="35"/>
        <v>1.23356932477085E-2</v>
      </c>
      <c r="G533" s="7">
        <f ca="1">$C$11/(1+D533)^1
 +$D$11/(1+D533)^2
 +$E$11/(1+D533)^3
 +$F$11/(1+D533)^4
 +$G$11/(1+D533)^5
 +$H$11/(1+D533)^6
 +$I$11/(1+D533)^7
 + ( $I$11*(1+F533)/(D533-F533) )/(1+D533)^7</f>
        <v>311.87888770152517</v>
      </c>
      <c r="H533" s="7">
        <f ca="1">(G533-$C$8)/$C$9</f>
        <v>1.6983767961415941</v>
      </c>
    </row>
    <row r="534" spans="3:8" x14ac:dyDescent="0.35">
      <c r="C534" s="8">
        <f t="shared" ca="1" si="32"/>
        <v>0.43004999430757107</v>
      </c>
      <c r="D534" s="7">
        <f t="shared" ca="1" si="33"/>
        <v>8.8778737852481152E-2</v>
      </c>
      <c r="E534" s="7">
        <f t="shared" ca="1" si="34"/>
        <v>0.45415924010404463</v>
      </c>
      <c r="F534" s="7">
        <f t="shared" ca="1" si="35"/>
        <v>1.9530574380424767E-2</v>
      </c>
      <c r="G534" s="7">
        <f ca="1">$C$11/(1+D534)^1
 +$D$11/(1+D534)^2
 +$E$11/(1+D534)^3
 +$F$11/(1+D534)^4
 +$G$11/(1+D534)^5
 +$H$11/(1+D534)^6
 +$I$11/(1+D534)^7
 + ( $I$11*(1+F534)/(D534-F534) )/(1+D534)^7</f>
        <v>386.18575645198888</v>
      </c>
      <c r="H534" s="7">
        <f ca="1">(G534-$C$8)/$C$9</f>
        <v>2.118474425893198</v>
      </c>
    </row>
    <row r="535" spans="3:8" x14ac:dyDescent="0.35">
      <c r="C535" s="8">
        <f t="shared" ca="1" si="32"/>
        <v>0.84502825501240475</v>
      </c>
      <c r="D535" s="7">
        <f t="shared" ca="1" si="33"/>
        <v>9.9005548622585829E-2</v>
      </c>
      <c r="E535" s="7">
        <f t="shared" ca="1" si="34"/>
        <v>0.46693493623917914</v>
      </c>
      <c r="F535" s="7">
        <f t="shared" ca="1" si="35"/>
        <v>1.9663694285718885E-2</v>
      </c>
      <c r="G535" s="7">
        <f ca="1">$C$11/(1+D535)^1
 +$D$11/(1+D535)^2
 +$E$11/(1+D535)^3
 +$F$11/(1+D535)^4
 +$G$11/(1+D535)^5
 +$H$11/(1+D535)^6
 +$I$11/(1+D535)^7
 + ( $I$11*(1+F535)/(D535-F535) )/(1+D535)^7</f>
        <v>334.8025068795385</v>
      </c>
      <c r="H535" s="7">
        <f ca="1">(G535-$C$8)/$C$9</f>
        <v>1.8279766331950389</v>
      </c>
    </row>
    <row r="536" spans="3:8" x14ac:dyDescent="0.35">
      <c r="C536" s="8">
        <f t="shared" ca="1" si="32"/>
        <v>0.98570575822937501</v>
      </c>
      <c r="D536" s="7">
        <f t="shared" ca="1" si="33"/>
        <v>0.10666091201357504</v>
      </c>
      <c r="E536" s="7">
        <f t="shared" ca="1" si="34"/>
        <v>0.75497097377064282</v>
      </c>
      <c r="F536" s="7">
        <f t="shared" ca="1" si="35"/>
        <v>2.2999585351861546E-2</v>
      </c>
      <c r="G536" s="7">
        <f ca="1">$C$11/(1+D536)^1
 +$D$11/(1+D536)^2
 +$E$11/(1+D536)^3
 +$F$11/(1+D536)^4
 +$G$11/(1+D536)^5
 +$H$11/(1+D536)^6
 +$I$11/(1+D536)^7
 + ( $I$11*(1+F536)/(D536-F536) )/(1+D536)^7</f>
        <v>311.8606871301443</v>
      </c>
      <c r="H536" s="7">
        <f ca="1">(G536-$C$8)/$C$9</f>
        <v>1.6982738982934436</v>
      </c>
    </row>
    <row r="537" spans="3:8" x14ac:dyDescent="0.35">
      <c r="C537" s="8">
        <f t="shared" ca="1" si="32"/>
        <v>0.24435347169776611</v>
      </c>
      <c r="D537" s="7">
        <f t="shared" ca="1" si="33"/>
        <v>8.4155205642878109E-2</v>
      </c>
      <c r="E537" s="7">
        <f t="shared" ca="1" si="34"/>
        <v>0.97144456846688254</v>
      </c>
      <c r="F537" s="7">
        <f t="shared" ca="1" si="35"/>
        <v>2.7610212079153571E-2</v>
      </c>
      <c r="G537" s="7">
        <f ca="1">$C$11/(1+D537)^1
 +$D$11/(1+D537)^2
 +$E$11/(1+D537)^3
 +$F$11/(1+D537)^4
 +$G$11/(1+D537)^5
 +$H$11/(1+D537)^6
 +$I$11/(1+D537)^7
 + ( $I$11*(1+F537)/(D537-F537) )/(1+D537)^7</f>
        <v>457.96309402021802</v>
      </c>
      <c r="H537" s="7">
        <f ca="1">(G537-$C$8)/$C$9</f>
        <v>2.5242712235426166</v>
      </c>
    </row>
    <row r="538" spans="3:8" x14ac:dyDescent="0.35">
      <c r="C538" s="8">
        <f t="shared" ca="1" si="32"/>
        <v>0.55263555663918096</v>
      </c>
      <c r="D538" s="7">
        <f t="shared" ca="1" si="33"/>
        <v>9.1319950058379423E-2</v>
      </c>
      <c r="E538" s="7">
        <f t="shared" ca="1" si="34"/>
        <v>0.75247517648393669</v>
      </c>
      <c r="F538" s="7">
        <f t="shared" ca="1" si="35"/>
        <v>2.2964023543017454E-2</v>
      </c>
      <c r="G538" s="7">
        <f ca="1">$C$11/(1+D538)^1
 +$D$11/(1+D538)^2
 +$E$11/(1+D538)^3
 +$F$11/(1+D538)^4
 +$G$11/(1+D538)^5
 +$H$11/(1+D538)^6
 +$I$11/(1+D538)^7
 + ( $I$11*(1+F538)/(D538-F538) )/(1+D538)^7</f>
        <v>385.00392496695378</v>
      </c>
      <c r="H538" s="7">
        <f ca="1">(G538-$C$8)/$C$9</f>
        <v>2.1117928819931806</v>
      </c>
    </row>
    <row r="539" spans="3:8" x14ac:dyDescent="0.35">
      <c r="C539" s="8">
        <f t="shared" ca="1" si="32"/>
        <v>0.68194831860800897</v>
      </c>
      <c r="D539" s="7">
        <f t="shared" ca="1" si="33"/>
        <v>9.4249434566157531E-2</v>
      </c>
      <c r="E539" s="7">
        <f t="shared" ca="1" si="34"/>
        <v>7.7658271978530369E-2</v>
      </c>
      <c r="F539" s="7">
        <f t="shared" ca="1" si="35"/>
        <v>1.394102199888634E-2</v>
      </c>
      <c r="G539" s="7">
        <f ca="1">$C$11/(1+D539)^1
 +$D$11/(1+D539)^2
 +$E$11/(1+D539)^3
 +$F$11/(1+D539)^4
 +$G$11/(1+D539)^5
 +$H$11/(1+D539)^6
 +$I$11/(1+D539)^7
 + ( $I$11*(1+F539)/(D539-F539) )/(1+D539)^7</f>
        <v>339.60204652245449</v>
      </c>
      <c r="H539" s="7">
        <f ca="1">(G539-$C$8)/$C$9</f>
        <v>1.855111072605464</v>
      </c>
    </row>
    <row r="540" spans="3:8" x14ac:dyDescent="0.35">
      <c r="C540" s="8">
        <f t="shared" ca="1" si="32"/>
        <v>4.1730534919972917E-2</v>
      </c>
      <c r="D540" s="7">
        <f t="shared" ca="1" si="33"/>
        <v>7.5849704149303435E-2</v>
      </c>
      <c r="E540" s="7">
        <f t="shared" ca="1" si="34"/>
        <v>0.47719520626986511</v>
      </c>
      <c r="F540" s="7">
        <f t="shared" ca="1" si="35"/>
        <v>1.976929072420168E-2</v>
      </c>
      <c r="G540" s="7">
        <f ca="1">$C$11/(1+D540)^1
 +$D$11/(1+D540)^2
 +$E$11/(1+D540)^3
 +$F$11/(1+D540)^4
 +$G$11/(1+D540)^5
 +$H$11/(1+D540)^6
 +$I$11/(1+D540)^7
 + ( $I$11*(1+F540)/(D540-F540) )/(1+D540)^7</f>
        <v>480.27058869409007</v>
      </c>
      <c r="H540" s="7">
        <f ca="1">(G540-$C$8)/$C$9</f>
        <v>2.6503877696409432</v>
      </c>
    </row>
    <row r="541" spans="3:8" x14ac:dyDescent="0.35">
      <c r="C541" s="8">
        <f t="shared" ca="1" si="32"/>
        <v>0.44510148814144013</v>
      </c>
      <c r="D541" s="7">
        <f t="shared" ca="1" si="33"/>
        <v>8.9104534024047305E-2</v>
      </c>
      <c r="E541" s="7">
        <f t="shared" ca="1" si="34"/>
        <v>3.4308273288739533E-2</v>
      </c>
      <c r="F541" s="7">
        <f t="shared" ca="1" si="35"/>
        <v>1.2619476027328349E-2</v>
      </c>
      <c r="G541" s="7">
        <f ca="1">$C$11/(1+D541)^1
 +$D$11/(1+D541)^2
 +$E$11/(1+D541)^3
 +$F$11/(1+D541)^4
 +$G$11/(1+D541)^5
 +$H$11/(1+D541)^6
 +$I$11/(1+D541)^7
 + ( $I$11*(1+F541)/(D541-F541) )/(1+D541)^7</f>
        <v>359.74733649694861</v>
      </c>
      <c r="H541" s="7">
        <f ca="1">(G541-$C$8)/$C$9</f>
        <v>1.9690034853965885</v>
      </c>
    </row>
    <row r="542" spans="3:8" x14ac:dyDescent="0.35">
      <c r="C542" s="8">
        <f t="shared" ca="1" si="32"/>
        <v>0.74735227912360336</v>
      </c>
      <c r="D542" s="7">
        <f t="shared" ca="1" si="33"/>
        <v>9.5962007897010718E-2</v>
      </c>
      <c r="E542" s="7">
        <f t="shared" ca="1" si="34"/>
        <v>1.0172346580991087E-2</v>
      </c>
      <c r="F542" s="7">
        <f t="shared" ca="1" si="35"/>
        <v>1.1426348245064373E-2</v>
      </c>
      <c r="G542" s="7">
        <f ca="1">$C$11/(1+D542)^1
 +$D$11/(1+D542)^2
 +$E$11/(1+D542)^3
 +$F$11/(1+D542)^4
 +$G$11/(1+D542)^5
 +$H$11/(1+D542)^6
 +$I$11/(1+D542)^7
 + ( $I$11*(1+F542)/(D542-F542) )/(1+D542)^7</f>
        <v>325.53426219417747</v>
      </c>
      <c r="H542" s="7">
        <f ca="1">(G542-$C$8)/$C$9</f>
        <v>1.7755781444718308</v>
      </c>
    </row>
    <row r="543" spans="3:8" x14ac:dyDescent="0.35">
      <c r="C543" s="8">
        <f t="shared" ca="1" si="32"/>
        <v>0.78838113272650989</v>
      </c>
      <c r="D543" s="7">
        <f t="shared" ca="1" si="33"/>
        <v>9.7152326417855941E-2</v>
      </c>
      <c r="E543" s="7">
        <f t="shared" ca="1" si="34"/>
        <v>0.652609138421125</v>
      </c>
      <c r="F543" s="7">
        <f t="shared" ca="1" si="35"/>
        <v>2.166464324004215E-2</v>
      </c>
      <c r="G543" s="7">
        <f ca="1">$C$11/(1+D543)^1
 +$D$11/(1+D543)^2
 +$E$11/(1+D543)^3
 +$F$11/(1+D543)^4
 +$G$11/(1+D543)^5
 +$H$11/(1+D543)^6
 +$I$11/(1+D543)^7
 + ( $I$11*(1+F543)/(D543-F543) )/(1+D543)^7</f>
        <v>349.3729535125168</v>
      </c>
      <c r="H543" s="7">
        <f ca="1">(G543-$C$8)/$C$9</f>
        <v>1.9103513880173948</v>
      </c>
    </row>
    <row r="544" spans="3:8" x14ac:dyDescent="0.35">
      <c r="C544" s="8">
        <f t="shared" ca="1" si="32"/>
        <v>0.36722779920980297</v>
      </c>
      <c r="D544" s="7">
        <f t="shared" ca="1" si="33"/>
        <v>8.7353005369446485E-2</v>
      </c>
      <c r="E544" s="7">
        <f t="shared" ca="1" si="34"/>
        <v>0.97028111794583283</v>
      </c>
      <c r="F544" s="7">
        <f t="shared" ca="1" si="35"/>
        <v>2.7562013861640422E-2</v>
      </c>
      <c r="G544" s="7">
        <f ca="1">$C$11/(1+D544)^1
 +$D$11/(1+D544)^2
 +$E$11/(1+D544)^3
 +$F$11/(1+D544)^4
 +$G$11/(1+D544)^5
 +$H$11/(1+D544)^6
 +$I$11/(1+D544)^7
 + ( $I$11*(1+F544)/(D544-F544) )/(1+D544)^7</f>
        <v>432.45678983852645</v>
      </c>
      <c r="H544" s="7">
        <f ca="1">(G544-$C$8)/$C$9</f>
        <v>2.3800700465769244</v>
      </c>
    </row>
    <row r="545" spans="3:8" x14ac:dyDescent="0.35">
      <c r="C545" s="8">
        <f t="shared" ca="1" si="32"/>
        <v>2.9624826896276213E-2</v>
      </c>
      <c r="D545" s="7">
        <f t="shared" ca="1" si="33"/>
        <v>7.492872783332033E-2</v>
      </c>
      <c r="E545" s="7">
        <f t="shared" ca="1" si="34"/>
        <v>0.46797342667266306</v>
      </c>
      <c r="F545" s="7">
        <f t="shared" ca="1" si="35"/>
        <v>1.9674434626092245E-2</v>
      </c>
      <c r="G545" s="7">
        <f ca="1">$C$11/(1+D545)^1
 +$D$11/(1+D545)^2
 +$E$11/(1+D545)^3
 +$F$11/(1+D545)^4
 +$G$11/(1+D545)^5
 +$H$11/(1+D545)^6
 +$I$11/(1+D545)^7
 + ( $I$11*(1+F545)/(D545-F545) )/(1+D545)^7</f>
        <v>487.94378304282037</v>
      </c>
      <c r="H545" s="7">
        <f ca="1">(G545-$C$8)/$C$9</f>
        <v>2.6937685608481479</v>
      </c>
    </row>
    <row r="546" spans="3:8" x14ac:dyDescent="0.35">
      <c r="C546" s="8">
        <f t="shared" ca="1" si="32"/>
        <v>0.14023805289400015</v>
      </c>
      <c r="D546" s="7">
        <f t="shared" ca="1" si="33"/>
        <v>8.0723581648548218E-2</v>
      </c>
      <c r="E546" s="7">
        <f t="shared" ca="1" si="34"/>
        <v>0.68352482344548748</v>
      </c>
      <c r="F546" s="7">
        <f t="shared" ca="1" si="35"/>
        <v>2.2044182297783432E-2</v>
      </c>
      <c r="G546" s="7">
        <f ca="1">$C$11/(1+D546)^1
 +$D$11/(1+D546)^2
 +$E$11/(1+D546)^3
 +$F$11/(1+D546)^4
 +$G$11/(1+D546)^5
 +$H$11/(1+D546)^6
 +$I$11/(1+D546)^7
 + ( $I$11*(1+F546)/(D546-F546) )/(1+D546)^7</f>
        <v>453.0891099053789</v>
      </c>
      <c r="H546" s="7">
        <f ca="1">(G546-$C$8)/$C$9</f>
        <v>2.4967159085559638</v>
      </c>
    </row>
    <row r="547" spans="3:8" x14ac:dyDescent="0.35">
      <c r="C547" s="8">
        <f t="shared" ca="1" si="32"/>
        <v>0.52226137048622367</v>
      </c>
      <c r="D547" s="7">
        <f t="shared" ca="1" si="33"/>
        <v>9.0696214593485924E-2</v>
      </c>
      <c r="E547" s="7">
        <f t="shared" ca="1" si="34"/>
        <v>0.86034905341370926</v>
      </c>
      <c r="F547" s="7">
        <f t="shared" ca="1" si="35"/>
        <v>2.4715097984138387E-2</v>
      </c>
      <c r="G547" s="7">
        <f ca="1">$C$11/(1+D547)^1
 +$D$11/(1+D547)^2
 +$E$11/(1+D547)^3
 +$F$11/(1+D547)^4
 +$G$11/(1+D547)^5
 +$H$11/(1+D547)^6
 +$I$11/(1+D547)^7
 + ( $I$11*(1+F547)/(D547-F547) )/(1+D547)^7</f>
        <v>396.03094832068439</v>
      </c>
      <c r="H547" s="7">
        <f ca="1">(G547-$C$8)/$C$9</f>
        <v>2.1741347146126433</v>
      </c>
    </row>
    <row r="548" spans="3:8" x14ac:dyDescent="0.35">
      <c r="C548" s="8">
        <f t="shared" ca="1" si="32"/>
        <v>0.82556310684379774</v>
      </c>
      <c r="D548" s="7">
        <f t="shared" ca="1" si="33"/>
        <v>9.8335490723487864E-2</v>
      </c>
      <c r="E548" s="7">
        <f t="shared" ca="1" si="34"/>
        <v>8.6904506743772147E-2</v>
      </c>
      <c r="F548" s="7">
        <f t="shared" ca="1" si="35"/>
        <v>1.4169040818792066E-2</v>
      </c>
      <c r="G548" s="7">
        <f ca="1">$C$11/(1+D548)^1
 +$D$11/(1+D548)^2
 +$E$11/(1+D548)^3
 +$F$11/(1+D548)^4
 +$G$11/(1+D548)^5
 +$H$11/(1+D548)^6
 +$I$11/(1+D548)^7
 + ( $I$11*(1+F548)/(D548-F548) )/(1+D548)^7</f>
        <v>322.87428555084773</v>
      </c>
      <c r="H548" s="7">
        <f ca="1">(G548-$C$8)/$C$9</f>
        <v>1.7605398323770223</v>
      </c>
    </row>
    <row r="549" spans="3:8" x14ac:dyDescent="0.35">
      <c r="C549" s="8">
        <f t="shared" ca="1" si="32"/>
        <v>0.18749502229176873</v>
      </c>
      <c r="D549" s="7">
        <f t="shared" ca="1" si="33"/>
        <v>8.2399432175678466E-2</v>
      </c>
      <c r="E549" s="7">
        <f t="shared" ca="1" si="34"/>
        <v>0.9491449510192782</v>
      </c>
      <c r="F549" s="7">
        <f t="shared" ca="1" si="35"/>
        <v>2.6810797937391807E-2</v>
      </c>
      <c r="G549" s="7">
        <f ca="1">$C$11/(1+D549)^1
 +$D$11/(1+D549)^2
 +$E$11/(1+D549)^3
 +$F$11/(1+D549)^4
 +$G$11/(1+D549)^5
 +$H$11/(1+D549)^6
 +$I$11/(1+D549)^7
 + ( $I$11*(1+F549)/(D549-F549) )/(1+D549)^7</f>
        <v>467.9350188972976</v>
      </c>
      <c r="H549" s="7">
        <f ca="1">(G549-$C$8)/$C$9</f>
        <v>2.5806480037160648</v>
      </c>
    </row>
    <row r="550" spans="3:8" x14ac:dyDescent="0.35">
      <c r="C550" s="8">
        <f t="shared" ca="1" si="32"/>
        <v>0.45965242055498945</v>
      </c>
      <c r="D550" s="7">
        <f t="shared" ca="1" si="33"/>
        <v>8.9414298464149861E-2</v>
      </c>
      <c r="E550" s="7">
        <f t="shared" ca="1" si="34"/>
        <v>0.46574417321837391</v>
      </c>
      <c r="F550" s="7">
        <f t="shared" ca="1" si="35"/>
        <v>1.9651364392855281E-2</v>
      </c>
      <c r="G550" s="7">
        <f ca="1">$C$11/(1+D550)^1
 +$D$11/(1+D550)^2
 +$E$11/(1+D550)^3
 +$F$11/(1+D550)^4
 +$G$11/(1+D550)^5
 +$H$11/(1+D550)^6
 +$I$11/(1+D550)^7
 + ( $I$11*(1+F550)/(D550-F550) )/(1+D550)^7</f>
        <v>382.9918277546293</v>
      </c>
      <c r="H550" s="7">
        <f ca="1">(G550-$C$8)/$C$9</f>
        <v>2.1004173889339057</v>
      </c>
    </row>
    <row r="551" spans="3:8" x14ac:dyDescent="0.35">
      <c r="C551" s="8">
        <f t="shared" ca="1" si="32"/>
        <v>0.87602547097292005</v>
      </c>
      <c r="D551" s="7">
        <f t="shared" ca="1" si="33"/>
        <v>0.10016637744058059</v>
      </c>
      <c r="E551" s="7">
        <f t="shared" ca="1" si="34"/>
        <v>0.34930700240598145</v>
      </c>
      <c r="F551" s="7">
        <f t="shared" ca="1" si="35"/>
        <v>1.8358313255747015E-2</v>
      </c>
      <c r="G551" s="7">
        <f ca="1">$C$11/(1+D551)^1
 +$D$11/(1+D551)^2
 +$E$11/(1+D551)^3
 +$F$11/(1+D551)^4
 +$G$11/(1+D551)^5
 +$H$11/(1+D551)^6
 +$I$11/(1+D551)^7
 + ( $I$11*(1+F551)/(D551-F551) )/(1+D551)^7</f>
        <v>326.22296152128206</v>
      </c>
      <c r="H551" s="7">
        <f ca="1">(G551-$C$8)/$C$9</f>
        <v>1.7794717408484964</v>
      </c>
    </row>
    <row r="552" spans="3:8" x14ac:dyDescent="0.35">
      <c r="C552" s="8">
        <f t="shared" ca="1" si="32"/>
        <v>0.20163458664598788</v>
      </c>
      <c r="D552" s="7">
        <f t="shared" ca="1" si="33"/>
        <v>8.2858474289343592E-2</v>
      </c>
      <c r="E552" s="7">
        <f t="shared" ca="1" si="34"/>
        <v>0.80826865166569706</v>
      </c>
      <c r="F552" s="7">
        <f t="shared" ca="1" si="35"/>
        <v>2.38075635112776E-2</v>
      </c>
      <c r="G552" s="7">
        <f ca="1">$C$11/(1+D552)^1
 +$D$11/(1+D552)^2
 +$E$11/(1+D552)^3
 +$F$11/(1+D552)^4
 +$G$11/(1+D552)^5
 +$H$11/(1+D552)^6
 +$I$11/(1+D552)^7
 + ( $I$11*(1+F552)/(D552-F552) )/(1+D552)^7</f>
        <v>446.22871929086511</v>
      </c>
      <c r="H552" s="7">
        <f ca="1">(G552-$C$8)/$C$9</f>
        <v>2.4579303442495766</v>
      </c>
    </row>
    <row r="553" spans="3:8" x14ac:dyDescent="0.35">
      <c r="C553" s="8">
        <f t="shared" ca="1" si="32"/>
        <v>0.44755701030057971</v>
      </c>
      <c r="D553" s="7">
        <f t="shared" ca="1" si="33"/>
        <v>8.915715919562385E-2</v>
      </c>
      <c r="E553" s="7">
        <f t="shared" ca="1" si="34"/>
        <v>0.69961360515357074</v>
      </c>
      <c r="F553" s="7">
        <f t="shared" ca="1" si="35"/>
        <v>2.2249046576756776E-2</v>
      </c>
      <c r="G553" s="7">
        <f ca="1">$C$11/(1+D553)^1
 +$D$11/(1+D553)^2
 +$E$11/(1+D553)^3
 +$F$11/(1+D553)^4
 +$G$11/(1+D553)^5
 +$H$11/(1+D553)^6
 +$I$11/(1+D553)^7
 + ( $I$11*(1+F553)/(D553-F553) )/(1+D553)^7</f>
        <v>395.026300600583</v>
      </c>
      <c r="H553" s="7">
        <f ca="1">(G553-$C$8)/$C$9</f>
        <v>2.1684548880629975</v>
      </c>
    </row>
    <row r="554" spans="3:8" x14ac:dyDescent="0.35">
      <c r="C554" s="8">
        <f t="shared" ca="1" si="32"/>
        <v>0.89778376149224726</v>
      </c>
      <c r="D554" s="7">
        <f t="shared" ca="1" si="33"/>
        <v>0.10107090900281293</v>
      </c>
      <c r="E554" s="7">
        <f t="shared" ca="1" si="34"/>
        <v>0.1559362700006548</v>
      </c>
      <c r="F554" s="7">
        <f t="shared" ca="1" si="35"/>
        <v>1.5584554950945594E-2</v>
      </c>
      <c r="G554" s="7">
        <f ca="1">$C$11/(1+D554)^1
 +$D$11/(1+D554)^2
 +$E$11/(1+D554)^3
 +$F$11/(1+D554)^4
 +$G$11/(1+D554)^5
 +$H$11/(1+D554)^6
 +$I$11/(1+D554)^7
 + ( $I$11*(1+F554)/(D554-F554) )/(1+D554)^7</f>
        <v>315.53522676357511</v>
      </c>
      <c r="H554" s="7">
        <f ca="1">(G554-$C$8)/$C$9</f>
        <v>1.719048093416865</v>
      </c>
    </row>
    <row r="555" spans="3:8" x14ac:dyDescent="0.35">
      <c r="C555" s="8">
        <f t="shared" ca="1" si="32"/>
        <v>0.71664987602115959</v>
      </c>
      <c r="D555" s="7">
        <f t="shared" ca="1" si="33"/>
        <v>9.5133490769400655E-2</v>
      </c>
      <c r="E555" s="7">
        <f t="shared" ca="1" si="34"/>
        <v>0.36595929555072726</v>
      </c>
      <c r="F555" s="7">
        <f t="shared" ca="1" si="35"/>
        <v>1.8555224082988445E-2</v>
      </c>
      <c r="G555" s="7">
        <f ca="1">$C$11/(1+D555)^1
 +$D$11/(1+D555)^2
 +$E$11/(1+D555)^3
 +$F$11/(1+D555)^4
 +$G$11/(1+D555)^5
 +$H$11/(1+D555)^6
 +$I$11/(1+D555)^7
 + ( $I$11*(1+F555)/(D555-F555) )/(1+D555)^7</f>
        <v>349.28182144483031</v>
      </c>
      <c r="H555" s="7">
        <f ca="1">(G555-$C$8)/$C$9</f>
        <v>1.9098361682769691</v>
      </c>
    </row>
    <row r="556" spans="3:8" x14ac:dyDescent="0.35">
      <c r="C556" s="8">
        <f t="shared" ca="1" si="32"/>
        <v>0.19411007347280274</v>
      </c>
      <c r="D556" s="7">
        <f t="shared" ca="1" si="33"/>
        <v>8.2616269664512493E-2</v>
      </c>
      <c r="E556" s="7">
        <f t="shared" ca="1" si="34"/>
        <v>0.52481152733769998</v>
      </c>
      <c r="F556" s="7">
        <f t="shared" ca="1" si="35"/>
        <v>2.0251272158252648E-2</v>
      </c>
      <c r="G556" s="7">
        <f ca="1">$C$11/(1+D556)^1
 +$D$11/(1+D556)^2
 +$E$11/(1+D556)^3
 +$F$11/(1+D556)^4
 +$G$11/(1+D556)^5
 +$H$11/(1+D556)^6
 +$I$11/(1+D556)^7
 + ( $I$11*(1+F556)/(D556-F556) )/(1+D556)^7</f>
        <v>429.12911228171231</v>
      </c>
      <c r="H556" s="7">
        <f ca="1">(G556-$C$8)/$C$9</f>
        <v>2.3612568536957954</v>
      </c>
    </row>
    <row r="557" spans="3:8" x14ac:dyDescent="0.35">
      <c r="C557" s="8">
        <f t="shared" ca="1" si="32"/>
        <v>0.10287180006163565</v>
      </c>
      <c r="D557" s="7">
        <f t="shared" ca="1" si="33"/>
        <v>7.9184491061051854E-2</v>
      </c>
      <c r="E557" s="7">
        <f t="shared" ca="1" si="34"/>
        <v>0.10875787428562422</v>
      </c>
      <c r="F557" s="7">
        <f t="shared" ca="1" si="35"/>
        <v>1.4663858365894577E-2</v>
      </c>
      <c r="G557" s="7">
        <f ca="1">$C$11/(1+D557)^1
 +$D$11/(1+D557)^2
 +$E$11/(1+D557)^3
 +$F$11/(1+D557)^4
 +$G$11/(1+D557)^5
 +$H$11/(1+D557)^6
 +$I$11/(1+D557)^7
 + ( $I$11*(1+F557)/(D557-F557) )/(1+D557)^7</f>
        <v>425.7479460158533</v>
      </c>
      <c r="H557" s="7">
        <f ca="1">(G557-$C$8)/$C$9</f>
        <v>2.342141259700663</v>
      </c>
    </row>
    <row r="558" spans="3:8" x14ac:dyDescent="0.35">
      <c r="C558" s="8">
        <f t="shared" ca="1" si="32"/>
        <v>0.2064059276749497</v>
      </c>
      <c r="D558" s="7">
        <f t="shared" ca="1" si="33"/>
        <v>8.3009721776174106E-2</v>
      </c>
      <c r="E558" s="7">
        <f t="shared" ca="1" si="34"/>
        <v>0.4831809941500177</v>
      </c>
      <c r="F558" s="7">
        <f t="shared" ca="1" si="35"/>
        <v>1.983037124578739E-2</v>
      </c>
      <c r="G558" s="7">
        <f ca="1">$C$11/(1+D558)^1
 +$D$11/(1+D558)^2
 +$E$11/(1+D558)^3
 +$F$11/(1+D558)^4
 +$G$11/(1+D558)^5
 +$H$11/(1+D558)^6
 +$I$11/(1+D558)^7
 + ( $I$11*(1+F558)/(D558-F558) )/(1+D558)^7</f>
        <v>424.25885900213916</v>
      </c>
      <c r="H558" s="7">
        <f ca="1">(G558-$C$8)/$C$9</f>
        <v>2.3337226311744637</v>
      </c>
    </row>
    <row r="559" spans="3:8" x14ac:dyDescent="0.35">
      <c r="C559" s="8">
        <f t="shared" ca="1" si="32"/>
        <v>0.67119034112420084</v>
      </c>
      <c r="D559" s="7">
        <f t="shared" ca="1" si="33"/>
        <v>9.39852713440682E-2</v>
      </c>
      <c r="E559" s="7">
        <f t="shared" ca="1" si="34"/>
        <v>0.20950221322126594</v>
      </c>
      <c r="F559" s="7">
        <f t="shared" ca="1" si="35"/>
        <v>1.647305512445655E-2</v>
      </c>
      <c r="G559" s="7">
        <f ca="1">$C$11/(1+D559)^1
 +$D$11/(1+D559)^2
 +$E$11/(1+D559)^3
 +$F$11/(1+D559)^4
 +$G$11/(1+D559)^5
 +$H$11/(1+D559)^6
 +$I$11/(1+D559)^7
 + ( $I$11*(1+F559)/(D559-F559) )/(1+D559)^7</f>
        <v>348.29321767176179</v>
      </c>
      <c r="H559" s="7">
        <f ca="1">(G559-$C$8)/$C$9</f>
        <v>1.9042470469909643</v>
      </c>
    </row>
    <row r="560" spans="3:8" x14ac:dyDescent="0.35">
      <c r="C560" s="8">
        <f t="shared" ca="1" si="32"/>
        <v>0.89617790698744892</v>
      </c>
      <c r="D560" s="7">
        <f t="shared" ca="1" si="33"/>
        <v>0.10100104269652369</v>
      </c>
      <c r="E560" s="7">
        <f t="shared" ca="1" si="34"/>
        <v>5.5125658806026379E-2</v>
      </c>
      <c r="F560" s="7">
        <f t="shared" ca="1" si="35"/>
        <v>1.3320411384332561E-2</v>
      </c>
      <c r="G560" s="7">
        <f ca="1">$C$11/(1+D560)^1
 +$D$11/(1+D560)^2
 +$E$11/(1+D560)^3
 +$F$11/(1+D560)^4
 +$G$11/(1+D560)^5
 +$H$11/(1+D560)^6
 +$I$11/(1+D560)^7
 + ( $I$11*(1+F560)/(D560-F560) )/(1+D560)^7</f>
        <v>310.45246500152768</v>
      </c>
      <c r="H560" s="7">
        <f ca="1">(G560-$C$8)/$C$9</f>
        <v>1.6903124434731325</v>
      </c>
    </row>
    <row r="561" spans="3:8" x14ac:dyDescent="0.35">
      <c r="C561" s="8">
        <f t="shared" ca="1" si="32"/>
        <v>0.20624597421244573</v>
      </c>
      <c r="D561" s="7">
        <f t="shared" ca="1" si="33"/>
        <v>8.3004679882803939E-2</v>
      </c>
      <c r="E561" s="7">
        <f t="shared" ca="1" si="34"/>
        <v>0.34494564414738238</v>
      </c>
      <c r="F561" s="7">
        <f t="shared" ca="1" si="35"/>
        <v>1.8305969469572858E-2</v>
      </c>
      <c r="G561" s="7">
        <f ca="1">$C$11/(1+D561)^1
 +$D$11/(1+D561)^2
 +$E$11/(1+D561)^3
 +$F$11/(1+D561)^4
 +$G$11/(1+D561)^5
 +$H$11/(1+D561)^6
 +$I$11/(1+D561)^7
 + ( $I$11*(1+F561)/(D561-F561) )/(1+D561)^7</f>
        <v>417.00148681219326</v>
      </c>
      <c r="H561" s="7">
        <f ca="1">(G561-$C$8)/$C$9</f>
        <v>2.2926927115117213</v>
      </c>
    </row>
    <row r="562" spans="3:8" x14ac:dyDescent="0.35">
      <c r="C562" s="8">
        <f t="shared" ca="1" si="32"/>
        <v>0.31336487378256606</v>
      </c>
      <c r="D562" s="7">
        <f t="shared" ca="1" si="33"/>
        <v>8.6029946865217755E-2</v>
      </c>
      <c r="E562" s="7">
        <f t="shared" ca="1" si="34"/>
        <v>0.46520719840975189</v>
      </c>
      <c r="F562" s="7">
        <f t="shared" ca="1" si="35"/>
        <v>1.9645799069125915E-2</v>
      </c>
      <c r="G562" s="7">
        <f ca="1">$C$11/(1+D562)^1
 +$D$11/(1+D562)^2
 +$E$11/(1+D562)^3
 +$F$11/(1+D562)^4
 +$G$11/(1+D562)^5
 +$H$11/(1+D562)^6
 +$I$11/(1+D562)^7
 + ( $I$11*(1+F562)/(D562-F562) )/(1+D562)^7</f>
        <v>403.33499393658894</v>
      </c>
      <c r="H562" s="7">
        <f ca="1">(G562-$C$8)/$C$9</f>
        <v>2.2154285048427687</v>
      </c>
    </row>
    <row r="563" spans="3:8" x14ac:dyDescent="0.35">
      <c r="C563" s="8">
        <f t="shared" ca="1" si="32"/>
        <v>0.91490823566716251</v>
      </c>
      <c r="D563" s="7">
        <f t="shared" ca="1" si="33"/>
        <v>0.10185312475978592</v>
      </c>
      <c r="E563" s="7">
        <f t="shared" ca="1" si="34"/>
        <v>0.18297431337271897</v>
      </c>
      <c r="F563" s="7">
        <f t="shared" ca="1" si="35"/>
        <v>1.6049368783149512E-2</v>
      </c>
      <c r="G563" s="7">
        <f ca="1">$C$11/(1+D563)^1
 +$D$11/(1+D563)^2
 +$E$11/(1+D563)^3
 +$F$11/(1+D563)^4
 +$G$11/(1+D563)^5
 +$H$11/(1+D563)^6
 +$I$11/(1+D563)^7
 + ( $I$11*(1+F563)/(D563-F563) )/(1+D563)^7</f>
        <v>313.62856927439736</v>
      </c>
      <c r="H563" s="7">
        <f ca="1">(G563-$C$8)/$C$9</f>
        <v>1.7082687091496911</v>
      </c>
    </row>
    <row r="564" spans="3:8" x14ac:dyDescent="0.35">
      <c r="C564" s="8">
        <f t="shared" ca="1" si="32"/>
        <v>0.22288115118677054</v>
      </c>
      <c r="D564" s="7">
        <f t="shared" ca="1" si="33"/>
        <v>8.3518969782241242E-2</v>
      </c>
      <c r="E564" s="7">
        <f t="shared" ca="1" si="34"/>
        <v>0.16305239252840364</v>
      </c>
      <c r="F564" s="7">
        <f t="shared" ca="1" si="35"/>
        <v>1.5710558510835936E-2</v>
      </c>
      <c r="G564" s="7">
        <f ca="1">$C$11/(1+D564)^1
 +$D$11/(1+D564)^2
 +$E$11/(1+D564)^3
 +$F$11/(1+D564)^4
 +$G$11/(1+D564)^5
 +$H$11/(1+D564)^6
 +$I$11/(1+D564)^7
 + ( $I$11*(1+F564)/(D564-F564) )/(1+D564)^7</f>
        <v>402.1325156220189</v>
      </c>
      <c r="H564" s="7">
        <f ca="1">(G564-$C$8)/$C$9</f>
        <v>2.2086302330507626</v>
      </c>
    </row>
    <row r="565" spans="3:8" x14ac:dyDescent="0.35">
      <c r="C565" s="8">
        <f t="shared" ca="1" si="32"/>
        <v>0.75790293789124186</v>
      </c>
      <c r="D565" s="7">
        <f t="shared" ca="1" si="33"/>
        <v>9.6258249440306698E-2</v>
      </c>
      <c r="E565" s="7">
        <f t="shared" ca="1" si="34"/>
        <v>0.94087489639212052</v>
      </c>
      <c r="F565" s="7">
        <f t="shared" ca="1" si="35"/>
        <v>2.6561247214239456E-2</v>
      </c>
      <c r="G565" s="7">
        <f ca="1">$C$11/(1+D565)^1
 +$D$11/(1+D565)^2
 +$E$11/(1+D565)^3
 +$F$11/(1+D565)^4
 +$G$11/(1+D565)^5
 +$H$11/(1+D565)^6
 +$I$11/(1+D565)^7
 + ( $I$11*(1+F565)/(D565-F565) )/(1+D565)^7</f>
        <v>370.86167204453659</v>
      </c>
      <c r="H565" s="7">
        <f ca="1">(G565-$C$8)/$C$9</f>
        <v>2.0318389419071492</v>
      </c>
    </row>
    <row r="566" spans="3:8" x14ac:dyDescent="0.35">
      <c r="C566" s="8">
        <f t="shared" ca="1" si="32"/>
        <v>0.96561017205689781</v>
      </c>
      <c r="D566" s="7">
        <f t="shared" ca="1" si="33"/>
        <v>0.10482080452235874</v>
      </c>
      <c r="E566" s="7">
        <f t="shared" ca="1" si="34"/>
        <v>4.7445792884930782E-2</v>
      </c>
      <c r="F566" s="7">
        <f t="shared" ca="1" si="35"/>
        <v>1.3080447788388266E-2</v>
      </c>
      <c r="G566" s="7">
        <f ca="1">$C$11/(1+D566)^1
 +$D$11/(1+D566)^2
 +$E$11/(1+D566)^3
 +$F$11/(1+D566)^4
 +$G$11/(1+D566)^5
 +$H$11/(1+D566)^6
 +$I$11/(1+D566)^7
 + ( $I$11*(1+F566)/(D566-F566) )/(1+D566)^7</f>
        <v>296.26642592378221</v>
      </c>
      <c r="H566" s="7">
        <f ca="1">(G566-$C$8)/$C$9</f>
        <v>1.6101109561498315</v>
      </c>
    </row>
    <row r="567" spans="3:8" x14ac:dyDescent="0.35">
      <c r="C567" s="8">
        <f t="shared" ca="1" si="32"/>
        <v>0.64250054255612776</v>
      </c>
      <c r="D567" s="7">
        <f t="shared" ca="1" si="33"/>
        <v>9.3301210319121322E-2</v>
      </c>
      <c r="E567" s="7">
        <f t="shared" ca="1" si="34"/>
        <v>0.22121669268725597</v>
      </c>
      <c r="F567" s="7">
        <f t="shared" ca="1" si="35"/>
        <v>1.6651566622792796E-2</v>
      </c>
      <c r="G567" s="7">
        <f ca="1">$C$11/(1+D567)^1
 +$D$11/(1+D567)^2
 +$E$11/(1+D567)^3
 +$F$11/(1+D567)^4
 +$G$11/(1+D567)^5
 +$H$11/(1+D567)^6
 +$I$11/(1+D567)^7
 + ( $I$11*(1+F567)/(D567-F567) )/(1+D567)^7</f>
        <v>352.10703423263664</v>
      </c>
      <c r="H567" s="7">
        <f ca="1">(G567-$C$8)/$C$9</f>
        <v>1.9258086512473802</v>
      </c>
    </row>
    <row r="568" spans="3:8" x14ac:dyDescent="0.35">
      <c r="C568" s="8">
        <f t="shared" ca="1" si="32"/>
        <v>0.17163960461007421</v>
      </c>
      <c r="D568" s="7">
        <f t="shared" ca="1" si="33"/>
        <v>8.1863577697316309E-2</v>
      </c>
      <c r="E568" s="7">
        <f t="shared" ca="1" si="34"/>
        <v>6.3970863506847553E-2</v>
      </c>
      <c r="F568" s="7">
        <f t="shared" ca="1" si="35"/>
        <v>1.3576894281547822E-2</v>
      </c>
      <c r="G568" s="7">
        <f ca="1">$C$11/(1+D568)^1
 +$D$11/(1+D568)^2
 +$E$11/(1+D568)^3
 +$F$11/(1+D568)^4
 +$G$11/(1+D568)^5
 +$H$11/(1+D568)^6
 +$I$11/(1+D568)^7
 + ( $I$11*(1+F568)/(D568-F568) )/(1+D568)^7</f>
        <v>403.35986812411653</v>
      </c>
      <c r="H568" s="7">
        <f ca="1">(G568-$C$8)/$C$9</f>
        <v>2.2155691323163529</v>
      </c>
    </row>
    <row r="569" spans="3:8" x14ac:dyDescent="0.35">
      <c r="C569" s="8">
        <f t="shared" ca="1" si="32"/>
        <v>6.5597957754552794E-2</v>
      </c>
      <c r="D569" s="7">
        <f t="shared" ca="1" si="33"/>
        <v>7.7334188800319587E-2</v>
      </c>
      <c r="E569" s="7">
        <f t="shared" ca="1" si="34"/>
        <v>0.59938218674844423</v>
      </c>
      <c r="F569" s="7">
        <f t="shared" ca="1" si="35"/>
        <v>2.1048823392966088E-2</v>
      </c>
      <c r="G569" s="7">
        <f ca="1">$C$11/(1+D569)^1
 +$D$11/(1+D569)^2
 +$E$11/(1+D569)^3
 +$F$11/(1+D569)^4
 +$G$11/(1+D569)^5
 +$H$11/(1+D569)^6
 +$I$11/(1+D569)^7
 + ( $I$11*(1+F569)/(D569-F569) )/(1+D569)^7</f>
        <v>475.40759262034385</v>
      </c>
      <c r="H569" s="7">
        <f ca="1">(G569-$C$8)/$C$9</f>
        <v>2.6228945760987328</v>
      </c>
    </row>
    <row r="570" spans="3:8" x14ac:dyDescent="0.35">
      <c r="C570" s="8">
        <f t="shared" ca="1" si="32"/>
        <v>0.53757306906241542</v>
      </c>
      <c r="D570" s="7">
        <f t="shared" ca="1" si="33"/>
        <v>9.1008080504295624E-2</v>
      </c>
      <c r="E570" s="7">
        <f t="shared" ca="1" si="34"/>
        <v>0.20168819490049328</v>
      </c>
      <c r="F570" s="7">
        <f t="shared" ca="1" si="35"/>
        <v>1.6351191933810429E-2</v>
      </c>
      <c r="G570" s="7">
        <f ca="1">$C$11/(1+D570)^1
 +$D$11/(1+D570)^2
 +$E$11/(1+D570)^3
 +$F$11/(1+D570)^4
 +$G$11/(1+D570)^5
 +$H$11/(1+D570)^6
 +$I$11/(1+D570)^7
 + ( $I$11*(1+F570)/(D570-F570) )/(1+D570)^7</f>
        <v>362.48415292067023</v>
      </c>
      <c r="H570" s="7">
        <f ca="1">(G570-$C$8)/$C$9</f>
        <v>1.9844762150648474</v>
      </c>
    </row>
    <row r="571" spans="3:8" x14ac:dyDescent="0.35">
      <c r="C571" s="8">
        <f t="shared" ca="1" si="32"/>
        <v>0.73167683466694078</v>
      </c>
      <c r="D571" s="7">
        <f t="shared" ca="1" si="33"/>
        <v>9.5533069815617891E-2</v>
      </c>
      <c r="E571" s="7">
        <f t="shared" ca="1" si="34"/>
        <v>0.26625276546484022</v>
      </c>
      <c r="F571" s="7">
        <f t="shared" ca="1" si="35"/>
        <v>1.7297297656870523E-2</v>
      </c>
      <c r="G571" s="7">
        <f ca="1">$C$11/(1+D571)^1
 +$D$11/(1+D571)^2
 +$E$11/(1+D571)^3
 +$F$11/(1+D571)^4
 +$G$11/(1+D571)^5
 +$H$11/(1+D571)^6
 +$I$11/(1+D571)^7
 + ( $I$11*(1+F571)/(D571-F571) )/(1+D571)^7</f>
        <v>343.5723790913417</v>
      </c>
      <c r="H571" s="7">
        <f ca="1">(G571-$C$8)/$C$9</f>
        <v>1.8775575480062283</v>
      </c>
    </row>
    <row r="572" spans="3:8" x14ac:dyDescent="0.35">
      <c r="C572" s="8">
        <f t="shared" ca="1" si="32"/>
        <v>0.35612343704351224</v>
      </c>
      <c r="D572" s="7">
        <f t="shared" ca="1" si="33"/>
        <v>8.7088628335114548E-2</v>
      </c>
      <c r="E572" s="7">
        <f t="shared" ca="1" si="34"/>
        <v>0.72661624800383462</v>
      </c>
      <c r="F572" s="7">
        <f t="shared" ca="1" si="35"/>
        <v>2.2605627112510955E-2</v>
      </c>
      <c r="G572" s="7">
        <f ca="1">$C$11/(1+D572)^1
 +$D$11/(1+D572)^2
 +$E$11/(1+D572)^3
 +$F$11/(1+D572)^4
 +$G$11/(1+D572)^5
 +$H$11/(1+D572)^6
 +$I$11/(1+D572)^7
 + ( $I$11*(1+F572)/(D572-F572) )/(1+D572)^7</f>
        <v>409.75402282356913</v>
      </c>
      <c r="H572" s="7">
        <f ca="1">(G572-$C$8)/$C$9</f>
        <v>2.2517188083648185</v>
      </c>
    </row>
    <row r="573" spans="3:8" x14ac:dyDescent="0.35">
      <c r="C573" s="8">
        <f t="shared" ca="1" si="32"/>
        <v>0.40360337642561894</v>
      </c>
      <c r="D573" s="7">
        <f t="shared" ca="1" si="33"/>
        <v>8.819216228679283E-2</v>
      </c>
      <c r="E573" s="7">
        <f t="shared" ca="1" si="34"/>
        <v>0.72954349759565218</v>
      </c>
      <c r="F573" s="7">
        <f t="shared" ca="1" si="35"/>
        <v>2.264532118438408E-2</v>
      </c>
      <c r="G573" s="7">
        <f ca="1">$C$11/(1+D573)^1
 +$D$11/(1+D573)^2
 +$E$11/(1+D573)^3
 +$F$11/(1+D573)^4
 +$G$11/(1+D573)^5
 +$H$11/(1+D573)^6
 +$I$11/(1+D573)^7
 + ( $I$11*(1+F573)/(D573-F573) )/(1+D573)^7</f>
        <v>402.77553663469411</v>
      </c>
      <c r="H573" s="7">
        <f ca="1">(G573-$C$8)/$C$9</f>
        <v>2.2122655847732591</v>
      </c>
    </row>
    <row r="574" spans="3:8" x14ac:dyDescent="0.35">
      <c r="C574" s="8">
        <f t="shared" ca="1" si="32"/>
        <v>0.70216266958909035</v>
      </c>
      <c r="D574" s="7">
        <f t="shared" ca="1" si="33"/>
        <v>9.4758178661311199E-2</v>
      </c>
      <c r="E574" s="7">
        <f t="shared" ca="1" si="34"/>
        <v>0.68705047853602674</v>
      </c>
      <c r="F574" s="7">
        <f t="shared" ca="1" si="35"/>
        <v>2.2088621846176569E-2</v>
      </c>
      <c r="G574" s="7">
        <f ca="1">$C$11/(1+D574)^1
 +$D$11/(1+D574)^2
 +$E$11/(1+D574)^3
 +$F$11/(1+D574)^4
 +$G$11/(1+D574)^5
 +$H$11/(1+D574)^6
 +$I$11/(1+D574)^7
 + ( $I$11*(1+F574)/(D574-F574) )/(1+D574)^7</f>
        <v>362.77635521702143</v>
      </c>
      <c r="H574" s="7">
        <f ca="1">(G574-$C$8)/$C$9</f>
        <v>1.9861281954829342</v>
      </c>
    </row>
    <row r="575" spans="3:8" x14ac:dyDescent="0.35">
      <c r="C575" s="8">
        <f t="shared" ca="1" si="32"/>
        <v>0.93982356152333912</v>
      </c>
      <c r="D575" s="7">
        <f t="shared" ca="1" si="33"/>
        <v>0.10314889629243612</v>
      </c>
      <c r="E575" s="7">
        <f t="shared" ca="1" si="34"/>
        <v>0.17716758943555599</v>
      </c>
      <c r="F575" s="7">
        <f t="shared" ca="1" si="35"/>
        <v>1.5952605974454484E-2</v>
      </c>
      <c r="G575" s="7">
        <f ca="1">$C$11/(1+D575)^1
 +$D$11/(1+D575)^2
 +$E$11/(1+D575)^3
 +$F$11/(1+D575)^4
 +$G$11/(1+D575)^5
 +$H$11/(1+D575)^6
 +$I$11/(1+D575)^7
 + ( $I$11*(1+F575)/(D575-F575) )/(1+D575)^7</f>
        <v>308.49265248413525</v>
      </c>
      <c r="H575" s="7">
        <f ca="1">(G575-$C$8)/$C$9</f>
        <v>1.679232544573356</v>
      </c>
    </row>
    <row r="576" spans="3:8" x14ac:dyDescent="0.35">
      <c r="C576" s="8">
        <f t="shared" ca="1" si="32"/>
        <v>0.45670459931168361</v>
      </c>
      <c r="D576" s="7">
        <f t="shared" ca="1" si="33"/>
        <v>8.9351944900592825E-2</v>
      </c>
      <c r="E576" s="7">
        <f t="shared" ca="1" si="34"/>
        <v>0.1900083310453895</v>
      </c>
      <c r="F576" s="7">
        <f t="shared" ca="1" si="35"/>
        <v>1.6164549148889797E-2</v>
      </c>
      <c r="G576" s="7">
        <f ca="1">$C$11/(1+D576)^1
 +$D$11/(1+D576)^2
 +$E$11/(1+D576)^3
 +$F$11/(1+D576)^4
 +$G$11/(1+D576)^5
 +$H$11/(1+D576)^6
 +$I$11/(1+D576)^7
 + ( $I$11*(1+F576)/(D576-F576) )/(1+D576)^7</f>
        <v>370.44442814580464</v>
      </c>
      <c r="H576" s="7">
        <f ca="1">(G576-$C$8)/$C$9</f>
        <v>2.0294800324841962</v>
      </c>
    </row>
    <row r="577" spans="3:8" x14ac:dyDescent="0.35">
      <c r="C577" s="8">
        <f t="shared" ca="1" si="32"/>
        <v>0.97416731081816832</v>
      </c>
      <c r="D577" s="7">
        <f t="shared" ca="1" si="33"/>
        <v>0.10551118082767542</v>
      </c>
      <c r="E577" s="7">
        <f t="shared" ca="1" si="34"/>
        <v>0.82864193226940286</v>
      </c>
      <c r="F577" s="7">
        <f t="shared" ca="1" si="35"/>
        <v>2.4145803766005156E-2</v>
      </c>
      <c r="G577" s="7">
        <f ca="1">$C$11/(1+D577)^1
 +$D$11/(1+D577)^2
 +$E$11/(1+D577)^3
 +$F$11/(1+D577)^4
 +$G$11/(1+D577)^5
 +$H$11/(1+D577)^6
 +$I$11/(1+D577)^7
 + ( $I$11*(1+F577)/(D577-F577) )/(1+D577)^7</f>
        <v>319.35274510282966</v>
      </c>
      <c r="H577" s="7">
        <f ca="1">(G577-$C$8)/$C$9</f>
        <v>1.7406306258640301</v>
      </c>
    </row>
    <row r="578" spans="3:8" x14ac:dyDescent="0.35">
      <c r="C578" s="8">
        <f t="shared" ca="1" si="32"/>
        <v>0.66998998803239551</v>
      </c>
      <c r="D578" s="7">
        <f t="shared" ca="1" si="33"/>
        <v>9.3956066276167455E-2</v>
      </c>
      <c r="E578" s="7">
        <f t="shared" ca="1" si="34"/>
        <v>9.1471836963197606E-2</v>
      </c>
      <c r="F578" s="7">
        <f t="shared" ca="1" si="35"/>
        <v>1.4277191530974447E-2</v>
      </c>
      <c r="G578" s="7">
        <f ca="1">$C$11/(1+D578)^1
 +$D$11/(1+D578)^2
 +$E$11/(1+D578)^3
 +$F$11/(1+D578)^4
 +$G$11/(1+D578)^5
 +$H$11/(1+D578)^6
 +$I$11/(1+D578)^7
 + ( $I$11*(1+F578)/(D578-F578) )/(1+D578)^7</f>
        <v>341.88374851528022</v>
      </c>
      <c r="H578" s="7">
        <f ca="1">(G578-$C$8)/$C$9</f>
        <v>1.8680107898873823</v>
      </c>
    </row>
    <row r="579" spans="3:8" x14ac:dyDescent="0.35">
      <c r="C579" s="8">
        <f t="shared" ca="1" si="32"/>
        <v>0.121255987891704</v>
      </c>
      <c r="D579" s="7">
        <f t="shared" ca="1" si="33"/>
        <v>7.9971454762029326E-2</v>
      </c>
      <c r="E579" s="7">
        <f t="shared" ca="1" si="34"/>
        <v>0.60932029226775575</v>
      </c>
      <c r="F579" s="7">
        <f t="shared" ca="1" si="35"/>
        <v>2.1160546309502558E-2</v>
      </c>
      <c r="G579" s="7">
        <f ca="1">$C$11/(1+D579)^1
 +$D$11/(1+D579)^2
 +$E$11/(1+D579)^3
 +$F$11/(1+D579)^4
 +$G$11/(1+D579)^5
 +$H$11/(1+D579)^6
 +$I$11/(1+D579)^7
 + ( $I$11*(1+F579)/(D579-F579) )/(1+D579)^7</f>
        <v>454.02420790676831</v>
      </c>
      <c r="H579" s="7">
        <f ca="1">(G579-$C$8)/$C$9</f>
        <v>2.5020025322635022</v>
      </c>
    </row>
    <row r="580" spans="3:8" x14ac:dyDescent="0.35">
      <c r="C580" s="8">
        <f t="shared" ca="1" si="32"/>
        <v>0.23298291058404774</v>
      </c>
      <c r="D580" s="7">
        <f t="shared" ca="1" si="33"/>
        <v>8.3821938600605897E-2</v>
      </c>
      <c r="E580" s="7">
        <f t="shared" ca="1" si="34"/>
        <v>0.67891603933972866</v>
      </c>
      <c r="F580" s="7">
        <f t="shared" ca="1" si="35"/>
        <v>2.1986461946677093E-2</v>
      </c>
      <c r="G580" s="7">
        <f ca="1">$C$11/(1+D580)^1
 +$D$11/(1+D580)^2
 +$E$11/(1+D580)^3
 +$F$11/(1+D580)^4
 +$G$11/(1+D580)^5
 +$H$11/(1+D580)^6
 +$I$11/(1+D580)^7
 + ( $I$11*(1+F580)/(D580-F580) )/(1+D580)^7</f>
        <v>429.26748391016088</v>
      </c>
      <c r="H580" s="7">
        <f ca="1">(G580-$C$8)/$C$9</f>
        <v>2.3620391446752649</v>
      </c>
    </row>
    <row r="581" spans="3:8" x14ac:dyDescent="0.35">
      <c r="C581" s="8">
        <f t="shared" ca="1" si="32"/>
        <v>0.30887726927904147</v>
      </c>
      <c r="D581" s="7">
        <f t="shared" ca="1" si="33"/>
        <v>8.5914752929556082E-2</v>
      </c>
      <c r="E581" s="7">
        <f t="shared" ca="1" si="34"/>
        <v>0.47553324363648786</v>
      </c>
      <c r="F581" s="7">
        <f t="shared" ca="1" si="35"/>
        <v>1.9752263774493468E-2</v>
      </c>
      <c r="G581" s="7">
        <f ca="1">$C$11/(1+D581)^1
 +$D$11/(1+D581)^2
 +$E$11/(1+D581)^3
 +$F$11/(1+D581)^4
 +$G$11/(1+D581)^5
 +$H$11/(1+D581)^6
 +$I$11/(1+D581)^7
 + ( $I$11*(1+F581)/(D581-F581) )/(1+D581)^7</f>
        <v>404.53219767062762</v>
      </c>
      <c r="H581" s="7">
        <f ca="1">(G581-$C$8)/$C$9</f>
        <v>2.2221969565277453</v>
      </c>
    </row>
    <row r="582" spans="3:8" x14ac:dyDescent="0.35">
      <c r="C582" s="8">
        <f t="shared" ca="1" si="32"/>
        <v>0.70576871886173875</v>
      </c>
      <c r="D582" s="7">
        <f t="shared" ca="1" si="33"/>
        <v>9.4850729414000037E-2</v>
      </c>
      <c r="E582" s="7">
        <f t="shared" ca="1" si="34"/>
        <v>0.95662512171533376</v>
      </c>
      <c r="F582" s="7">
        <f t="shared" ca="1" si="35"/>
        <v>2.7054668837476294E-2</v>
      </c>
      <c r="G582" s="7">
        <f ca="1">$C$11/(1+D582)^1
 +$D$11/(1+D582)^2
 +$E$11/(1+D582)^3
 +$F$11/(1+D582)^4
 +$G$11/(1+D582)^5
 +$H$11/(1+D582)^6
 +$I$11/(1+D582)^7
 + ( $I$11*(1+F582)/(D582-F582) )/(1+D582)^7</f>
        <v>380.736130612605</v>
      </c>
      <c r="H582" s="7">
        <f ca="1">(G582-$C$8)/$C$9</f>
        <v>2.0876646913874093</v>
      </c>
    </row>
    <row r="583" spans="3:8" x14ac:dyDescent="0.35">
      <c r="C583" s="8">
        <f t="shared" ca="1" si="32"/>
        <v>0.2480156322893573</v>
      </c>
      <c r="D583" s="7">
        <f t="shared" ca="1" si="33"/>
        <v>8.4260884210920206E-2</v>
      </c>
      <c r="E583" s="7">
        <f t="shared" ca="1" si="34"/>
        <v>0.92774009564251403</v>
      </c>
      <c r="F583" s="7">
        <f t="shared" ca="1" si="35"/>
        <v>2.6198423896395442E-2</v>
      </c>
      <c r="G583" s="7">
        <f ca="1">$C$11/(1+D583)^1
 +$D$11/(1+D583)^2
 +$E$11/(1+D583)^3
 +$F$11/(1+D583)^4
 +$G$11/(1+D583)^5
 +$H$11/(1+D583)^6
 +$I$11/(1+D583)^7
 + ( $I$11*(1+F583)/(D583-F583) )/(1+D583)^7</f>
        <v>448.74873187974254</v>
      </c>
      <c r="H583" s="7">
        <f ca="1">(G583-$C$8)/$C$9</f>
        <v>2.4721773625041981</v>
      </c>
    </row>
    <row r="584" spans="3:8" x14ac:dyDescent="0.35">
      <c r="C584" s="8">
        <f t="shared" ca="1" si="32"/>
        <v>0.84534884967731938</v>
      </c>
      <c r="D584" s="7">
        <f t="shared" ca="1" si="33"/>
        <v>9.901692678474322E-2</v>
      </c>
      <c r="E584" s="7">
        <f t="shared" ca="1" si="34"/>
        <v>0.44941200208252674</v>
      </c>
      <c r="F584" s="7">
        <f t="shared" ca="1" si="35"/>
        <v>1.9480632912232461E-2</v>
      </c>
      <c r="G584" s="7">
        <f ca="1">$C$11/(1+D584)^1
 +$D$11/(1+D584)^2
 +$E$11/(1+D584)^3
 +$F$11/(1+D584)^4
 +$G$11/(1+D584)^5
 +$H$11/(1+D584)^6
 +$I$11/(1+D584)^7
 + ( $I$11*(1+F584)/(D584-F584) )/(1+D584)^7</f>
        <v>334.23293205273615</v>
      </c>
      <c r="H584" s="7">
        <f ca="1">(G584-$C$8)/$C$9</f>
        <v>1.8247565131882413</v>
      </c>
    </row>
    <row r="585" spans="3:8" x14ac:dyDescent="0.35">
      <c r="C585" s="8">
        <f t="shared" ca="1" si="32"/>
        <v>0.93941271375273472</v>
      </c>
      <c r="D585" s="7">
        <f t="shared" ca="1" si="33"/>
        <v>0.1031255485111271</v>
      </c>
      <c r="E585" s="7">
        <f t="shared" ca="1" si="34"/>
        <v>0.9148773448016766</v>
      </c>
      <c r="F585" s="7">
        <f t="shared" ca="1" si="35"/>
        <v>2.5873920621259851E-2</v>
      </c>
      <c r="G585" s="7">
        <f ca="1">$C$11/(1+D585)^1
 +$D$11/(1+D585)^2
 +$E$11/(1+D585)^3
 +$F$11/(1+D585)^4
 +$G$11/(1+D585)^5
 +$H$11/(1+D585)^6
 +$I$11/(1+D585)^7
 + ( $I$11*(1+F585)/(D585-F585) )/(1+D585)^7</f>
        <v>334.37436706592422</v>
      </c>
      <c r="H585" s="7">
        <f ca="1">(G585-$C$8)/$C$9</f>
        <v>1.825556123167821</v>
      </c>
    </row>
    <row r="586" spans="3:8" x14ac:dyDescent="0.35">
      <c r="C586" s="8">
        <f t="shared" ca="1" si="32"/>
        <v>0.770395976012482</v>
      </c>
      <c r="D586" s="7">
        <f t="shared" ca="1" si="33"/>
        <v>9.6617506259659078E-2</v>
      </c>
      <c r="E586" s="7">
        <f t="shared" ca="1" si="34"/>
        <v>0.59578336598129666</v>
      </c>
      <c r="F586" s="7">
        <f t="shared" ca="1" si="35"/>
        <v>2.1008708279466146E-2</v>
      </c>
      <c r="G586" s="7">
        <f ca="1">$C$11/(1+D586)^1
 +$D$11/(1+D586)^2
 +$E$11/(1+D586)^3
 +$F$11/(1+D586)^4
 +$G$11/(1+D586)^5
 +$H$11/(1+D586)^6
 +$I$11/(1+D586)^7
 + ( $I$11*(1+F586)/(D586-F586) )/(1+D586)^7</f>
        <v>349.87392591999634</v>
      </c>
      <c r="H586" s="7">
        <f ca="1">(G586-$C$8)/$C$9</f>
        <v>1.9131836607869535</v>
      </c>
    </row>
    <row r="587" spans="3:8" x14ac:dyDescent="0.35">
      <c r="C587" s="8">
        <f t="shared" ca="1" si="32"/>
        <v>0.93184923846664169</v>
      </c>
      <c r="D587" s="7">
        <f t="shared" ca="1" si="33"/>
        <v>0.10270907454461237</v>
      </c>
      <c r="E587" s="7">
        <f t="shared" ca="1" si="34"/>
        <v>4.2172408256759053E-2</v>
      </c>
      <c r="F587" s="7">
        <f t="shared" ca="1" si="35"/>
        <v>1.2904217907002125E-2</v>
      </c>
      <c r="G587" s="7">
        <f ca="1">$C$11/(1+D587)^1
 +$D$11/(1+D587)^2
 +$E$11/(1+D587)^3
 +$F$11/(1+D587)^4
 +$G$11/(1+D587)^5
 +$H$11/(1+D587)^6
 +$I$11/(1+D587)^7
 + ( $I$11*(1+F587)/(D587-F587) )/(1+D587)^7</f>
        <v>303.2748026859166</v>
      </c>
      <c r="H587" s="7">
        <f ca="1">(G587-$C$8)/$C$9</f>
        <v>1.6497331676046845</v>
      </c>
    </row>
    <row r="588" spans="3:8" x14ac:dyDescent="0.35">
      <c r="C588" s="8">
        <f t="shared" ca="1" si="32"/>
        <v>0.53485955468429414</v>
      </c>
      <c r="D588" s="7">
        <f t="shared" ca="1" si="33"/>
        <v>9.095243985844248E-2</v>
      </c>
      <c r="E588" s="7">
        <f t="shared" ca="1" si="34"/>
        <v>0.97554133600791759</v>
      </c>
      <c r="F588" s="7">
        <f t="shared" ca="1" si="35"/>
        <v>2.7788273796688096E-2</v>
      </c>
      <c r="G588" s="7">
        <f ca="1">$C$11/(1+D588)^1
 +$D$11/(1+D588)^2
 +$E$11/(1+D588)^3
 +$F$11/(1+D588)^4
 +$G$11/(1+D588)^5
 +$H$11/(1+D588)^6
 +$I$11/(1+D588)^7
 + ( $I$11*(1+F588)/(D588-F588) )/(1+D588)^7</f>
        <v>408.18913020188518</v>
      </c>
      <c r="H588" s="7">
        <f ca="1">(G588-$C$8)/$C$9</f>
        <v>2.24287160901111</v>
      </c>
    </row>
    <row r="589" spans="3:8" x14ac:dyDescent="0.35">
      <c r="C589" s="8">
        <f t="shared" ca="1" si="32"/>
        <v>0.20375966159821779</v>
      </c>
      <c r="D589" s="7">
        <f t="shared" ca="1" si="33"/>
        <v>8.2926055953404298E-2</v>
      </c>
      <c r="E589" s="7">
        <f t="shared" ca="1" si="34"/>
        <v>0.57382345808978541</v>
      </c>
      <c r="F589" s="7">
        <f t="shared" ca="1" si="35"/>
        <v>2.0767702973688351E-2</v>
      </c>
      <c r="G589" s="7">
        <f ca="1">$C$11/(1+D589)^1
 +$D$11/(1+D589)^2
 +$E$11/(1+D589)^3
 +$F$11/(1+D589)^4
 +$G$11/(1+D589)^5
 +$H$11/(1+D589)^6
 +$I$11/(1+D589)^7
 + ( $I$11*(1+F589)/(D589-F589) )/(1+D589)^7</f>
        <v>429.51889603773964</v>
      </c>
      <c r="H589" s="7">
        <f ca="1">(G589-$C$8)/$C$9</f>
        <v>2.3634605158171622</v>
      </c>
    </row>
    <row r="590" spans="3:8" x14ac:dyDescent="0.35">
      <c r="C590" s="8">
        <f t="shared" ca="1" si="32"/>
        <v>0.11811051387235194</v>
      </c>
      <c r="D590" s="7">
        <f t="shared" ca="1" si="33"/>
        <v>7.9841271329220059E-2</v>
      </c>
      <c r="E590" s="7">
        <f t="shared" ca="1" si="34"/>
        <v>0.33861857676335427</v>
      </c>
      <c r="F590" s="7">
        <f t="shared" ca="1" si="35"/>
        <v>1.8229441983067314E-2</v>
      </c>
      <c r="G590" s="7">
        <f ca="1">$C$11/(1+D590)^1
 +$D$11/(1+D590)^2
 +$E$11/(1+D590)^3
 +$F$11/(1+D590)^4
 +$G$11/(1+D590)^5
 +$H$11/(1+D590)^6
 +$I$11/(1+D590)^7
 + ( $I$11*(1+F590)/(D590-F590) )/(1+D590)^7</f>
        <v>438.93527033067676</v>
      </c>
      <c r="H590" s="7">
        <f ca="1">(G590-$C$8)/$C$9</f>
        <v>2.4166964627469287</v>
      </c>
    </row>
    <row r="591" spans="3:8" x14ac:dyDescent="0.35">
      <c r="C591" s="8">
        <f t="shared" ca="1" si="32"/>
        <v>0.50672604546105682</v>
      </c>
      <c r="D591" s="7">
        <f t="shared" ca="1" si="33"/>
        <v>9.0384193809863234E-2</v>
      </c>
      <c r="E591" s="7">
        <f t="shared" ca="1" si="34"/>
        <v>0.50929182075968393</v>
      </c>
      <c r="F591" s="7">
        <f t="shared" ca="1" si="35"/>
        <v>2.0093353955648603E-2</v>
      </c>
      <c r="G591" s="7">
        <f ca="1">$C$11/(1+D591)^1
 +$D$11/(1+D591)^2
 +$E$11/(1+D591)^3
 +$F$11/(1+D591)^4
 +$G$11/(1+D591)^5
 +$H$11/(1+D591)^6
 +$I$11/(1+D591)^7
 + ( $I$11*(1+F591)/(D591-F591) )/(1+D591)^7</f>
        <v>379.18530318651989</v>
      </c>
      <c r="H591" s="7">
        <f ca="1">(G591-$C$8)/$C$9</f>
        <v>2.078897010326322</v>
      </c>
    </row>
    <row r="592" spans="3:8" x14ac:dyDescent="0.35">
      <c r="C592" s="8">
        <f t="shared" ca="1" si="32"/>
        <v>0.98753863643548245</v>
      </c>
      <c r="D592" s="7">
        <f t="shared" ca="1" si="33"/>
        <v>0.10688233042476858</v>
      </c>
      <c r="E592" s="7">
        <f t="shared" ca="1" si="34"/>
        <v>0.85322932323863154</v>
      </c>
      <c r="F592" s="7">
        <f t="shared" ca="1" si="35"/>
        <v>2.4582054323613635E-2</v>
      </c>
      <c r="G592" s="7">
        <f ca="1">$C$11/(1+D592)^1
 +$D$11/(1+D592)^2
 +$E$11/(1+D592)^3
 +$F$11/(1+D592)^4
 +$G$11/(1+D592)^5
 +$H$11/(1+D592)^6
 +$I$11/(1+D592)^7
 + ( $I$11*(1+F592)/(D592-F592) )/(1+D592)^7</f>
        <v>314.93286864390365</v>
      </c>
      <c r="H592" s="7">
        <f ca="1">(G592-$C$8)/$C$9</f>
        <v>1.7156426314105813</v>
      </c>
    </row>
    <row r="593" spans="3:8" x14ac:dyDescent="0.35">
      <c r="C593" s="8">
        <f t="shared" ref="C593:C656" ca="1" si="36">RAND()</f>
        <v>0.25203762318673251</v>
      </c>
      <c r="D593" s="7">
        <f t="shared" ref="D593:D656" ca="1" si="37">IF(C593&lt;(0.0905-0.07)/(0.11-0.07),
 0.07+SQRT(C593*(0.11-0.07)*(0.0905-0.07)),
 0.11-SQRT((1-C593)*(0.11-0.07)*(0.11-0.0905))
)</f>
        <v>8.4376051301143881E-2</v>
      </c>
      <c r="E593" s="7">
        <f t="shared" ref="E593:E656" ca="1" si="38">RAND()</f>
        <v>0.30501907891062663</v>
      </c>
      <c r="F593" s="7">
        <f t="shared" ref="F593:F656" ca="1" si="39">MIN(
 IF(E593&lt;(0.02-0.01)/(0.03-0.01),
   0.01+SQRT(E593*(0.03-0.01)*(0.02-0.01)),
   0.03-SQRT((1-E593)*(0.03-0.01)*(0.03-0.02))
 ),
 D593-0.005
)</f>
        <v>1.7810493952505523E-2</v>
      </c>
      <c r="G593" s="7">
        <f ca="1">$C$11/(1+D593)^1
 +$D$11/(1+D593)^2
 +$E$11/(1+D593)^3
 +$F$11/(1+D593)^4
 +$G$11/(1+D593)^5
 +$H$11/(1+D593)^6
 +$I$11/(1+D593)^7
 + ( $I$11*(1+F593)/(D593-F593) )/(1+D593)^7</f>
        <v>405.80104957634995</v>
      </c>
      <c r="H593" s="7">
        <f ca="1">(G593-$C$8)/$C$9</f>
        <v>2.2293704747645293</v>
      </c>
    </row>
    <row r="594" spans="3:8" x14ac:dyDescent="0.35">
      <c r="C594" s="8">
        <f t="shared" ca="1" si="36"/>
        <v>4.9234916250883498E-2</v>
      </c>
      <c r="D594" s="7">
        <f t="shared" ca="1" si="37"/>
        <v>7.6353946122349831E-2</v>
      </c>
      <c r="E594" s="7">
        <f t="shared" ca="1" si="38"/>
        <v>0.69649375521612944</v>
      </c>
      <c r="F594" s="7">
        <f t="shared" ca="1" si="39"/>
        <v>2.2208899374493093E-2</v>
      </c>
      <c r="G594" s="7">
        <f ca="1">$C$11/(1+D594)^1
 +$D$11/(1+D594)^2
 +$E$11/(1+D594)^3
 +$F$11/(1+D594)^4
 +$G$11/(1+D594)^5
 +$H$11/(1+D594)^6
 +$I$11/(1+D594)^7
 + ( $I$11*(1+F594)/(D594-F594) )/(1+D594)^7</f>
        <v>491.99198782509552</v>
      </c>
      <c r="H594" s="7">
        <f ca="1">(G594-$C$8)/$C$9</f>
        <v>2.7166552907343706</v>
      </c>
    </row>
    <row r="595" spans="3:8" x14ac:dyDescent="0.35">
      <c r="C595" s="8">
        <f t="shared" ca="1" si="36"/>
        <v>0.65242578524830042</v>
      </c>
      <c r="D595" s="7">
        <f t="shared" ca="1" si="37"/>
        <v>9.3534645843276684E-2</v>
      </c>
      <c r="E595" s="7">
        <f t="shared" ca="1" si="38"/>
        <v>0.60956020127917121</v>
      </c>
      <c r="F595" s="7">
        <f t="shared" ca="1" si="39"/>
        <v>2.1163260796868241E-2</v>
      </c>
      <c r="G595" s="7">
        <f ca="1">$C$11/(1+D595)^1
 +$D$11/(1+D595)^2
 +$E$11/(1+D595)^3
 +$F$11/(1+D595)^4
 +$G$11/(1+D595)^5
 +$H$11/(1+D595)^6
 +$I$11/(1+D595)^7
 + ( $I$11*(1+F595)/(D595-F595) )/(1+D595)^7</f>
        <v>365.94652223729952</v>
      </c>
      <c r="H595" s="7">
        <f ca="1">(G595-$C$8)/$C$9</f>
        <v>2.0040508946025524</v>
      </c>
    </row>
    <row r="596" spans="3:8" x14ac:dyDescent="0.35">
      <c r="C596" s="8">
        <f t="shared" ca="1" si="36"/>
        <v>0.88009304107955666</v>
      </c>
      <c r="D596" s="7">
        <f t="shared" ca="1" si="37"/>
        <v>0.10032904203514741</v>
      </c>
      <c r="E596" s="7">
        <f t="shared" ca="1" si="38"/>
        <v>0.58903201983638165</v>
      </c>
      <c r="F596" s="7">
        <f t="shared" ca="1" si="39"/>
        <v>2.0933931611071772E-2</v>
      </c>
      <c r="G596" s="7">
        <f ca="1">$C$11/(1+D596)^1
 +$D$11/(1+D596)^2
 +$E$11/(1+D596)^3
 +$F$11/(1+D596)^4
 +$G$11/(1+D596)^5
 +$H$11/(1+D596)^6
 +$I$11/(1+D596)^7
 + ( $I$11*(1+F596)/(D596-F596) )/(1+D596)^7</f>
        <v>332.57931833486464</v>
      </c>
      <c r="H596" s="7">
        <f ca="1">(G596-$C$8)/$C$9</f>
        <v>1.8154077246430609</v>
      </c>
    </row>
    <row r="597" spans="3:8" x14ac:dyDescent="0.35">
      <c r="C597" s="8">
        <f t="shared" ca="1" si="36"/>
        <v>0.89536727773313307</v>
      </c>
      <c r="D597" s="7">
        <f t="shared" ca="1" si="37"/>
        <v>0.10096597966749266</v>
      </c>
      <c r="E597" s="7">
        <f t="shared" ca="1" si="38"/>
        <v>0.50830049755857731</v>
      </c>
      <c r="F597" s="7">
        <f t="shared" ca="1" si="39"/>
        <v>2.0083352356351239E-2</v>
      </c>
      <c r="G597" s="7">
        <f ca="1">$C$11/(1+D597)^1
 +$D$11/(1+D597)^2
 +$E$11/(1+D597)^3
 +$F$11/(1+D597)^4
 +$G$11/(1+D597)^5
 +$H$11/(1+D597)^6
 +$I$11/(1+D597)^7
 + ( $I$11*(1+F597)/(D597-F597) )/(1+D597)^7</f>
        <v>327.48448536729427</v>
      </c>
      <c r="H597" s="7">
        <f ca="1">(G597-$C$8)/$C$9</f>
        <v>1.7866038295301574</v>
      </c>
    </row>
    <row r="598" spans="3:8" x14ac:dyDescent="0.35">
      <c r="C598" s="8">
        <f t="shared" ca="1" si="36"/>
        <v>0.78299183148374196</v>
      </c>
      <c r="D598" s="7">
        <f t="shared" ca="1" si="37"/>
        <v>9.6989758978301699E-2</v>
      </c>
      <c r="E598" s="7">
        <f t="shared" ca="1" si="38"/>
        <v>6.8722579893062186E-2</v>
      </c>
      <c r="F598" s="7">
        <f t="shared" ca="1" si="39"/>
        <v>1.3707359704508376E-2</v>
      </c>
      <c r="G598" s="7">
        <f ca="1">$C$11/(1+D598)^1
 +$D$11/(1+D598)^2
 +$E$11/(1+D598)^3
 +$F$11/(1+D598)^4
 +$G$11/(1+D598)^5
 +$H$11/(1+D598)^6
 +$I$11/(1+D598)^7
 + ( $I$11*(1+F598)/(D598-F598) )/(1+D598)^7</f>
        <v>327.19512028351863</v>
      </c>
      <c r="H598" s="7">
        <f ca="1">(G598-$C$8)/$C$9</f>
        <v>1.7849678894364462</v>
      </c>
    </row>
    <row r="599" spans="3:8" x14ac:dyDescent="0.35">
      <c r="C599" s="8">
        <f t="shared" ca="1" si="36"/>
        <v>0.81791365777172997</v>
      </c>
      <c r="D599" s="7">
        <f t="shared" ca="1" si="37"/>
        <v>9.8082477315396016E-2</v>
      </c>
      <c r="E599" s="7">
        <f t="shared" ca="1" si="38"/>
        <v>0.49321098994481161</v>
      </c>
      <c r="F599" s="7">
        <f t="shared" ca="1" si="39"/>
        <v>1.9931877868206108E-2</v>
      </c>
      <c r="G599" s="7">
        <f ca="1">$C$11/(1+D599)^1
 +$D$11/(1+D599)^2
 +$E$11/(1+D599)^3
 +$F$11/(1+D599)^4
 +$G$11/(1+D599)^5
 +$H$11/(1+D599)^6
 +$I$11/(1+D599)^7
 + ( $I$11*(1+F599)/(D599-F599) )/(1+D599)^7</f>
        <v>339.71555063572544</v>
      </c>
      <c r="H599" s="7">
        <f ca="1">(G599-$C$8)/$C$9</f>
        <v>1.8557527738338162</v>
      </c>
    </row>
    <row r="600" spans="3:8" x14ac:dyDescent="0.35">
      <c r="C600" s="8">
        <f t="shared" ca="1" si="36"/>
        <v>0.70232064165635866</v>
      </c>
      <c r="D600" s="7">
        <f t="shared" ca="1" si="37"/>
        <v>9.4762221306632644E-2</v>
      </c>
      <c r="E600" s="7">
        <f t="shared" ca="1" si="38"/>
        <v>0.71169251763190422</v>
      </c>
      <c r="F600" s="7">
        <f t="shared" ca="1" si="39"/>
        <v>2.2406483260463624E-2</v>
      </c>
      <c r="G600" s="7">
        <f ca="1">$C$11/(1+D600)^1
 +$D$11/(1+D600)^2
 +$E$11/(1+D600)^3
 +$F$11/(1+D600)^4
 +$G$11/(1+D600)^5
 +$H$11/(1+D600)^6
 +$I$11/(1+D600)^7
 + ( $I$11*(1+F600)/(D600-F600) )/(1+D600)^7</f>
        <v>363.86315319723258</v>
      </c>
      <c r="H600" s="7">
        <f ca="1">(G600-$C$8)/$C$9</f>
        <v>1.9922724626709214</v>
      </c>
    </row>
    <row r="601" spans="3:8" x14ac:dyDescent="0.35">
      <c r="C601" s="8">
        <f t="shared" ca="1" si="36"/>
        <v>0.70817558166709782</v>
      </c>
      <c r="D601" s="7">
        <f t="shared" ca="1" si="37"/>
        <v>9.4912818477274702E-2</v>
      </c>
      <c r="E601" s="7">
        <f t="shared" ca="1" si="38"/>
        <v>0.70997368278783146</v>
      </c>
      <c r="F601" s="7">
        <f t="shared" ca="1" si="39"/>
        <v>2.2383881340050319E-2</v>
      </c>
      <c r="G601" s="7">
        <f ca="1">$C$11/(1+D601)^1
 +$D$11/(1+D601)^2
 +$E$11/(1+D601)^3
 +$F$11/(1+D601)^4
 +$G$11/(1+D601)^5
 +$H$11/(1+D601)^6
 +$I$11/(1+D601)^7
 + ( $I$11*(1+F601)/(D601-F601) )/(1+D601)^7</f>
        <v>362.99756006779904</v>
      </c>
      <c r="H601" s="7">
        <f ca="1">(G601-$C$8)/$C$9</f>
        <v>1.987378788262093</v>
      </c>
    </row>
    <row r="602" spans="3:8" x14ac:dyDescent="0.35">
      <c r="C602" s="8">
        <f t="shared" ca="1" si="36"/>
        <v>9.996045363255146E-2</v>
      </c>
      <c r="D602" s="7">
        <f t="shared" ca="1" si="37"/>
        <v>7.9053594423138931E-2</v>
      </c>
      <c r="E602" s="7">
        <f t="shared" ca="1" si="38"/>
        <v>0.53657962761651146</v>
      </c>
      <c r="F602" s="7">
        <f t="shared" ca="1" si="39"/>
        <v>2.0372743148918397E-2</v>
      </c>
      <c r="G602" s="7">
        <f ca="1">$C$11/(1+D602)^1
 +$D$11/(1+D602)^2
 +$E$11/(1+D602)^3
 +$F$11/(1+D602)^4
 +$G$11/(1+D602)^5
 +$H$11/(1+D602)^6
 +$I$11/(1+D602)^7
 + ( $I$11*(1+F602)/(D602-F602) )/(1+D602)^7</f>
        <v>456.85021353125262</v>
      </c>
      <c r="H602" s="7">
        <f ca="1">(G602-$C$8)/$C$9</f>
        <v>2.517979497576055</v>
      </c>
    </row>
    <row r="603" spans="3:8" x14ac:dyDescent="0.35">
      <c r="C603" s="8">
        <f t="shared" ca="1" si="36"/>
        <v>0.32044572004328553</v>
      </c>
      <c r="D603" s="7">
        <f t="shared" ca="1" si="37"/>
        <v>8.6210042888144808E-2</v>
      </c>
      <c r="E603" s="7">
        <f t="shared" ca="1" si="38"/>
        <v>5.8863946755440599E-2</v>
      </c>
      <c r="F603" s="7">
        <f t="shared" ca="1" si="39"/>
        <v>1.3431149858442227E-2</v>
      </c>
      <c r="G603" s="7">
        <f ca="1">$C$11/(1+D603)^1
 +$D$11/(1+D603)^2
 +$E$11/(1+D603)^3
 +$F$11/(1+D603)^4
 +$G$11/(1+D603)^5
 +$H$11/(1+D603)^6
 +$I$11/(1+D603)^7
 + ( $I$11*(1+F603)/(D603-F603) )/(1+D603)^7</f>
        <v>377.55619113107252</v>
      </c>
      <c r="H603" s="7">
        <f ca="1">(G603-$C$8)/$C$9</f>
        <v>2.0696867431652675</v>
      </c>
    </row>
    <row r="604" spans="3:8" x14ac:dyDescent="0.35">
      <c r="C604" s="8">
        <f t="shared" ca="1" si="36"/>
        <v>0.86879269153466032</v>
      </c>
      <c r="D604" s="7">
        <f t="shared" ca="1" si="37"/>
        <v>9.9883592505095251E-2</v>
      </c>
      <c r="E604" s="7">
        <f t="shared" ca="1" si="38"/>
        <v>0.12553487692608312</v>
      </c>
      <c r="F604" s="7">
        <f t="shared" ca="1" si="39"/>
        <v>1.5010686119207292E-2</v>
      </c>
      <c r="G604" s="7">
        <f ca="1">$C$11/(1+D604)^1
 +$D$11/(1+D604)^2
 +$E$11/(1+D604)^3
 +$F$11/(1+D604)^4
 +$G$11/(1+D604)^5
 +$H$11/(1+D604)^6
 +$I$11/(1+D604)^7
 + ( $I$11*(1+F604)/(D604-F604) )/(1+D604)^7</f>
        <v>318.78833262351952</v>
      </c>
      <c r="H604" s="7">
        <f ca="1">(G604-$C$8)/$C$9</f>
        <v>1.7374396914491153</v>
      </c>
    </row>
    <row r="605" spans="3:8" x14ac:dyDescent="0.35">
      <c r="C605" s="8">
        <f t="shared" ca="1" si="36"/>
        <v>0.72512460749523777</v>
      </c>
      <c r="D605" s="7">
        <f t="shared" ca="1" si="37"/>
        <v>9.5357500003287882E-2</v>
      </c>
      <c r="E605" s="7">
        <f t="shared" ca="1" si="38"/>
        <v>0.52369576850820043</v>
      </c>
      <c r="F605" s="7">
        <f t="shared" ca="1" si="39"/>
        <v>2.0239833695148431E-2</v>
      </c>
      <c r="G605" s="7">
        <f ca="1">$C$11/(1+D605)^1
 +$D$11/(1+D605)^2
 +$E$11/(1+D605)^3
 +$F$11/(1+D605)^4
 +$G$11/(1+D605)^5
 +$H$11/(1+D605)^6
 +$I$11/(1+D605)^7
 + ( $I$11*(1+F605)/(D605-F605) )/(1+D605)^7</f>
        <v>353.5494572367009</v>
      </c>
      <c r="H605" s="7">
        <f ca="1">(G605-$C$8)/$C$9</f>
        <v>1.9339634624417734</v>
      </c>
    </row>
    <row r="606" spans="3:8" x14ac:dyDescent="0.35">
      <c r="C606" s="8">
        <f t="shared" ca="1" si="36"/>
        <v>0.78669778733022877</v>
      </c>
      <c r="D606" s="7">
        <f t="shared" ca="1" si="37"/>
        <v>9.710132852257948E-2</v>
      </c>
      <c r="E606" s="7">
        <f t="shared" ca="1" si="38"/>
        <v>0.44781219193402622</v>
      </c>
      <c r="F606" s="7">
        <f t="shared" ca="1" si="39"/>
        <v>1.9463743360151164E-2</v>
      </c>
      <c r="G606" s="7">
        <f ca="1">$C$11/(1+D606)^1
 +$D$11/(1+D606)^2
 +$E$11/(1+D606)^3
 +$F$11/(1+D606)^4
 +$G$11/(1+D606)^5
 +$H$11/(1+D606)^6
 +$I$11/(1+D606)^7
 + ( $I$11*(1+F606)/(D606-F606) )/(1+D606)^7</f>
        <v>342.82003855609105</v>
      </c>
      <c r="H606" s="7">
        <f ca="1">(G606-$C$8)/$C$9</f>
        <v>1.8733041528499041</v>
      </c>
    </row>
    <row r="607" spans="3:8" x14ac:dyDescent="0.35">
      <c r="C607" s="8">
        <f t="shared" ca="1" si="36"/>
        <v>0.18733249535344454</v>
      </c>
      <c r="D607" s="7">
        <f t="shared" ca="1" si="37"/>
        <v>8.2394056889889794E-2</v>
      </c>
      <c r="E607" s="7">
        <f t="shared" ca="1" si="38"/>
        <v>0.25714790574513058</v>
      </c>
      <c r="F607" s="7">
        <f t="shared" ca="1" si="39"/>
        <v>1.7171442055056021E-2</v>
      </c>
      <c r="G607" s="7">
        <f ca="1">$C$11/(1+D607)^1
 +$D$11/(1+D607)^2
 +$E$11/(1+D607)^3
 +$F$11/(1+D607)^4
 +$G$11/(1+D607)^5
 +$H$11/(1+D607)^6
 +$I$11/(1+D607)^7
 + ( $I$11*(1+F607)/(D607-F607) )/(1+D607)^7</f>
        <v>415.81502129070611</v>
      </c>
      <c r="H607" s="7">
        <f ca="1">(G607-$C$8)/$C$9</f>
        <v>2.285984968852929</v>
      </c>
    </row>
    <row r="608" spans="3:8" x14ac:dyDescent="0.35">
      <c r="C608" s="8">
        <f t="shared" ca="1" si="36"/>
        <v>0.71426619880868814</v>
      </c>
      <c r="D608" s="7">
        <f t="shared" ca="1" si="37"/>
        <v>9.5071089626860797E-2</v>
      </c>
      <c r="E608" s="7">
        <f t="shared" ca="1" si="38"/>
        <v>0.77407648805926088</v>
      </c>
      <c r="F608" s="7">
        <f t="shared" ca="1" si="39"/>
        <v>2.3278043261955057E-2</v>
      </c>
      <c r="G608" s="7">
        <f ca="1">$C$11/(1+D608)^1
 +$D$11/(1+D608)^2
 +$E$11/(1+D608)^3
 +$F$11/(1+D608)^4
 +$G$11/(1+D608)^5
 +$H$11/(1+D608)^6
 +$I$11/(1+D608)^7
 + ( $I$11*(1+F608)/(D608-F608) )/(1+D608)^7</f>
        <v>365.30940151691493</v>
      </c>
      <c r="H608" s="7">
        <f ca="1">(G608-$C$8)/$C$9</f>
        <v>2.000448900480071</v>
      </c>
    </row>
    <row r="609" spans="3:8" x14ac:dyDescent="0.35">
      <c r="C609" s="8">
        <f t="shared" ca="1" si="36"/>
        <v>0.86724768936288299</v>
      </c>
      <c r="D609" s="7">
        <f t="shared" ca="1" si="37"/>
        <v>9.9824205077884517E-2</v>
      </c>
      <c r="E609" s="7">
        <f t="shared" ca="1" si="38"/>
        <v>0.92710611935807263</v>
      </c>
      <c r="F609" s="7">
        <f t="shared" ca="1" si="39"/>
        <v>2.618178364568147E-2</v>
      </c>
      <c r="G609" s="7">
        <f ca="1">$C$11/(1+D609)^1
 +$D$11/(1+D609)^2
 +$E$11/(1+D609)^3
 +$F$11/(1+D609)^4
 +$G$11/(1+D609)^5
 +$H$11/(1+D609)^6
 +$I$11/(1+D609)^7
 + ( $I$11*(1+F609)/(D609-F609) )/(1+D609)^7</f>
        <v>350.90680623352529</v>
      </c>
      <c r="H609" s="7">
        <f ca="1">(G609-$C$8)/$C$9</f>
        <v>1.9190231017273025</v>
      </c>
    </row>
    <row r="610" spans="3:8" x14ac:dyDescent="0.35">
      <c r="C610" s="8">
        <f t="shared" ca="1" si="36"/>
        <v>0.66769974596534809</v>
      </c>
      <c r="D610" s="7">
        <f t="shared" ca="1" si="37"/>
        <v>9.3900490748254822E-2</v>
      </c>
      <c r="E610" s="7">
        <f t="shared" ca="1" si="38"/>
        <v>0.56904751450070024</v>
      </c>
      <c r="F610" s="7">
        <f t="shared" ca="1" si="39"/>
        <v>2.0716116270662374E-2</v>
      </c>
      <c r="G610" s="7">
        <f ca="1">$C$11/(1+D610)^1
 +$D$11/(1+D610)^2
 +$E$11/(1+D610)^3
 +$F$11/(1+D610)^4
 +$G$11/(1+D610)^5
 +$H$11/(1+D610)^6
 +$I$11/(1+D610)^7
 + ( $I$11*(1+F610)/(D610-F610) )/(1+D610)^7</f>
        <v>362.48125025364254</v>
      </c>
      <c r="H610" s="7">
        <f ca="1">(G610-$C$8)/$C$9</f>
        <v>1.9844598046904258</v>
      </c>
    </row>
    <row r="611" spans="3:8" x14ac:dyDescent="0.35">
      <c r="C611" s="8">
        <f t="shared" ca="1" si="36"/>
        <v>0.36995457958964584</v>
      </c>
      <c r="D611" s="7">
        <f t="shared" ca="1" si="37"/>
        <v>8.7417311941384912E-2</v>
      </c>
      <c r="E611" s="7">
        <f t="shared" ca="1" si="38"/>
        <v>0.78546557977270814</v>
      </c>
      <c r="F611" s="7">
        <f t="shared" ca="1" si="39"/>
        <v>2.3449665348590321E-2</v>
      </c>
      <c r="G611" s="7">
        <f ca="1">$C$11/(1+D611)^1
 +$D$11/(1+D611)^2
 +$E$11/(1+D611)^3
 +$F$11/(1+D611)^4
 +$G$11/(1+D611)^5
 +$H$11/(1+D611)^6
 +$I$11/(1+D611)^7
 + ( $I$11*(1+F611)/(D611-F611) )/(1+D611)^7</f>
        <v>411.48245268416008</v>
      </c>
      <c r="H611" s="7">
        <f ca="1">(G611-$C$8)/$C$9</f>
        <v>2.2614905737458169</v>
      </c>
    </row>
    <row r="612" spans="3:8" x14ac:dyDescent="0.35">
      <c r="C612" s="8">
        <f t="shared" ca="1" si="36"/>
        <v>0.96391818907080618</v>
      </c>
      <c r="D612" s="7">
        <f t="shared" ca="1" si="37"/>
        <v>0.10469492577575289</v>
      </c>
      <c r="E612" s="7">
        <f t="shared" ca="1" si="38"/>
        <v>0.97661446420888731</v>
      </c>
      <c r="F612" s="7">
        <f t="shared" ca="1" si="39"/>
        <v>2.7837337946367363E-2</v>
      </c>
      <c r="G612" s="7">
        <f ca="1">$C$11/(1+D612)^1
 +$D$11/(1+D612)^2
 +$E$11/(1+D612)^3
 +$F$11/(1+D612)^4
 +$G$11/(1+D612)^5
 +$H$11/(1+D612)^6
 +$I$11/(1+D612)^7
 + ( $I$11*(1+F612)/(D612-F612) )/(1+D612)^7</f>
        <v>333.07965156827964</v>
      </c>
      <c r="H612" s="7">
        <f ca="1">(G612-$C$8)/$C$9</f>
        <v>1.8182363838098123</v>
      </c>
    </row>
    <row r="613" spans="3:8" x14ac:dyDescent="0.35">
      <c r="C613" s="8">
        <f t="shared" ca="1" si="36"/>
        <v>0.37930193318467043</v>
      </c>
      <c r="D613" s="7">
        <f t="shared" ca="1" si="37"/>
        <v>8.7635974178123244E-2</v>
      </c>
      <c r="E613" s="7">
        <f t="shared" ca="1" si="38"/>
        <v>0.47884932386527579</v>
      </c>
      <c r="F613" s="7">
        <f t="shared" ca="1" si="39"/>
        <v>1.9786207885235996E-2</v>
      </c>
      <c r="G613" s="7">
        <f ca="1">$C$11/(1+D613)^1
 +$D$11/(1+D613)^2
 +$E$11/(1+D613)^3
 +$F$11/(1+D613)^4
 +$G$11/(1+D613)^5
 +$H$11/(1+D613)^6
 +$I$11/(1+D613)^7
 + ( $I$11*(1+F613)/(D613-F613) )/(1+D613)^7</f>
        <v>393.99672333423644</v>
      </c>
      <c r="H613" s="7">
        <f ca="1">(G613-$C$8)/$C$9</f>
        <v>2.1626341210664655</v>
      </c>
    </row>
    <row r="614" spans="3:8" x14ac:dyDescent="0.35">
      <c r="C614" s="8">
        <f t="shared" ca="1" si="36"/>
        <v>0.15563798865990386</v>
      </c>
      <c r="D614" s="7">
        <f t="shared" ca="1" si="37"/>
        <v>8.1297041679179616E-2</v>
      </c>
      <c r="E614" s="7">
        <f t="shared" ca="1" si="38"/>
        <v>0.62276020524970699</v>
      </c>
      <c r="F614" s="7">
        <f t="shared" ca="1" si="39"/>
        <v>2.1313921543639005E-2</v>
      </c>
      <c r="G614" s="7">
        <f ca="1">$C$11/(1+D614)^1
 +$D$11/(1+D614)^2
 +$E$11/(1+D614)^3
 +$F$11/(1+D614)^4
 +$G$11/(1+D614)^5
 +$H$11/(1+D614)^6
 +$I$11/(1+D614)^7
 + ( $I$11*(1+F614)/(D614-F614) )/(1+D614)^7</f>
        <v>444.49231293337482</v>
      </c>
      <c r="H614" s="7">
        <f ca="1">(G614-$C$8)/$C$9</f>
        <v>2.448113483341106</v>
      </c>
    </row>
    <row r="615" spans="3:8" x14ac:dyDescent="0.35">
      <c r="C615" s="8">
        <f t="shared" ca="1" si="36"/>
        <v>0.2060978287762345</v>
      </c>
      <c r="D615" s="7">
        <f t="shared" ca="1" si="37"/>
        <v>8.300000844601696E-2</v>
      </c>
      <c r="E615" s="7">
        <f t="shared" ca="1" si="38"/>
        <v>0.32672447427311246</v>
      </c>
      <c r="F615" s="7">
        <f t="shared" ca="1" si="39"/>
        <v>1.8083618920670525E-2</v>
      </c>
      <c r="G615" s="7">
        <f ca="1">$C$11/(1+D615)^1
 +$D$11/(1+D615)^2
 +$E$11/(1+D615)^3
 +$F$11/(1+D615)^4
 +$G$11/(1+D615)^5
 +$H$11/(1+D615)^6
 +$I$11/(1+D615)^7
 + ( $I$11*(1+F615)/(D615-F615) )/(1+D615)^7</f>
        <v>415.99759304334225</v>
      </c>
      <c r="H615" s="7">
        <f ca="1">(G615-$C$8)/$C$9</f>
        <v>2.2870171474634908</v>
      </c>
    </row>
    <row r="616" spans="3:8" x14ac:dyDescent="0.35">
      <c r="C616" s="8">
        <f t="shared" ca="1" si="36"/>
        <v>0.84396245948237558</v>
      </c>
      <c r="D616" s="7">
        <f t="shared" ca="1" si="37"/>
        <v>9.8967807035600444E-2</v>
      </c>
      <c r="E616" s="7">
        <f t="shared" ca="1" si="38"/>
        <v>0.30129697605596495</v>
      </c>
      <c r="F616" s="7">
        <f t="shared" ca="1" si="39"/>
        <v>1.7762692523293253E-2</v>
      </c>
      <c r="G616" s="7">
        <f ca="1">$C$11/(1+D616)^1
 +$D$11/(1+D616)^2
 +$E$11/(1+D616)^3
 +$F$11/(1+D616)^4
 +$G$11/(1+D616)^5
 +$H$11/(1+D616)^6
 +$I$11/(1+D616)^7
 + ( $I$11*(1+F616)/(D616-F616) )/(1+D616)^7</f>
        <v>329.68248723992951</v>
      </c>
      <c r="H616" s="7">
        <f ca="1">(G616-$C$8)/$C$9</f>
        <v>1.7990303439616095</v>
      </c>
    </row>
    <row r="617" spans="3:8" x14ac:dyDescent="0.35">
      <c r="C617" s="8">
        <f t="shared" ca="1" si="36"/>
        <v>0.30729838136889687</v>
      </c>
      <c r="D617" s="7">
        <f t="shared" ca="1" si="37"/>
        <v>8.5874025095182868E-2</v>
      </c>
      <c r="E617" s="7">
        <f t="shared" ca="1" si="38"/>
        <v>0.56605888848030073</v>
      </c>
      <c r="F617" s="7">
        <f t="shared" ca="1" si="39"/>
        <v>2.0683980340084084E-2</v>
      </c>
      <c r="G617" s="7">
        <f ca="1">$C$11/(1+D617)^1
 +$D$11/(1+D617)^2
 +$E$11/(1+D617)^3
 +$F$11/(1+D617)^4
 +$G$11/(1+D617)^5
 +$H$11/(1+D617)^6
 +$I$11/(1+D617)^7
 + ( $I$11*(1+F617)/(D617-F617) )/(1+D617)^7</f>
        <v>408.95146678882259</v>
      </c>
      <c r="H617" s="7">
        <f ca="1">(G617-$C$8)/$C$9</f>
        <v>2.2471815173497434</v>
      </c>
    </row>
    <row r="618" spans="3:8" x14ac:dyDescent="0.35">
      <c r="C618" s="8">
        <f t="shared" ca="1" si="36"/>
        <v>0.79740417942145492</v>
      </c>
      <c r="D618" s="7">
        <f t="shared" ca="1" si="37"/>
        <v>9.742921084214419E-2</v>
      </c>
      <c r="E618" s="7">
        <f t="shared" ca="1" si="38"/>
        <v>0.8619240277474296</v>
      </c>
      <c r="F618" s="7">
        <f t="shared" ca="1" si="39"/>
        <v>2.4744983877235571E-2</v>
      </c>
      <c r="G618" s="7">
        <f ca="1">$C$11/(1+D618)^1
 +$D$11/(1+D618)^2
 +$E$11/(1+D618)^3
 +$F$11/(1+D618)^4
 +$G$11/(1+D618)^5
 +$H$11/(1+D618)^6
 +$I$11/(1+D618)^7
 + ( $I$11*(1+F618)/(D618-F618) )/(1+D618)^7</f>
        <v>358.1436346146474</v>
      </c>
      <c r="H618" s="7">
        <f ca="1">(G618-$C$8)/$C$9</f>
        <v>1.9599368759308422</v>
      </c>
    </row>
    <row r="619" spans="3:8" x14ac:dyDescent="0.35">
      <c r="C619" s="8">
        <f t="shared" ca="1" si="36"/>
        <v>0.90716373299073116</v>
      </c>
      <c r="D619" s="7">
        <f t="shared" ca="1" si="37"/>
        <v>0.10149045898610097</v>
      </c>
      <c r="E619" s="7">
        <f t="shared" ca="1" si="38"/>
        <v>0.17056699335853365</v>
      </c>
      <c r="F619" s="7">
        <f t="shared" ca="1" si="39"/>
        <v>1.5840667656330628E-2</v>
      </c>
      <c r="G619" s="7">
        <f ca="1">$C$11/(1+D619)^1
 +$D$11/(1+D619)^2
 +$E$11/(1+D619)^3
 +$F$11/(1+D619)^4
 +$G$11/(1+D619)^5
 +$H$11/(1+D619)^6
 +$I$11/(1+D619)^7
 + ( $I$11*(1+F619)/(D619-F619) )/(1+D619)^7</f>
        <v>314.52677474677364</v>
      </c>
      <c r="H619" s="7">
        <f ca="1">(G619-$C$8)/$C$9</f>
        <v>1.7133467590839757</v>
      </c>
    </row>
    <row r="620" spans="3:8" x14ac:dyDescent="0.35">
      <c r="C620" s="8">
        <f t="shared" ca="1" si="36"/>
        <v>0.2015864602500087</v>
      </c>
      <c r="D620" s="7">
        <f t="shared" ca="1" si="37"/>
        <v>8.2856939659382678E-2</v>
      </c>
      <c r="E620" s="7">
        <f t="shared" ca="1" si="38"/>
        <v>0.4687503649554885</v>
      </c>
      <c r="F620" s="7">
        <f t="shared" ca="1" si="39"/>
        <v>1.9682462134761887E-2</v>
      </c>
      <c r="G620" s="7">
        <f ca="1">$C$11/(1+D620)^1
 +$D$11/(1+D620)^2
 +$E$11/(1+D620)^3
 +$F$11/(1+D620)^4
 +$G$11/(1+D620)^5
 +$H$11/(1+D620)^6
 +$I$11/(1+D620)^7
 + ( $I$11*(1+F620)/(D620-F620) )/(1+D620)^7</f>
        <v>424.60105075362043</v>
      </c>
      <c r="H620" s="7">
        <f ca="1">(G620-$C$8)/$C$9</f>
        <v>2.33565722949808</v>
      </c>
    </row>
    <row r="621" spans="3:8" x14ac:dyDescent="0.35">
      <c r="C621" s="8">
        <f t="shared" ca="1" si="36"/>
        <v>0.59251597741243633</v>
      </c>
      <c r="D621" s="7">
        <f t="shared" ca="1" si="37"/>
        <v>9.2172001300810574E-2</v>
      </c>
      <c r="E621" s="7">
        <f t="shared" ca="1" si="38"/>
        <v>0.24384972144352146</v>
      </c>
      <c r="F621" s="7">
        <f t="shared" ca="1" si="39"/>
        <v>1.6983548116015545E-2</v>
      </c>
      <c r="G621" s="7">
        <f ca="1">$C$11/(1+D621)^1
 +$D$11/(1+D621)^2
 +$E$11/(1+D621)^3
 +$F$11/(1+D621)^4
 +$G$11/(1+D621)^5
 +$H$11/(1+D621)^6
 +$I$11/(1+D621)^7
 + ( $I$11*(1+F621)/(D621-F621) )/(1+D621)^7</f>
        <v>358.7152109207853</v>
      </c>
      <c r="H621" s="7">
        <f ca="1">(G621-$C$8)/$C$9</f>
        <v>1.9631683114019973</v>
      </c>
    </row>
    <row r="622" spans="3:8" x14ac:dyDescent="0.35">
      <c r="C622" s="8">
        <f t="shared" ca="1" si="36"/>
        <v>1.0665968017571026E-2</v>
      </c>
      <c r="D622" s="7">
        <f t="shared" ca="1" si="37"/>
        <v>7.2957379545206924E-2</v>
      </c>
      <c r="E622" s="7">
        <f t="shared" ca="1" si="38"/>
        <v>0.51750155817866006</v>
      </c>
      <c r="F622" s="7">
        <f t="shared" ca="1" si="39"/>
        <v>2.0176574509659678E-2</v>
      </c>
      <c r="G622" s="7">
        <f ca="1">$C$11/(1+D622)^1
 +$D$11/(1+D622)^2
 +$E$11/(1+D622)^3
 +$F$11/(1+D622)^4
 +$G$11/(1+D622)^5
 +$H$11/(1+D622)^6
 +$I$11/(1+D622)^7
 + ( $I$11*(1+F622)/(D622-F622) )/(1+D622)^7</f>
        <v>510.33877500922051</v>
      </c>
      <c r="H622" s="7">
        <f ca="1">(G622-$C$8)/$C$9</f>
        <v>2.8203797773022417</v>
      </c>
    </row>
    <row r="623" spans="3:8" x14ac:dyDescent="0.35">
      <c r="C623" s="8">
        <f t="shared" ca="1" si="36"/>
        <v>0.34112064193443103</v>
      </c>
      <c r="D623" s="7">
        <f t="shared" ca="1" si="37"/>
        <v>8.6724799741289382E-2</v>
      </c>
      <c r="E623" s="7">
        <f t="shared" ca="1" si="38"/>
        <v>0.36374305044220956</v>
      </c>
      <c r="F623" s="7">
        <f t="shared" ca="1" si="39"/>
        <v>1.852927957616831E-2</v>
      </c>
      <c r="G623" s="7">
        <f ca="1">$C$11/(1+D623)^1
 +$D$11/(1+D623)^2
 +$E$11/(1+D623)^3
 +$F$11/(1+D623)^4
 +$G$11/(1+D623)^5
 +$H$11/(1+D623)^6
 +$I$11/(1+D623)^7
 + ( $I$11*(1+F623)/(D623-F623) )/(1+D623)^7</f>
        <v>394.30986874267239</v>
      </c>
      <c r="H623" s="7">
        <f ca="1">(G623-$C$8)/$C$9</f>
        <v>2.1644045044248776</v>
      </c>
    </row>
    <row r="624" spans="3:8" x14ac:dyDescent="0.35">
      <c r="C624" s="8">
        <f t="shared" ca="1" si="36"/>
        <v>0.89997895508544834</v>
      </c>
      <c r="D624" s="7">
        <f t="shared" ca="1" si="37"/>
        <v>0.1011673098642967</v>
      </c>
      <c r="E624" s="7">
        <f t="shared" ca="1" si="38"/>
        <v>0.99331894741042626</v>
      </c>
      <c r="F624" s="7">
        <f t="shared" ca="1" si="39"/>
        <v>2.8844054275532476E-2</v>
      </c>
      <c r="G624" s="7">
        <f ca="1">$C$11/(1+D624)^1
 +$D$11/(1+D624)^2
 +$E$11/(1+D624)^3
 +$F$11/(1+D624)^4
 +$G$11/(1+D624)^5
 +$H$11/(1+D624)^6
 +$I$11/(1+D624)^7
 + ( $I$11*(1+F624)/(D624-F624) )/(1+D624)^7</f>
        <v>353.0698120801955</v>
      </c>
      <c r="H624" s="7">
        <f ca="1">(G624-$C$8)/$C$9</f>
        <v>1.9312517643611233</v>
      </c>
    </row>
    <row r="625" spans="3:8" x14ac:dyDescent="0.35">
      <c r="C625" s="8">
        <f t="shared" ca="1" si="36"/>
        <v>0.6651756613678832</v>
      </c>
      <c r="D625" s="7">
        <f t="shared" ca="1" si="37"/>
        <v>9.3839462133547311E-2</v>
      </c>
      <c r="E625" s="7">
        <f t="shared" ca="1" si="38"/>
        <v>0.22576063571315685</v>
      </c>
      <c r="F625" s="7">
        <f t="shared" ca="1" si="39"/>
        <v>1.6719533253331764E-2</v>
      </c>
      <c r="G625" s="7">
        <f ca="1">$C$11/(1+D625)^1
 +$D$11/(1+D625)^2
 +$E$11/(1+D625)^3
 +$F$11/(1+D625)^4
 +$G$11/(1+D625)^5
 +$H$11/(1+D625)^6
 +$I$11/(1+D625)^7
 + ( $I$11*(1+F625)/(D625-F625) )/(1+D625)^7</f>
        <v>349.74282556198949</v>
      </c>
      <c r="H625" s="7">
        <f ca="1">(G625-$C$8)/$C$9</f>
        <v>1.9124424783016138</v>
      </c>
    </row>
    <row r="626" spans="3:8" x14ac:dyDescent="0.35">
      <c r="C626" s="8">
        <f t="shared" ca="1" si="36"/>
        <v>0.83376393469994481</v>
      </c>
      <c r="D626" s="7">
        <f t="shared" ca="1" si="37"/>
        <v>9.8612984107588023E-2</v>
      </c>
      <c r="E626" s="7">
        <f t="shared" ca="1" si="38"/>
        <v>8.4193774956044742E-2</v>
      </c>
      <c r="F626" s="7">
        <f t="shared" ca="1" si="39"/>
        <v>1.4103505207893484E-2</v>
      </c>
      <c r="G626" s="7">
        <f ca="1">$C$11/(1+D626)^1
 +$D$11/(1+D626)^2
 +$E$11/(1+D626)^3
 +$F$11/(1+D626)^4
 +$G$11/(1+D626)^5
 +$H$11/(1+D626)^6
 +$I$11/(1+D626)^7
 + ( $I$11*(1+F626)/(D626-F626) )/(1+D626)^7</f>
        <v>321.59079472509518</v>
      </c>
      <c r="H626" s="7">
        <f ca="1">(G626-$C$8)/$C$9</f>
        <v>1.7532835522676118</v>
      </c>
    </row>
    <row r="627" spans="3:8" x14ac:dyDescent="0.35">
      <c r="C627" s="8">
        <f t="shared" ca="1" si="36"/>
        <v>0.15304633887895114</v>
      </c>
      <c r="D627" s="7">
        <f t="shared" ca="1" si="37"/>
        <v>8.1202588891891914E-2</v>
      </c>
      <c r="E627" s="7">
        <f t="shared" ca="1" si="38"/>
        <v>0.2908327920615037</v>
      </c>
      <c r="F627" s="7">
        <f t="shared" ca="1" si="39"/>
        <v>1.7626700362037357E-2</v>
      </c>
      <c r="G627" s="7">
        <f ca="1">$C$11/(1+D627)^1
 +$D$11/(1+D627)^2
 +$E$11/(1+D627)^3
 +$F$11/(1+D627)^4
 +$G$11/(1+D627)^5
 +$H$11/(1+D627)^6
 +$I$11/(1+D627)^7
 + ( $I$11*(1+F627)/(D627-F627) )/(1+D627)^7</f>
        <v>426.09338461911426</v>
      </c>
      <c r="H627" s="7">
        <f ca="1">(G627-$C$8)/$C$9</f>
        <v>2.3440942142645538</v>
      </c>
    </row>
    <row r="628" spans="3:8" x14ac:dyDescent="0.35">
      <c r="C628" s="8">
        <f t="shared" ca="1" si="36"/>
        <v>0.66642708815278806</v>
      </c>
      <c r="D628" s="7">
        <f t="shared" ca="1" si="37"/>
        <v>9.3869690913041204E-2</v>
      </c>
      <c r="E628" s="7">
        <f t="shared" ca="1" si="38"/>
        <v>2.9668143134995217E-2</v>
      </c>
      <c r="F628" s="7">
        <f t="shared" ca="1" si="39"/>
        <v>1.2435904067692126E-2</v>
      </c>
      <c r="G628" s="7">
        <f ca="1">$C$11/(1+D628)^1
 +$D$11/(1+D628)^2
 +$E$11/(1+D628)^3
 +$F$11/(1+D628)^4
 +$G$11/(1+D628)^5
 +$H$11/(1+D628)^6
 +$I$11/(1+D628)^7
 + ( $I$11*(1+F628)/(D628-F628) )/(1+D628)^7</f>
        <v>337.0423905328006</v>
      </c>
      <c r="H628" s="7">
        <f ca="1">(G628-$C$8)/$C$9</f>
        <v>1.8406399283853492</v>
      </c>
    </row>
    <row r="629" spans="3:8" x14ac:dyDescent="0.35">
      <c r="C629" s="8">
        <f t="shared" ca="1" si="36"/>
        <v>0.65732803559229513</v>
      </c>
      <c r="D629" s="7">
        <f t="shared" ca="1" si="37"/>
        <v>9.3651173368158508E-2</v>
      </c>
      <c r="E629" s="7">
        <f t="shared" ca="1" si="38"/>
        <v>0.20433260119123142</v>
      </c>
      <c r="F629" s="7">
        <f t="shared" ca="1" si="39"/>
        <v>1.6392692722026165E-2</v>
      </c>
      <c r="G629" s="7">
        <f ca="1">$C$11/(1+D629)^1
 +$D$11/(1+D629)^2
 +$E$11/(1+D629)^3
 +$F$11/(1+D629)^4
 +$G$11/(1+D629)^5
 +$H$11/(1+D629)^6
 +$I$11/(1+D629)^7
 + ( $I$11*(1+F629)/(D629-F629) )/(1+D629)^7</f>
        <v>349.62661560113986</v>
      </c>
      <c r="H629" s="7">
        <f ca="1">(G629-$C$8)/$C$9</f>
        <v>1.9117854794275206</v>
      </c>
    </row>
    <row r="630" spans="3:8" x14ac:dyDescent="0.35">
      <c r="C630" s="8">
        <f t="shared" ca="1" si="36"/>
        <v>0.51736619879613566</v>
      </c>
      <c r="D630" s="7">
        <f t="shared" ca="1" si="37"/>
        <v>9.0597568066373368E-2</v>
      </c>
      <c r="E630" s="7">
        <f t="shared" ca="1" si="38"/>
        <v>0.72908954680264915</v>
      </c>
      <c r="F630" s="7">
        <f t="shared" ca="1" si="39"/>
        <v>2.2639151500032748E-2</v>
      </c>
      <c r="G630" s="7">
        <f ca="1">$C$11/(1+D630)^1
 +$D$11/(1+D630)^2
 +$E$11/(1+D630)^3
 +$F$11/(1+D630)^4
 +$G$11/(1+D630)^5
 +$H$11/(1+D630)^6
 +$I$11/(1+D630)^7
 + ( $I$11*(1+F630)/(D630-F630) )/(1+D630)^7</f>
        <v>387.95167821110147</v>
      </c>
      <c r="H630" s="7">
        <f ca="1">(G630-$C$8)/$C$9</f>
        <v>2.1284581536131921</v>
      </c>
    </row>
    <row r="631" spans="3:8" x14ac:dyDescent="0.35">
      <c r="C631" s="8">
        <f t="shared" ca="1" si="36"/>
        <v>0.76106693602610009</v>
      </c>
      <c r="D631" s="7">
        <f t="shared" ca="1" si="37"/>
        <v>9.634834113011749E-2</v>
      </c>
      <c r="E631" s="7">
        <f t="shared" ca="1" si="38"/>
        <v>0.45590702853506426</v>
      </c>
      <c r="F631" s="7">
        <f t="shared" ca="1" si="39"/>
        <v>1.9548895522887078E-2</v>
      </c>
      <c r="G631" s="7">
        <f ca="1">$C$11/(1+D631)^1
 +$D$11/(1+D631)^2
 +$E$11/(1+D631)^3
 +$F$11/(1+D631)^4
 +$G$11/(1+D631)^5
 +$H$11/(1+D631)^6
 +$I$11/(1+D631)^7
 + ( $I$11*(1+F631)/(D631-F631) )/(1+D631)^7</f>
        <v>346.59502320657469</v>
      </c>
      <c r="H631" s="7">
        <f ca="1">(G631-$C$8)/$C$9</f>
        <v>1.894646218942643</v>
      </c>
    </row>
    <row r="632" spans="3:8" x14ac:dyDescent="0.35">
      <c r="C632" s="8">
        <f t="shared" ca="1" si="36"/>
        <v>0.66873434034310208</v>
      </c>
      <c r="D632" s="7">
        <f t="shared" ca="1" si="37"/>
        <v>9.3925572653049808E-2</v>
      </c>
      <c r="E632" s="7">
        <f t="shared" ca="1" si="38"/>
        <v>0.60790858159929773</v>
      </c>
      <c r="F632" s="7">
        <f t="shared" ca="1" si="39"/>
        <v>2.114459014612308E-2</v>
      </c>
      <c r="G632" s="7">
        <f ca="1">$C$11/(1+D632)^1
 +$D$11/(1+D632)^2
 +$E$11/(1+D632)^3
 +$F$11/(1+D632)^4
 +$G$11/(1+D632)^5
 +$H$11/(1+D632)^6
 +$I$11/(1+D632)^7
 + ( $I$11*(1+F632)/(D632-F632) )/(1+D632)^7</f>
        <v>363.83221408126974</v>
      </c>
      <c r="H632" s="7">
        <f ca="1">(G632-$C$8)/$C$9</f>
        <v>1.992097546818576</v>
      </c>
    </row>
    <row r="633" spans="3:8" x14ac:dyDescent="0.35">
      <c r="C633" s="8">
        <f t="shared" ca="1" si="36"/>
        <v>0.98874626465918203</v>
      </c>
      <c r="D633" s="7">
        <f t="shared" ca="1" si="37"/>
        <v>0.10703724561162455</v>
      </c>
      <c r="E633" s="7">
        <f t="shared" ca="1" si="38"/>
        <v>0.50299536689372737</v>
      </c>
      <c r="F633" s="7">
        <f t="shared" ca="1" si="39"/>
        <v>2.0029998664932158E-2</v>
      </c>
      <c r="G633" s="7">
        <f ca="1">$C$11/(1+D633)^1
 +$D$11/(1+D633)^2
 +$E$11/(1+D633)^3
 +$F$11/(1+D633)^4
 +$G$11/(1+D633)^5
 +$H$11/(1+D633)^6
 +$I$11/(1+D633)^7
 + ( $I$11*(1+F633)/(D633-F633) )/(1+D633)^7</f>
        <v>303.4400873606404</v>
      </c>
      <c r="H633" s="7">
        <f ca="1">(G633-$C$8)/$C$9</f>
        <v>1.650667612848487</v>
      </c>
    </row>
    <row r="634" spans="3:8" x14ac:dyDescent="0.35">
      <c r="C634" s="8">
        <f t="shared" ca="1" si="36"/>
        <v>7.6597257743814429E-2</v>
      </c>
      <c r="D634" s="7">
        <f t="shared" ca="1" si="37"/>
        <v>7.7925260333258958E-2</v>
      </c>
      <c r="E634" s="7">
        <f t="shared" ca="1" si="38"/>
        <v>0.30944361498266659</v>
      </c>
      <c r="F634" s="7">
        <f t="shared" ca="1" si="39"/>
        <v>1.7866938603836521E-2</v>
      </c>
      <c r="G634" s="7">
        <f ca="1">$C$11/(1+D634)^1
 +$D$11/(1+D634)^2
 +$E$11/(1+D634)^3
 +$F$11/(1+D634)^4
 +$G$11/(1+D634)^5
 +$H$11/(1+D634)^6
 +$I$11/(1+D634)^7
 + ( $I$11*(1+F634)/(D634-F634) )/(1+D634)^7</f>
        <v>451.55830143615344</v>
      </c>
      <c r="H634" s="7">
        <f ca="1">(G634-$C$8)/$C$9</f>
        <v>2.488061405677032</v>
      </c>
    </row>
    <row r="635" spans="3:8" x14ac:dyDescent="0.35">
      <c r="C635" s="8">
        <f t="shared" ca="1" si="36"/>
        <v>0.73157435260631554</v>
      </c>
      <c r="D635" s="7">
        <f t="shared" ca="1" si="37"/>
        <v>9.5530307364457459E-2</v>
      </c>
      <c r="E635" s="7">
        <f t="shared" ca="1" si="38"/>
        <v>0.89290682764021367</v>
      </c>
      <c r="F635" s="7">
        <f t="shared" ca="1" si="39"/>
        <v>2.5371972939582432E-2</v>
      </c>
      <c r="G635" s="7">
        <f ca="1">$C$11/(1+D635)^1
 +$D$11/(1+D635)^2
 +$E$11/(1+D635)^3
 +$F$11/(1+D635)^4
 +$G$11/(1+D635)^5
 +$H$11/(1+D635)^6
 +$I$11/(1+D635)^7
 + ( $I$11*(1+F635)/(D635-F635) )/(1+D635)^7</f>
        <v>370.43290333400989</v>
      </c>
      <c r="H635" s="7">
        <f ca="1">(G635-$C$8)/$C$9</f>
        <v>2.0294148763795223</v>
      </c>
    </row>
    <row r="636" spans="3:8" x14ac:dyDescent="0.35">
      <c r="C636" s="8">
        <f t="shared" ca="1" si="36"/>
        <v>0.55376263568458328</v>
      </c>
      <c r="D636" s="7">
        <f t="shared" ca="1" si="37"/>
        <v>9.1343495928603746E-2</v>
      </c>
      <c r="E636" s="7">
        <f t="shared" ca="1" si="38"/>
        <v>0.82319219179189673</v>
      </c>
      <c r="F636" s="7">
        <f t="shared" ca="1" si="39"/>
        <v>2.4053441193293331E-2</v>
      </c>
      <c r="G636" s="7">
        <f ca="1">$C$11/(1+D636)^1
 +$D$11/(1+D636)^2
 +$E$11/(1+D636)^3
 +$F$11/(1+D636)^4
 +$G$11/(1+D636)^5
 +$H$11/(1+D636)^6
 +$I$11/(1+D636)^7
 + ( $I$11*(1+F636)/(D636-F636) )/(1+D636)^7</f>
        <v>389.28745699472103</v>
      </c>
      <c r="H636" s="7">
        <f ca="1">(G636-$C$8)/$C$9</f>
        <v>2.1360100463292686</v>
      </c>
    </row>
    <row r="637" spans="3:8" x14ac:dyDescent="0.35">
      <c r="C637" s="8">
        <f t="shared" ca="1" si="36"/>
        <v>0.68577174711908739</v>
      </c>
      <c r="D637" s="7">
        <f t="shared" ca="1" si="37"/>
        <v>9.4344392785742498E-2</v>
      </c>
      <c r="E637" s="7">
        <f t="shared" ca="1" si="38"/>
        <v>0.65152208079260931</v>
      </c>
      <c r="F637" s="7">
        <f t="shared" ca="1" si="39"/>
        <v>2.1651611901601715E-2</v>
      </c>
      <c r="G637" s="7">
        <f ca="1">$C$11/(1+D637)^1
 +$D$11/(1+D637)^2
 +$E$11/(1+D637)^3
 +$F$11/(1+D637)^4
 +$G$11/(1+D637)^5
 +$H$11/(1+D637)^6
 +$I$11/(1+D637)^7
 + ( $I$11*(1+F637)/(D637-F637) )/(1+D637)^7</f>
        <v>363.4121867866113</v>
      </c>
      <c r="H637" s="7">
        <f ca="1">(G637-$C$8)/$C$9</f>
        <v>1.9897229013263866</v>
      </c>
    </row>
    <row r="638" spans="3:8" x14ac:dyDescent="0.35">
      <c r="C638" s="8">
        <f t="shared" ca="1" si="36"/>
        <v>0.58478062667427033</v>
      </c>
      <c r="D638" s="7">
        <f t="shared" ca="1" si="37"/>
        <v>9.2003580600739793E-2</v>
      </c>
      <c r="E638" s="7">
        <f t="shared" ca="1" si="38"/>
        <v>0.12447096704504035</v>
      </c>
      <c r="F638" s="7">
        <f t="shared" ca="1" si="39"/>
        <v>1.498940812211309E-2</v>
      </c>
      <c r="G638" s="7">
        <f ca="1">$C$11/(1+D638)^1
 +$D$11/(1+D638)^2
 +$E$11/(1+D638)^3
 +$F$11/(1+D638)^4
 +$G$11/(1+D638)^5
 +$H$11/(1+D638)^6
 +$I$11/(1+D638)^7
 + ( $I$11*(1+F638)/(D638-F638) )/(1+D638)^7</f>
        <v>353.13701334222799</v>
      </c>
      <c r="H638" s="7">
        <f ca="1">(G638-$C$8)/$C$9</f>
        <v>1.9316316900849613</v>
      </c>
    </row>
    <row r="639" spans="3:8" x14ac:dyDescent="0.35">
      <c r="C639" s="8">
        <f t="shared" ca="1" si="36"/>
        <v>5.7975428496458092E-2</v>
      </c>
      <c r="D639" s="7">
        <f t="shared" ca="1" si="37"/>
        <v>7.6894914891939975E-2</v>
      </c>
      <c r="E639" s="7">
        <f t="shared" ca="1" si="38"/>
        <v>0.10221472884684413</v>
      </c>
      <c r="F639" s="7">
        <f t="shared" ca="1" si="39"/>
        <v>1.4521387593357688E-2</v>
      </c>
      <c r="G639" s="7">
        <f ca="1">$C$11/(1+D639)^1
 +$D$11/(1+D639)^2
 +$E$11/(1+D639)^3
 +$F$11/(1+D639)^4
 +$G$11/(1+D639)^5
 +$H$11/(1+D639)^6
 +$I$11/(1+D639)^7
 + ( $I$11*(1+F639)/(D639-F639) )/(1+D639)^7</f>
        <v>441.37304289693094</v>
      </c>
      <c r="H639" s="7">
        <f ca="1">(G639-$C$8)/$C$9</f>
        <v>2.4304785328863123</v>
      </c>
    </row>
    <row r="640" spans="3:8" x14ac:dyDescent="0.35">
      <c r="C640" s="8">
        <f t="shared" ca="1" si="36"/>
        <v>0.84476383055744986</v>
      </c>
      <c r="D640" s="7">
        <f t="shared" ca="1" si="37"/>
        <v>9.8996172840089269E-2</v>
      </c>
      <c r="E640" s="7">
        <f t="shared" ca="1" si="38"/>
        <v>0.63245207807535542</v>
      </c>
      <c r="F640" s="7">
        <f t="shared" ca="1" si="39"/>
        <v>2.142622694579983E-2</v>
      </c>
      <c r="G640" s="7">
        <f ca="1">$C$11/(1+D640)^1
 +$D$11/(1+D640)^2
 +$E$11/(1+D640)^3
 +$F$11/(1+D640)^4
 +$G$11/(1+D640)^5
 +$H$11/(1+D640)^6
 +$I$11/(1+D640)^7
 + ( $I$11*(1+F640)/(D640-F640) )/(1+D640)^7</f>
        <v>339.97271418895195</v>
      </c>
      <c r="H640" s="7">
        <f ca="1">(G640-$C$8)/$C$9</f>
        <v>1.8572066609506555</v>
      </c>
    </row>
    <row r="641" spans="3:8" x14ac:dyDescent="0.35">
      <c r="C641" s="8">
        <f t="shared" ca="1" si="36"/>
        <v>0.42604523483677392</v>
      </c>
      <c r="D641" s="7">
        <f t="shared" ca="1" si="37"/>
        <v>8.8691096612188242E-2</v>
      </c>
      <c r="E641" s="7">
        <f t="shared" ca="1" si="38"/>
        <v>0.83850628508834335</v>
      </c>
      <c r="F641" s="7">
        <f t="shared" ca="1" si="39"/>
        <v>2.4316801694263049E-2</v>
      </c>
      <c r="G641" s="7">
        <f ca="1">$C$11/(1+D641)^1
 +$D$11/(1+D641)^2
 +$E$11/(1+D641)^3
 +$F$11/(1+D641)^4
 +$G$11/(1+D641)^5
 +$H$11/(1+D641)^6
 +$I$11/(1+D641)^7
 + ( $I$11*(1+F641)/(D641-F641) )/(1+D641)^7</f>
        <v>407.0661156441555</v>
      </c>
      <c r="H641" s="7">
        <f ca="1">(G641-$C$8)/$C$9</f>
        <v>2.2365225895757321</v>
      </c>
    </row>
    <row r="642" spans="3:8" x14ac:dyDescent="0.35">
      <c r="C642" s="8">
        <f t="shared" ca="1" si="36"/>
        <v>0.23585107594336119</v>
      </c>
      <c r="D642" s="7">
        <f t="shared" ca="1" si="37"/>
        <v>8.3906756712963534E-2</v>
      </c>
      <c r="E642" s="7">
        <f t="shared" ca="1" si="38"/>
        <v>0.69544848195185038</v>
      </c>
      <c r="F642" s="7">
        <f t="shared" ca="1" si="39"/>
        <v>2.2195494659516854E-2</v>
      </c>
      <c r="G642" s="7">
        <f ca="1">$C$11/(1+D642)^1
 +$D$11/(1+D642)^2
 +$E$11/(1+D642)^3
 +$F$11/(1+D642)^4
 +$G$11/(1+D642)^5
 +$H$11/(1+D642)^6
 +$I$11/(1+D642)^7
 + ( $I$11*(1+F642)/(D642-F642) )/(1+D642)^7</f>
        <v>429.72196183695741</v>
      </c>
      <c r="H642" s="7">
        <f ca="1">(G642-$C$8)/$C$9</f>
        <v>2.3646085585535808</v>
      </c>
    </row>
    <row r="643" spans="3:8" x14ac:dyDescent="0.35">
      <c r="C643" s="8">
        <f t="shared" ca="1" si="36"/>
        <v>0.21591381839594548</v>
      </c>
      <c r="D643" s="7">
        <f t="shared" ca="1" si="37"/>
        <v>8.330598854218188E-2</v>
      </c>
      <c r="E643" s="7">
        <f t="shared" ca="1" si="38"/>
        <v>0.96216588875653042</v>
      </c>
      <c r="F643" s="7">
        <f t="shared" ca="1" si="39"/>
        <v>2.7249214248856533E-2</v>
      </c>
      <c r="G643" s="7">
        <f ca="1">$C$11/(1+D643)^1
 +$D$11/(1+D643)^2
 +$E$11/(1+D643)^3
 +$F$11/(1+D643)^4
 +$G$11/(1+D643)^5
 +$H$11/(1+D643)^6
 +$I$11/(1+D643)^7
 + ( $I$11*(1+F643)/(D643-F643) )/(1+D643)^7</f>
        <v>462.90032129605078</v>
      </c>
      <c r="H643" s="7">
        <f ca="1">(G643-$C$8)/$C$9</f>
        <v>2.5521840869292785</v>
      </c>
    </row>
    <row r="644" spans="3:8" x14ac:dyDescent="0.35">
      <c r="C644" s="8">
        <f t="shared" ca="1" si="36"/>
        <v>0.22204809287840321</v>
      </c>
      <c r="D644" s="7">
        <f t="shared" ca="1" si="37"/>
        <v>8.3493681342031556E-2</v>
      </c>
      <c r="E644" s="7">
        <f t="shared" ca="1" si="38"/>
        <v>0.13920628902134269</v>
      </c>
      <c r="F644" s="7">
        <f t="shared" ca="1" si="39"/>
        <v>1.5276481574332326E-2</v>
      </c>
      <c r="G644" s="7">
        <f ca="1">$C$11/(1+D644)^1
 +$D$11/(1+D644)^2
 +$E$11/(1+D644)^3
 +$F$11/(1+D644)^4
 +$G$11/(1+D644)^5
 +$H$11/(1+D644)^6
 +$I$11/(1+D644)^7
 + ( $I$11*(1+F644)/(D644-F644) )/(1+D644)^7</f>
        <v>400.45875812377733</v>
      </c>
      <c r="H644" s="7">
        <f ca="1">(G644-$C$8)/$C$9</f>
        <v>2.1991675606274157</v>
      </c>
    </row>
    <row r="645" spans="3:8" x14ac:dyDescent="0.35">
      <c r="C645" s="8">
        <f t="shared" ca="1" si="36"/>
        <v>0.150538376157762</v>
      </c>
      <c r="D645" s="7">
        <f t="shared" ca="1" si="37"/>
        <v>8.1110421614383713E-2</v>
      </c>
      <c r="E645" s="7">
        <f t="shared" ca="1" si="38"/>
        <v>3.6290508918354059E-2</v>
      </c>
      <c r="F645" s="7">
        <f t="shared" ca="1" si="39"/>
        <v>1.2694086446955778E-2</v>
      </c>
      <c r="G645" s="7">
        <f ca="1">$C$11/(1+D645)^1
 +$D$11/(1+D645)^2
 +$E$11/(1+D645)^3
 +$F$11/(1+D645)^4
 +$G$11/(1+D645)^5
 +$H$11/(1+D645)^6
 +$I$11/(1+D645)^7
 + ( $I$11*(1+F645)/(D645-F645) )/(1+D645)^7</f>
        <v>404.29718730946502</v>
      </c>
      <c r="H645" s="7">
        <f ca="1">(G645-$C$8)/$C$9</f>
        <v>2.2208683135994178</v>
      </c>
    </row>
    <row r="646" spans="3:8" x14ac:dyDescent="0.35">
      <c r="C646" s="8">
        <f t="shared" ca="1" si="36"/>
        <v>0.64879161775660554</v>
      </c>
      <c r="D646" s="7">
        <f t="shared" ca="1" si="37"/>
        <v>9.3448790432423143E-2</v>
      </c>
      <c r="E646" s="7">
        <f t="shared" ca="1" si="38"/>
        <v>0.25518399719728679</v>
      </c>
      <c r="F646" s="7">
        <f t="shared" ca="1" si="39"/>
        <v>1.7144004440050226E-2</v>
      </c>
      <c r="G646" s="7">
        <f ca="1">$C$11/(1+D646)^1
 +$D$11/(1+D646)^2
 +$E$11/(1+D646)^3
 +$F$11/(1+D646)^4
 +$G$11/(1+D646)^5
 +$H$11/(1+D646)^6
 +$I$11/(1+D646)^7
 + ( $I$11*(1+F646)/(D646-F646) )/(1+D646)^7</f>
        <v>352.94870382797706</v>
      </c>
      <c r="H646" s="7">
        <f ca="1">(G646-$C$8)/$C$9</f>
        <v>1.930567072749757</v>
      </c>
    </row>
    <row r="647" spans="3:8" x14ac:dyDescent="0.35">
      <c r="C647" s="8">
        <f t="shared" ca="1" si="36"/>
        <v>0.47053532349629024</v>
      </c>
      <c r="D647" s="7">
        <f t="shared" ca="1" si="37"/>
        <v>8.9642784050815147E-2</v>
      </c>
      <c r="E647" s="7">
        <f t="shared" ca="1" si="38"/>
        <v>0.42227740427840799</v>
      </c>
      <c r="F647" s="7">
        <f t="shared" ca="1" si="39"/>
        <v>1.9189966314175563E-2</v>
      </c>
      <c r="G647" s="7">
        <f ca="1">$C$11/(1+D647)^1
 +$D$11/(1+D647)^2
 +$E$11/(1+D647)^3
 +$F$11/(1+D647)^4
 +$G$11/(1+D647)^5
 +$H$11/(1+D647)^6
 +$I$11/(1+D647)^7
 + ( $I$11*(1+F647)/(D647-F647) )/(1+D647)^7</f>
        <v>379.92449051132064</v>
      </c>
      <c r="H647" s="7">
        <f ca="1">(G647-$C$8)/$C$9</f>
        <v>2.083076043144056</v>
      </c>
    </row>
    <row r="648" spans="3:8" x14ac:dyDescent="0.35">
      <c r="C648" s="8">
        <f t="shared" ca="1" si="36"/>
        <v>0.43243190754586913</v>
      </c>
      <c r="D648" s="7">
        <f t="shared" ca="1" si="37"/>
        <v>8.8830670837429362E-2</v>
      </c>
      <c r="E648" s="7">
        <f t="shared" ca="1" si="38"/>
        <v>0.73294964308522437</v>
      </c>
      <c r="F648" s="7">
        <f t="shared" ca="1" si="39"/>
        <v>2.2691780560016337E-2</v>
      </c>
      <c r="G648" s="7">
        <f ca="1">$C$11/(1+D648)^1
 +$D$11/(1+D648)^2
 +$E$11/(1+D648)^3
 +$F$11/(1+D648)^4
 +$G$11/(1+D648)^5
 +$H$11/(1+D648)^6
 +$I$11/(1+D648)^7
 + ( $I$11*(1+F648)/(D648-F648) )/(1+D648)^7</f>
        <v>398.94271188801724</v>
      </c>
      <c r="H648" s="7">
        <f ca="1">(G648-$C$8)/$C$9</f>
        <v>2.1905965167798351</v>
      </c>
    </row>
    <row r="649" spans="3:8" x14ac:dyDescent="0.35">
      <c r="C649" s="8">
        <f t="shared" ca="1" si="36"/>
        <v>0.90911241072948301</v>
      </c>
      <c r="D649" s="7">
        <f t="shared" ca="1" si="37"/>
        <v>0.10158024230568342</v>
      </c>
      <c r="E649" s="7">
        <f t="shared" ca="1" si="38"/>
        <v>0.63666493649806444</v>
      </c>
      <c r="F649" s="7">
        <f t="shared" ca="1" si="39"/>
        <v>2.1475505135177389E-2</v>
      </c>
      <c r="G649" s="7">
        <f ca="1">$C$11/(1+D649)^1
 +$D$11/(1+D649)^2
 +$E$11/(1+D649)^3
 +$F$11/(1+D649)^4
 +$G$11/(1+D649)^5
 +$H$11/(1+D649)^6
 +$I$11/(1+D649)^7
 + ( $I$11*(1+F649)/(D649-F649) )/(1+D649)^7</f>
        <v>328.66573814490414</v>
      </c>
      <c r="H649" s="7">
        <f ca="1">(G649-$C$8)/$C$9</f>
        <v>1.7932821016785625</v>
      </c>
    </row>
    <row r="650" spans="3:8" x14ac:dyDescent="0.35">
      <c r="C650" s="8">
        <f t="shared" ca="1" si="36"/>
        <v>0.51257672983412617</v>
      </c>
      <c r="D650" s="7">
        <f t="shared" ca="1" si="37"/>
        <v>9.0501534657071558E-2</v>
      </c>
      <c r="E650" s="7">
        <f t="shared" ca="1" si="38"/>
        <v>0.84371877133551398</v>
      </c>
      <c r="F650" s="7">
        <f t="shared" ca="1" si="39"/>
        <v>2.4409271448827336E-2</v>
      </c>
      <c r="G650" s="7">
        <f ca="1">$C$11/(1+D650)^1
 +$D$11/(1+D650)^2
 +$E$11/(1+D650)^3
 +$F$11/(1+D650)^4
 +$G$11/(1+D650)^5
 +$H$11/(1+D650)^6
 +$I$11/(1+D650)^7
 + ( $I$11*(1+F650)/(D650-F650) )/(1+D650)^7</f>
        <v>395.92616852928501</v>
      </c>
      <c r="H650" s="7">
        <f ca="1">(G650-$C$8)/$C$9</f>
        <v>2.1735423367779569</v>
      </c>
    </row>
    <row r="651" spans="3:8" x14ac:dyDescent="0.35">
      <c r="C651" s="8">
        <f t="shared" ca="1" si="36"/>
        <v>0.31195252154507602</v>
      </c>
      <c r="D651" s="7">
        <f t="shared" ca="1" si="37"/>
        <v>8.599378215641823E-2</v>
      </c>
      <c r="E651" s="7">
        <f t="shared" ca="1" si="38"/>
        <v>9.0874064110100572E-2</v>
      </c>
      <c r="F651" s="7">
        <f t="shared" ca="1" si="39"/>
        <v>1.4263192796721738E-2</v>
      </c>
      <c r="G651" s="7">
        <f ca="1">$C$11/(1+D651)^1
 +$D$11/(1+D651)^2
 +$E$11/(1+D651)^3
 +$F$11/(1+D651)^4
 +$G$11/(1+D651)^5
 +$H$11/(1+D651)^6
 +$I$11/(1+D651)^7
 + ( $I$11*(1+F651)/(D651-F651) )/(1+D651)^7</f>
        <v>381.81206829810458</v>
      </c>
      <c r="H651" s="7">
        <f ca="1">(G651-$C$8)/$C$9</f>
        <v>2.0937475593515638</v>
      </c>
    </row>
    <row r="652" spans="3:8" x14ac:dyDescent="0.35">
      <c r="C652" s="8">
        <f t="shared" ca="1" si="36"/>
        <v>0.38772041069981455</v>
      </c>
      <c r="D652" s="7">
        <f t="shared" ca="1" si="37"/>
        <v>8.7830612349940426E-2</v>
      </c>
      <c r="E652" s="7">
        <f t="shared" ca="1" si="38"/>
        <v>0.31433108186168246</v>
      </c>
      <c r="F652" s="7">
        <f t="shared" ca="1" si="39"/>
        <v>1.7928821877954915E-2</v>
      </c>
      <c r="G652" s="7">
        <f ca="1">$C$11/(1+D652)^1
 +$D$11/(1+D652)^2
 +$E$11/(1+D652)^3
 +$F$11/(1+D652)^4
 +$G$11/(1+D652)^5
 +$H$11/(1+D652)^6
 +$I$11/(1+D652)^7
 + ( $I$11*(1+F652)/(D652-F652) )/(1+D652)^7</f>
        <v>385.38818170340886</v>
      </c>
      <c r="H652" s="7">
        <f ca="1">(G652-$C$8)/$C$9</f>
        <v>2.1139652968306697</v>
      </c>
    </row>
    <row r="653" spans="3:8" x14ac:dyDescent="0.35">
      <c r="C653" s="8">
        <f t="shared" ca="1" si="36"/>
        <v>0.3318252480284809</v>
      </c>
      <c r="D653" s="7">
        <f t="shared" ca="1" si="37"/>
        <v>8.6495353993878227E-2</v>
      </c>
      <c r="E653" s="7">
        <f t="shared" ca="1" si="38"/>
        <v>0.7378858920322473</v>
      </c>
      <c r="F653" s="7">
        <f t="shared" ca="1" si="39"/>
        <v>2.2759639401690651E-2</v>
      </c>
      <c r="G653" s="7">
        <f ca="1">$C$11/(1+D653)^1
 +$D$11/(1+D653)^2
 +$E$11/(1+D653)^3
 +$F$11/(1+D653)^4
 +$G$11/(1+D653)^5
 +$H$11/(1+D653)^6
 +$I$11/(1+D653)^7
 + ( $I$11*(1+F653)/(D653-F653) )/(1+D653)^7</f>
        <v>414.42816820423809</v>
      </c>
      <c r="H653" s="7">
        <f ca="1">(G653-$C$8)/$C$9</f>
        <v>2.278144324990039</v>
      </c>
    </row>
    <row r="654" spans="3:8" x14ac:dyDescent="0.35">
      <c r="C654" s="8">
        <f t="shared" ca="1" si="36"/>
        <v>4.6198984577586755E-3</v>
      </c>
      <c r="D654" s="7">
        <f t="shared" ca="1" si="37"/>
        <v>7.1946359867897547E-2</v>
      </c>
      <c r="E654" s="7">
        <f t="shared" ca="1" si="38"/>
        <v>0.46868121255547857</v>
      </c>
      <c r="F654" s="7">
        <f t="shared" ca="1" si="39"/>
        <v>1.9681747905781047E-2</v>
      </c>
      <c r="G654" s="7">
        <f ca="1">$C$11/(1+D654)^1
 +$D$11/(1+D654)^2
 +$E$11/(1+D654)^3
 +$F$11/(1+D654)^4
 +$G$11/(1+D654)^5
 +$H$11/(1+D654)^6
 +$I$11/(1+D654)^7
 + ( $I$11*(1+F654)/(D654-F654) )/(1+D654)^7</f>
        <v>516.84403174392412</v>
      </c>
      <c r="H654" s="7">
        <f ca="1">(G654-$C$8)/$C$9</f>
        <v>2.8571575743098379</v>
      </c>
    </row>
    <row r="655" spans="3:8" x14ac:dyDescent="0.35">
      <c r="C655" s="8">
        <f t="shared" ca="1" si="36"/>
        <v>0.28839146455420195</v>
      </c>
      <c r="D655" s="7">
        <f t="shared" ca="1" si="37"/>
        <v>8.5377938773920442E-2</v>
      </c>
      <c r="E655" s="7">
        <f t="shared" ca="1" si="38"/>
        <v>0.17361091781278537</v>
      </c>
      <c r="F655" s="7">
        <f t="shared" ca="1" si="39"/>
        <v>1.5892553229505616E-2</v>
      </c>
      <c r="G655" s="7">
        <f ca="1">$C$11/(1+D655)^1
 +$D$11/(1+D655)^2
 +$E$11/(1+D655)^3
 +$F$11/(1+D655)^4
 +$G$11/(1+D655)^5
 +$H$11/(1+D655)^6
 +$I$11/(1+D655)^7
 + ( $I$11*(1+F655)/(D655-F655) )/(1+D655)^7</f>
        <v>391.64276663042949</v>
      </c>
      <c r="H655" s="7">
        <f ca="1">(G655-$C$8)/$C$9</f>
        <v>2.1493259081322336</v>
      </c>
    </row>
    <row r="656" spans="3:8" x14ac:dyDescent="0.35">
      <c r="C656" s="8">
        <f t="shared" ca="1" si="36"/>
        <v>0.20006428769780715</v>
      </c>
      <c r="D656" s="7">
        <f t="shared" ca="1" si="37"/>
        <v>8.2808306520075245E-2</v>
      </c>
      <c r="E656" s="7">
        <f t="shared" ca="1" si="38"/>
        <v>0.42531762963924757</v>
      </c>
      <c r="F656" s="7">
        <f t="shared" ca="1" si="39"/>
        <v>1.9222988990986029E-2</v>
      </c>
      <c r="G656" s="7">
        <f ca="1">$C$11/(1+D656)^1
 +$D$11/(1+D656)^2
 +$E$11/(1+D656)^3
 +$F$11/(1+D656)^4
 +$G$11/(1+D656)^5
 +$H$11/(1+D656)^6
 +$I$11/(1+D656)^7
 + ( $I$11*(1+F656)/(D656-F656) )/(1+D656)^7</f>
        <v>422.70044036613626</v>
      </c>
      <c r="H656" s="7">
        <f ca="1">(G656-$C$8)/$C$9</f>
        <v>2.3249120328252841</v>
      </c>
    </row>
    <row r="657" spans="3:8" x14ac:dyDescent="0.35">
      <c r="C657" s="8">
        <f t="shared" ref="C657:C720" ca="1" si="40">RAND()</f>
        <v>0.65486574783891727</v>
      </c>
      <c r="D657" s="7">
        <f t="shared" ref="D657:D720" ca="1" si="41">IF(C657&lt;(0.0905-0.07)/(0.11-0.07),
 0.07+SQRT(C657*(0.11-0.07)*(0.0905-0.07)),
 0.11-SQRT((1-C657)*(0.11-0.07)*(0.11-0.0905))
)</f>
        <v>9.359254082175901E-2</v>
      </c>
      <c r="E657" s="7">
        <f t="shared" ref="E657:E720" ca="1" si="42">RAND()</f>
        <v>0.43949038068752533</v>
      </c>
      <c r="F657" s="7">
        <f t="shared" ref="F657:F720" ca="1" si="43">MIN(
 IF(E657&lt;(0.02-0.01)/(0.03-0.01),
   0.01+SQRT(E657*(0.03-0.01)*(0.02-0.01)),
   0.03-SQRT((1-E657)*(0.03-0.01)*(0.03-0.02))
 ),
 D657-0.005
)</f>
        <v>1.9375397385578121E-2</v>
      </c>
      <c r="G657" s="7">
        <f ca="1">$C$11/(1+D657)^1
 +$D$11/(1+D657)^2
 +$E$11/(1+D657)^3
 +$F$11/(1+D657)^4
 +$G$11/(1+D657)^5
 +$H$11/(1+D657)^6
 +$I$11/(1+D657)^7
 + ( $I$11*(1+F657)/(D657-F657) )/(1+D657)^7</f>
        <v>359.50706714811599</v>
      </c>
      <c r="H657" s="7">
        <f ca="1">(G657-$C$8)/$C$9</f>
        <v>1.9676451105162596</v>
      </c>
    </row>
    <row r="658" spans="3:8" x14ac:dyDescent="0.35">
      <c r="C658" s="8">
        <f t="shared" ca="1" si="40"/>
        <v>0.91621040244387775</v>
      </c>
      <c r="D658" s="7">
        <f t="shared" ca="1" si="41"/>
        <v>0.10191570126147138</v>
      </c>
      <c r="E658" s="7">
        <f t="shared" ca="1" si="42"/>
        <v>0.75858414763127402</v>
      </c>
      <c r="F658" s="7">
        <f t="shared" ca="1" si="43"/>
        <v>2.3051390752550176E-2</v>
      </c>
      <c r="G658" s="7">
        <f ca="1">$C$11/(1+D658)^1
 +$D$11/(1+D658)^2
 +$E$11/(1+D658)^3
 +$F$11/(1+D658)^4
 +$G$11/(1+D658)^5
 +$H$11/(1+D658)^6
 +$I$11/(1+D658)^7
 + ( $I$11*(1+F658)/(D658-F658) )/(1+D658)^7</f>
        <v>331.6112614958837</v>
      </c>
      <c r="H658" s="7">
        <f ca="1">(G658-$C$8)/$C$9</f>
        <v>1.8099347664850953</v>
      </c>
    </row>
    <row r="659" spans="3:8" x14ac:dyDescent="0.35">
      <c r="C659" s="8">
        <f t="shared" ca="1" si="40"/>
        <v>0.12628368237943566</v>
      </c>
      <c r="D659" s="7">
        <f t="shared" ca="1" si="41"/>
        <v>8.0176080755926485E-2</v>
      </c>
      <c r="E659" s="7">
        <f t="shared" ca="1" si="42"/>
        <v>0.80156078751211357</v>
      </c>
      <c r="F659" s="7">
        <f t="shared" ca="1" si="43"/>
        <v>2.3700171232678043E-2</v>
      </c>
      <c r="G659" s="7">
        <f ca="1">$C$11/(1+D659)^1
 +$D$11/(1+D659)^2
 +$E$11/(1+D659)^3
 +$F$11/(1+D659)^4
 +$G$11/(1+D659)^5
 +$H$11/(1+D659)^6
 +$I$11/(1+D659)^7
 + ( $I$11*(1+F659)/(D659-F659) )/(1+D659)^7</f>
        <v>467.52732308986668</v>
      </c>
      <c r="H659" s="7">
        <f ca="1">(G659-$C$8)/$C$9</f>
        <v>2.5783430749087892</v>
      </c>
    </row>
    <row r="660" spans="3:8" x14ac:dyDescent="0.35">
      <c r="C660" s="8">
        <f t="shared" ca="1" si="40"/>
        <v>0.25500557292957715</v>
      </c>
      <c r="D660" s="7">
        <f t="shared" ca="1" si="41"/>
        <v>8.4460448464769453E-2</v>
      </c>
      <c r="E660" s="7">
        <f t="shared" ca="1" si="42"/>
        <v>0.59653936786469641</v>
      </c>
      <c r="F660" s="7">
        <f t="shared" ca="1" si="43"/>
        <v>2.1017120371113689E-2</v>
      </c>
      <c r="G660" s="7">
        <f ca="1">$C$11/(1+D660)^1
 +$D$11/(1+D660)^2
 +$E$11/(1+D660)^3
 +$F$11/(1+D660)^4
 +$G$11/(1+D660)^5
 +$H$11/(1+D660)^6
 +$I$11/(1+D660)^7
 + ( $I$11*(1+F660)/(D660-F660) )/(1+D660)^7</f>
        <v>419.9740279348963</v>
      </c>
      <c r="H660" s="7">
        <f ca="1">(G660-$C$8)/$C$9</f>
        <v>2.3094981226531903</v>
      </c>
    </row>
    <row r="661" spans="3:8" x14ac:dyDescent="0.35">
      <c r="C661" s="8">
        <f t="shared" ca="1" si="40"/>
        <v>0.33298321579833023</v>
      </c>
      <c r="D661" s="7">
        <f t="shared" ca="1" si="41"/>
        <v>8.6524110776517782E-2</v>
      </c>
      <c r="E661" s="7">
        <f t="shared" ca="1" si="42"/>
        <v>0.54528642040505071</v>
      </c>
      <c r="F661" s="7">
        <f t="shared" ca="1" si="43"/>
        <v>2.0463610960169996E-2</v>
      </c>
      <c r="G661" s="7">
        <f ca="1">$C$11/(1+D661)^1
 +$D$11/(1+D661)^2
 +$E$11/(1+D661)^3
 +$F$11/(1+D661)^4
 +$G$11/(1+D661)^5
 +$H$11/(1+D661)^6
 +$I$11/(1+D661)^7
 + ( $I$11*(1+F661)/(D661-F661) )/(1+D661)^7</f>
        <v>403.7818081345327</v>
      </c>
      <c r="H661" s="7">
        <f ca="1">(G661-$C$8)/$C$9</f>
        <v>2.2179545914435361</v>
      </c>
    </row>
    <row r="662" spans="3:8" x14ac:dyDescent="0.35">
      <c r="C662" s="8">
        <f t="shared" ca="1" si="40"/>
        <v>0.32381844689984185</v>
      </c>
      <c r="D662" s="7">
        <f t="shared" ca="1" si="41"/>
        <v>8.6295125849709484E-2</v>
      </c>
      <c r="E662" s="7">
        <f t="shared" ca="1" si="42"/>
        <v>0.24114197379125468</v>
      </c>
      <c r="F662" s="7">
        <f t="shared" ca="1" si="43"/>
        <v>1.6944666641261548E-2</v>
      </c>
      <c r="G662" s="7">
        <f ca="1">$C$11/(1+D662)^1
 +$D$11/(1+D662)^2
 +$E$11/(1+D662)^3
 +$F$11/(1+D662)^4
 +$G$11/(1+D662)^5
 +$H$11/(1+D662)^6
 +$I$11/(1+D662)^7
 + ( $I$11*(1+F662)/(D662-F662) )/(1+D662)^7</f>
        <v>390.44364849223211</v>
      </c>
      <c r="H662" s="7">
        <f ca="1">(G662-$C$8)/$C$9</f>
        <v>2.1425466332668028</v>
      </c>
    </row>
    <row r="663" spans="3:8" x14ac:dyDescent="0.35">
      <c r="C663" s="8">
        <f t="shared" ca="1" si="40"/>
        <v>0.65309305349194902</v>
      </c>
      <c r="D663" s="7">
        <f t="shared" ca="1" si="41"/>
        <v>9.3550458417442764E-2</v>
      </c>
      <c r="E663" s="7">
        <f t="shared" ca="1" si="42"/>
        <v>0.18766262919394228</v>
      </c>
      <c r="F663" s="7">
        <f t="shared" ca="1" si="43"/>
        <v>1.6126379504959553E-2</v>
      </c>
      <c r="G663" s="7">
        <f ca="1">$C$11/(1+D663)^1
 +$D$11/(1+D663)^2
 +$E$11/(1+D663)^3
 +$F$11/(1+D663)^4
 +$G$11/(1+D663)^5
 +$H$11/(1+D663)^6
 +$I$11/(1+D663)^7
 + ( $I$11*(1+F663)/(D663-F663) )/(1+D663)^7</f>
        <v>349.28297308373021</v>
      </c>
      <c r="H663" s="7">
        <f ca="1">(G663-$C$8)/$C$9</f>
        <v>1.9098426791255665</v>
      </c>
    </row>
    <row r="664" spans="3:8" x14ac:dyDescent="0.35">
      <c r="C664" s="8">
        <f t="shared" ca="1" si="40"/>
        <v>0.90828631703118512</v>
      </c>
      <c r="D664" s="7">
        <f t="shared" ca="1" si="41"/>
        <v>0.10154206451220657</v>
      </c>
      <c r="E664" s="7">
        <f t="shared" ca="1" si="42"/>
        <v>0.82004152318253032</v>
      </c>
      <c r="F664" s="7">
        <f t="shared" ca="1" si="43"/>
        <v>2.4000692092958228E-2</v>
      </c>
      <c r="G664" s="7">
        <f ca="1">$C$11/(1+D664)^1
 +$D$11/(1+D664)^2
 +$E$11/(1+D664)^3
 +$F$11/(1+D664)^4
 +$G$11/(1+D664)^5
 +$H$11/(1+D664)^6
 +$I$11/(1+D664)^7
 + ( $I$11*(1+F664)/(D664-F664) )/(1+D664)^7</f>
        <v>336.01246849716375</v>
      </c>
      <c r="H664" s="7">
        <f ca="1">(G664-$C$8)/$C$9</f>
        <v>1.8348172122182482</v>
      </c>
    </row>
    <row r="665" spans="3:8" x14ac:dyDescent="0.35">
      <c r="C665" s="8">
        <f t="shared" ca="1" si="40"/>
        <v>0.88287606280971598</v>
      </c>
      <c r="D665" s="7">
        <f t="shared" ca="1" si="41"/>
        <v>0.10044193162775963</v>
      </c>
      <c r="E665" s="7">
        <f t="shared" ca="1" si="42"/>
        <v>0.16009580815331192</v>
      </c>
      <c r="F665" s="7">
        <f t="shared" ca="1" si="43"/>
        <v>1.565854766089872E-2</v>
      </c>
      <c r="G665" s="7">
        <f ca="1">$C$11/(1+D665)^1
 +$D$11/(1+D665)^2
 +$E$11/(1+D665)^3
 +$F$11/(1+D665)^4
 +$G$11/(1+D665)^5
 +$H$11/(1+D665)^6
 +$I$11/(1+D665)^7
 + ( $I$11*(1+F665)/(D665-F665) )/(1+D665)^7</f>
        <v>318.18198432911214</v>
      </c>
      <c r="H665" s="7">
        <f ca="1">(G665-$C$8)/$C$9</f>
        <v>1.7340116707887387</v>
      </c>
    </row>
    <row r="666" spans="3:8" x14ac:dyDescent="0.35">
      <c r="C666" s="8">
        <f t="shared" ca="1" si="40"/>
        <v>0.96991270030398158</v>
      </c>
      <c r="D666" s="7">
        <f t="shared" ca="1" si="41"/>
        <v>0.10515561213744251</v>
      </c>
      <c r="E666" s="7">
        <f t="shared" ca="1" si="42"/>
        <v>0.66475177861248891</v>
      </c>
      <c r="F666" s="7">
        <f t="shared" ca="1" si="43"/>
        <v>2.1811615282761671E-2</v>
      </c>
      <c r="G666" s="7">
        <f ca="1">$C$11/(1+D666)^1
 +$D$11/(1+D666)^2
 +$E$11/(1+D666)^3
 +$F$11/(1+D666)^4
 +$G$11/(1+D666)^5
 +$H$11/(1+D666)^6
 +$I$11/(1+D666)^7
 + ( $I$11*(1+F666)/(D666-F666) )/(1+D666)^7</f>
        <v>314.82803334132404</v>
      </c>
      <c r="H666" s="7">
        <f ca="1">(G666-$C$8)/$C$9</f>
        <v>1.7150499397406378</v>
      </c>
    </row>
    <row r="667" spans="3:8" x14ac:dyDescent="0.35">
      <c r="C667" s="8">
        <f t="shared" ca="1" si="40"/>
        <v>0.38624312115901693</v>
      </c>
      <c r="D667" s="7">
        <f t="shared" ca="1" si="41"/>
        <v>8.7796610895066338E-2</v>
      </c>
      <c r="E667" s="7">
        <f t="shared" ca="1" si="42"/>
        <v>0.38576681691110082</v>
      </c>
      <c r="F667" s="7">
        <f t="shared" ca="1" si="43"/>
        <v>1.8783698730160329E-2</v>
      </c>
      <c r="G667" s="7">
        <f ca="1">$C$11/(1+D667)^1
 +$D$11/(1+D667)^2
 +$E$11/(1+D667)^3
 +$F$11/(1+D667)^4
 +$G$11/(1+D667)^5
 +$H$11/(1+D667)^6
 +$I$11/(1+D667)^7
 + ( $I$11*(1+F667)/(D667-F667) )/(1+D667)^7</f>
        <v>388.9601053935063</v>
      </c>
      <c r="H667" s="7">
        <f ca="1">(G667-$C$8)/$C$9</f>
        <v>2.1341593475435676</v>
      </c>
    </row>
    <row r="668" spans="3:8" x14ac:dyDescent="0.35">
      <c r="C668" s="8">
        <f t="shared" ca="1" si="40"/>
        <v>0.44995852557855975</v>
      </c>
      <c r="D668" s="7">
        <f t="shared" ca="1" si="41"/>
        <v>8.9208487472323766E-2</v>
      </c>
      <c r="E668" s="7">
        <f t="shared" ca="1" si="42"/>
        <v>0.5837474681308934</v>
      </c>
      <c r="F668" s="7">
        <f t="shared" ca="1" si="43"/>
        <v>2.0875828455480392E-2</v>
      </c>
      <c r="G668" s="7">
        <f ca="1">$C$11/(1+D668)^1
 +$D$11/(1+D668)^2
 +$E$11/(1+D668)^3
 +$F$11/(1+D668)^4
 +$G$11/(1+D668)^5
 +$H$11/(1+D668)^6
 +$I$11/(1+D668)^7
 + ( $I$11*(1+F668)/(D668-F668) )/(1+D668)^7</f>
        <v>389.04100380082093</v>
      </c>
      <c r="H668" s="7">
        <f ca="1">(G668-$C$8)/$C$9</f>
        <v>2.1346167107690013</v>
      </c>
    </row>
    <row r="669" spans="3:8" x14ac:dyDescent="0.35">
      <c r="C669" s="8">
        <f t="shared" ca="1" si="40"/>
        <v>0.99773118331512434</v>
      </c>
      <c r="D669" s="7">
        <f t="shared" ca="1" si="41"/>
        <v>0.10866970792146874</v>
      </c>
      <c r="E669" s="7">
        <f t="shared" ca="1" si="42"/>
        <v>0.93667918910509329</v>
      </c>
      <c r="F669" s="7">
        <f t="shared" ca="1" si="43"/>
        <v>2.6441325783528178E-2</v>
      </c>
      <c r="G669" s="7">
        <f ca="1">$C$11/(1+D669)^1
 +$D$11/(1+D669)^2
 +$E$11/(1+D669)^3
 +$F$11/(1+D669)^4
 +$G$11/(1+D669)^5
 +$H$11/(1+D669)^6
 +$I$11/(1+D669)^7
 + ( $I$11*(1+F669)/(D669-F669) )/(1+D669)^7</f>
        <v>312.52172049836662</v>
      </c>
      <c r="H669" s="7">
        <f ca="1">(G669-$C$8)/$C$9</f>
        <v>1.7020110837763829</v>
      </c>
    </row>
    <row r="670" spans="3:8" x14ac:dyDescent="0.35">
      <c r="C670" s="8">
        <f t="shared" ca="1" si="40"/>
        <v>6.9024557808076148E-3</v>
      </c>
      <c r="D670" s="7">
        <f t="shared" ca="1" si="41"/>
        <v>7.2379078338403818E-2</v>
      </c>
      <c r="E670" s="7">
        <f t="shared" ca="1" si="42"/>
        <v>0.28635613602307974</v>
      </c>
      <c r="F670" s="7">
        <f t="shared" ca="1" si="43"/>
        <v>1.7567775578372812E-2</v>
      </c>
      <c r="G670" s="7">
        <f ca="1">$C$11/(1+D670)^1
 +$D$11/(1+D670)^2
 +$E$11/(1+D670)^3
 +$F$11/(1+D670)^4
 +$G$11/(1+D670)^5
 +$H$11/(1+D670)^6
 +$I$11/(1+D670)^7
 + ( $I$11*(1+F670)/(D670-F670) )/(1+D670)^7</f>
        <v>497.27179713508849</v>
      </c>
      <c r="H670" s="7">
        <f ca="1">(G670-$C$8)/$C$9</f>
        <v>2.7465049589274564</v>
      </c>
    </row>
    <row r="671" spans="3:8" x14ac:dyDescent="0.35">
      <c r="C671" s="8">
        <f t="shared" ca="1" si="40"/>
        <v>0.97257107880038174</v>
      </c>
      <c r="D671" s="7">
        <f t="shared" ca="1" si="41"/>
        <v>0.105374574772445</v>
      </c>
      <c r="E671" s="7">
        <f t="shared" ca="1" si="42"/>
        <v>0.96077743933987536</v>
      </c>
      <c r="F671" s="7">
        <f t="shared" ca="1" si="43"/>
        <v>2.7199194378036039E-2</v>
      </c>
      <c r="G671" s="7">
        <f ca="1">$C$11/(1+D671)^1
 +$D$11/(1+D671)^2
 +$E$11/(1+D671)^3
 +$F$11/(1+D671)^4
 +$G$11/(1+D671)^5
 +$H$11/(1+D671)^6
 +$I$11/(1+D671)^7
 + ( $I$11*(1+F671)/(D671-F671) )/(1+D671)^7</f>
        <v>328.22946112103682</v>
      </c>
      <c r="H671" s="7">
        <f ca="1">(G671-$C$8)/$C$9</f>
        <v>1.7908155875228222</v>
      </c>
    </row>
    <row r="672" spans="3:8" x14ac:dyDescent="0.35">
      <c r="C672" s="8">
        <f t="shared" ca="1" si="40"/>
        <v>0.13696696690277699</v>
      </c>
      <c r="D672" s="7">
        <f t="shared" ca="1" si="41"/>
        <v>8.0597778675754517E-2</v>
      </c>
      <c r="E672" s="7">
        <f t="shared" ca="1" si="42"/>
        <v>0.54676603931381784</v>
      </c>
      <c r="F672" s="7">
        <f t="shared" ca="1" si="43"/>
        <v>2.0479139107347673E-2</v>
      </c>
      <c r="G672" s="7">
        <f ca="1">$C$11/(1+D672)^1
 +$D$11/(1+D672)^2
 +$E$11/(1+D672)^3
 +$F$11/(1+D672)^4
 +$G$11/(1+D672)^5
 +$H$11/(1+D672)^6
 +$I$11/(1+D672)^7
 + ( $I$11*(1+F672)/(D672-F672) )/(1+D672)^7</f>
        <v>445.28720811657172</v>
      </c>
      <c r="H672" s="7">
        <f ca="1">(G672-$C$8)/$C$9</f>
        <v>2.4526074633456112</v>
      </c>
    </row>
    <row r="673" spans="3:8" x14ac:dyDescent="0.35">
      <c r="C673" s="8">
        <f t="shared" ca="1" si="40"/>
        <v>0.1173415858159027</v>
      </c>
      <c r="D673" s="7">
        <f t="shared" ca="1" si="41"/>
        <v>7.9809184490519089E-2</v>
      </c>
      <c r="E673" s="7">
        <f t="shared" ca="1" si="42"/>
        <v>0.62443569125252041</v>
      </c>
      <c r="F673" s="7">
        <f t="shared" ca="1" si="43"/>
        <v>2.1333232335553474E-2</v>
      </c>
      <c r="G673" s="7">
        <f ca="1">$C$11/(1+D673)^1
 +$D$11/(1+D673)^2
 +$E$11/(1+D673)^3
 +$F$11/(1+D673)^4
 +$G$11/(1+D673)^5
 +$H$11/(1+D673)^6
 +$I$11/(1+D673)^7
 + ( $I$11*(1+F673)/(D673-F673) )/(1+D673)^7</f>
        <v>456.32831820312612</v>
      </c>
      <c r="H673" s="7">
        <f ca="1">(G673-$C$8)/$C$9</f>
        <v>2.5150289360194829</v>
      </c>
    </row>
    <row r="674" spans="3:8" x14ac:dyDescent="0.35">
      <c r="C674" s="8">
        <f t="shared" ca="1" si="40"/>
        <v>0.43116614630251182</v>
      </c>
      <c r="D674" s="7">
        <f t="shared" ca="1" si="41"/>
        <v>8.8803091234370468E-2</v>
      </c>
      <c r="E674" s="7">
        <f t="shared" ca="1" si="42"/>
        <v>0.56934713021376948</v>
      </c>
      <c r="F674" s="7">
        <f t="shared" ca="1" si="43"/>
        <v>2.0719344098758641E-2</v>
      </c>
      <c r="G674" s="7">
        <f ca="1">$C$11/(1+D674)^1
 +$D$11/(1+D674)^2
 +$E$11/(1+D674)^3
 +$F$11/(1+D674)^4
 +$G$11/(1+D674)^5
 +$H$11/(1+D674)^6
 +$I$11/(1+D674)^7
 + ( $I$11*(1+F674)/(D674-F674) )/(1+D674)^7</f>
        <v>390.81726507868018</v>
      </c>
      <c r="H674" s="7">
        <f ca="1">(G674-$C$8)/$C$9</f>
        <v>2.1446588934796482</v>
      </c>
    </row>
    <row r="675" spans="3:8" x14ac:dyDescent="0.35">
      <c r="C675" s="8">
        <f t="shared" ca="1" si="40"/>
        <v>0.55260171003061875</v>
      </c>
      <c r="D675" s="7">
        <f t="shared" ca="1" si="41"/>
        <v>9.1319243426024807E-2</v>
      </c>
      <c r="E675" s="7">
        <f t="shared" ca="1" si="42"/>
        <v>0.93151225221624923</v>
      </c>
      <c r="F675" s="7">
        <f t="shared" ca="1" si="43"/>
        <v>2.6298979930242182E-2</v>
      </c>
      <c r="G675" s="7">
        <f ca="1">$C$11/(1+D675)^1
 +$D$11/(1+D675)^2
 +$E$11/(1+D675)^3
 +$F$11/(1+D675)^4
 +$G$11/(1+D675)^5
 +$H$11/(1+D675)^6
 +$I$11/(1+D675)^7
 + ( $I$11*(1+F675)/(D675-F675) )/(1+D675)^7</f>
        <v>399.02193527787904</v>
      </c>
      <c r="H675" s="7">
        <f ca="1">(G675-$C$8)/$C$9</f>
        <v>2.1910444102096283</v>
      </c>
    </row>
    <row r="676" spans="3:8" x14ac:dyDescent="0.35">
      <c r="C676" s="8">
        <f t="shared" ca="1" si="40"/>
        <v>0.65751081760098473</v>
      </c>
      <c r="D676" s="7">
        <f t="shared" ca="1" si="41"/>
        <v>9.3655534200493676E-2</v>
      </c>
      <c r="E676" s="7">
        <f t="shared" ca="1" si="42"/>
        <v>0.16986391642089471</v>
      </c>
      <c r="F676" s="7">
        <f t="shared" ca="1" si="43"/>
        <v>1.5828617613480828E-2</v>
      </c>
      <c r="G676" s="7">
        <f ca="1">$C$11/(1+D676)^1
 +$D$11/(1+D676)^2
 +$E$11/(1+D676)^3
 +$F$11/(1+D676)^4
 +$G$11/(1+D676)^5
 +$H$11/(1+D676)^6
 +$I$11/(1+D676)^7
 + ( $I$11*(1+F676)/(D676-F676) )/(1+D676)^7</f>
        <v>347.87628570780805</v>
      </c>
      <c r="H676" s="7">
        <f ca="1">(G676-$C$8)/$C$9</f>
        <v>1.9018899011070105</v>
      </c>
    </row>
    <row r="677" spans="3:8" x14ac:dyDescent="0.35">
      <c r="C677" s="8">
        <f t="shared" ca="1" si="40"/>
        <v>0.75088612622790296</v>
      </c>
      <c r="D677" s="7">
        <f t="shared" ca="1" si="41"/>
        <v>9.6060530083886417E-2</v>
      </c>
      <c r="E677" s="7">
        <f t="shared" ca="1" si="42"/>
        <v>0.41342637772860691</v>
      </c>
      <c r="F677" s="7">
        <f t="shared" ca="1" si="43"/>
        <v>1.9093144425649543E-2</v>
      </c>
      <c r="G677" s="7">
        <f ca="1">$C$11/(1+D677)^1
 +$D$11/(1+D677)^2
 +$E$11/(1+D677)^3
 +$F$11/(1+D677)^4
 +$G$11/(1+D677)^5
 +$H$11/(1+D677)^6
 +$I$11/(1+D677)^7
 + ( $I$11*(1+F677)/(D677-F677) )/(1+D677)^7</f>
        <v>346.5502833944285</v>
      </c>
      <c r="H677" s="7">
        <f ca="1">(G677-$C$8)/$C$9</f>
        <v>1.8943932801584604</v>
      </c>
    </row>
    <row r="678" spans="3:8" x14ac:dyDescent="0.35">
      <c r="C678" s="8">
        <f t="shared" ca="1" si="40"/>
        <v>0.13748725460584776</v>
      </c>
      <c r="D678" s="7">
        <f t="shared" ca="1" si="41"/>
        <v>8.0617888150512573E-2</v>
      </c>
      <c r="E678" s="7">
        <f t="shared" ca="1" si="42"/>
        <v>0.76151188611421849</v>
      </c>
      <c r="F678" s="7">
        <f t="shared" ca="1" si="43"/>
        <v>2.3093653442147845E-2</v>
      </c>
      <c r="G678" s="7">
        <f ca="1">$C$11/(1+D678)^1
 +$D$11/(1+D678)^2
 +$E$11/(1+D678)^3
 +$F$11/(1+D678)^4
 +$G$11/(1+D678)^5
 +$H$11/(1+D678)^6
 +$I$11/(1+D678)^7
 + ( $I$11*(1+F678)/(D678-F678) )/(1+D678)^7</f>
        <v>460.1072132934475</v>
      </c>
      <c r="H678" s="7">
        <f ca="1">(G678-$C$8)/$C$9</f>
        <v>2.5363931099810464</v>
      </c>
    </row>
    <row r="679" spans="3:8" x14ac:dyDescent="0.35">
      <c r="C679" s="8">
        <f t="shared" ca="1" si="40"/>
        <v>0.89289204300809866</v>
      </c>
      <c r="D679" s="7">
        <f t="shared" ca="1" si="41"/>
        <v>0.10085974800928973</v>
      </c>
      <c r="E679" s="7">
        <f t="shared" ca="1" si="42"/>
        <v>0.57482737963321417</v>
      </c>
      <c r="F679" s="7">
        <f t="shared" ca="1" si="43"/>
        <v>2.0778583402027803E-2</v>
      </c>
      <c r="G679" s="7">
        <f ca="1">$C$11/(1+D679)^1
 +$D$11/(1+D679)^2
 +$E$11/(1+D679)^3
 +$F$11/(1+D679)^4
 +$G$11/(1+D679)^5
 +$H$11/(1+D679)^6
 +$I$11/(1+D679)^7
 + ( $I$11*(1+F679)/(D679-F679) )/(1+D679)^7</f>
        <v>329.84049731753061</v>
      </c>
      <c r="H679" s="7">
        <f ca="1">(G679-$C$8)/$C$9</f>
        <v>1.7999236619037233</v>
      </c>
    </row>
    <row r="680" spans="3:8" x14ac:dyDescent="0.35">
      <c r="C680" s="8">
        <f t="shared" ca="1" si="40"/>
        <v>6.8063958948831549E-2</v>
      </c>
      <c r="D680" s="7">
        <f t="shared" ca="1" si="41"/>
        <v>7.7470772807283192E-2</v>
      </c>
      <c r="E680" s="7">
        <f t="shared" ca="1" si="42"/>
        <v>5.2832536317151346E-2</v>
      </c>
      <c r="F680" s="7">
        <f t="shared" ca="1" si="43"/>
        <v>1.325061644360424E-2</v>
      </c>
      <c r="G680" s="7">
        <f ca="1">$C$11/(1+D680)^1
 +$D$11/(1+D680)^2
 +$E$11/(1+D680)^3
 +$F$11/(1+D680)^4
 +$G$11/(1+D680)^5
 +$H$11/(1+D680)^6
 +$I$11/(1+D680)^7
 + ( $I$11*(1+F680)/(D680-F680) )/(1+D680)^7</f>
        <v>430.82095344334709</v>
      </c>
      <c r="H680" s="7">
        <f ca="1">(G680-$C$8)/$C$9</f>
        <v>2.3708217630220889</v>
      </c>
    </row>
    <row r="681" spans="3:8" x14ac:dyDescent="0.35">
      <c r="C681" s="8">
        <f t="shared" ca="1" si="40"/>
        <v>0.99076820279306577</v>
      </c>
      <c r="D681" s="7">
        <f t="shared" ca="1" si="41"/>
        <v>0.10731656902056179</v>
      </c>
      <c r="E681" s="7">
        <f t="shared" ca="1" si="42"/>
        <v>0.5551722420565538</v>
      </c>
      <c r="F681" s="7">
        <f t="shared" ca="1" si="43"/>
        <v>2.0567844806795785E-2</v>
      </c>
      <c r="G681" s="7">
        <f ca="1">$C$11/(1+D681)^1
 +$D$11/(1+D681)^2
 +$E$11/(1+D681)^3
 +$F$11/(1+D681)^4
 +$G$11/(1+D681)^5
 +$H$11/(1+D681)^6
 +$I$11/(1+D681)^7
 + ( $I$11*(1+F681)/(D681-F681) )/(1+D681)^7</f>
        <v>303.63687555980232</v>
      </c>
      <c r="H681" s="7">
        <f ca="1">(G681-$C$8)/$C$9</f>
        <v>1.6517801648564128</v>
      </c>
    </row>
    <row r="682" spans="3:8" x14ac:dyDescent="0.35">
      <c r="C682" s="8">
        <f t="shared" ca="1" si="40"/>
        <v>0.73548479063536387</v>
      </c>
      <c r="D682" s="7">
        <f t="shared" ca="1" si="41"/>
        <v>9.5636091642438817E-2</v>
      </c>
      <c r="E682" s="7">
        <f t="shared" ca="1" si="42"/>
        <v>0.84923455927416192</v>
      </c>
      <c r="F682" s="7">
        <f t="shared" ca="1" si="43"/>
        <v>2.4508817236226096E-2</v>
      </c>
      <c r="G682" s="7">
        <f ca="1">$C$11/(1+D682)^1
 +$D$11/(1+D682)^2
 +$E$11/(1+D682)^3
 +$F$11/(1+D682)^4
 +$G$11/(1+D682)^5
 +$H$11/(1+D682)^6
 +$I$11/(1+D682)^7
 + ( $I$11*(1+F682)/(D682-F682) )/(1+D682)^7</f>
        <v>366.70418339298624</v>
      </c>
      <c r="H682" s="7">
        <f ca="1">(G682-$C$8)/$C$9</f>
        <v>2.0083343701548295</v>
      </c>
    </row>
    <row r="683" spans="3:8" x14ac:dyDescent="0.35">
      <c r="C683" s="8">
        <f t="shared" ca="1" si="40"/>
        <v>0.93718779506484895</v>
      </c>
      <c r="D683" s="7">
        <f t="shared" ca="1" si="41"/>
        <v>0.10300046288320308</v>
      </c>
      <c r="E683" s="7">
        <f t="shared" ca="1" si="42"/>
        <v>0.97291699430883938</v>
      </c>
      <c r="F683" s="7">
        <f t="shared" ca="1" si="43"/>
        <v>2.7672640737180412E-2</v>
      </c>
      <c r="G683" s="7">
        <f ca="1">$C$11/(1+D683)^1
 +$D$11/(1+D683)^2
 +$E$11/(1+D683)^3
 +$F$11/(1+D683)^4
 +$G$11/(1+D683)^5
 +$H$11/(1+D683)^6
 +$I$11/(1+D683)^7
 + ( $I$11*(1+F683)/(D683-F683) )/(1+D683)^7</f>
        <v>340.36258014788513</v>
      </c>
      <c r="H683" s="7">
        <f ca="1">(G683-$C$8)/$C$9</f>
        <v>1.8594107878102957</v>
      </c>
    </row>
    <row r="684" spans="3:8" x14ac:dyDescent="0.35">
      <c r="C684" s="8">
        <f t="shared" ca="1" si="40"/>
        <v>6.0204810980190704E-2</v>
      </c>
      <c r="D684" s="7">
        <f t="shared" ca="1" si="41"/>
        <v>7.7026232632339778E-2</v>
      </c>
      <c r="E684" s="7">
        <f t="shared" ca="1" si="42"/>
        <v>0.83553141459575853</v>
      </c>
      <c r="F684" s="7">
        <f t="shared" ca="1" si="43"/>
        <v>2.4264695554650276E-2</v>
      </c>
      <c r="G684" s="7">
        <f ca="1">$C$11/(1+D684)^1
 +$D$11/(1+D684)^2
 +$E$11/(1+D684)^3
 +$F$11/(1+D684)^4
 +$G$11/(1+D684)^5
 +$H$11/(1+D684)^6
 +$I$11/(1+D684)^7
 + ( $I$11*(1+F684)/(D684-F684) )/(1+D684)^7</f>
        <v>500.12486668173699</v>
      </c>
      <c r="H684" s="7">
        <f ca="1">(G684-$C$8)/$C$9</f>
        <v>2.762634931488789</v>
      </c>
    </row>
    <row r="685" spans="3:8" x14ac:dyDescent="0.35">
      <c r="C685" s="8">
        <f t="shared" ca="1" si="40"/>
        <v>2.6050073373153126E-2</v>
      </c>
      <c r="D685" s="7">
        <f t="shared" ca="1" si="41"/>
        <v>7.4621802696566097E-2</v>
      </c>
      <c r="E685" s="7">
        <f t="shared" ca="1" si="42"/>
        <v>0.51898010026384722</v>
      </c>
      <c r="F685" s="7">
        <f t="shared" ca="1" si="43"/>
        <v>2.0191637244308787E-2</v>
      </c>
      <c r="G685" s="7">
        <f ca="1">$C$11/(1+D685)^1
 +$D$11/(1+D685)^2
 +$E$11/(1+D685)^3
 +$F$11/(1+D685)^4
 +$G$11/(1+D685)^5
 +$H$11/(1+D685)^6
 +$I$11/(1+D685)^7
 + ( $I$11*(1+F685)/(D685-F685) )/(1+D685)^7</f>
        <v>494.30985525882897</v>
      </c>
      <c r="H685" s="7">
        <f ca="1">(G685-$C$8)/$C$9</f>
        <v>2.7297594711602722</v>
      </c>
    </row>
    <row r="686" spans="3:8" x14ac:dyDescent="0.35">
      <c r="C686" s="8">
        <f t="shared" ca="1" si="40"/>
        <v>0.18364220489935579</v>
      </c>
      <c r="D686" s="7">
        <f t="shared" ca="1" si="41"/>
        <v>8.2271373517967414E-2</v>
      </c>
      <c r="E686" s="7">
        <f t="shared" ca="1" si="42"/>
        <v>0.60781444755216985</v>
      </c>
      <c r="F686" s="7">
        <f t="shared" ca="1" si="43"/>
        <v>2.1143527198169351E-2</v>
      </c>
      <c r="G686" s="7">
        <f ca="1">$C$11/(1+D686)^1
 +$D$11/(1+D686)^2
 +$E$11/(1+D686)^3
 +$F$11/(1+D686)^4
 +$G$11/(1+D686)^5
 +$H$11/(1+D686)^6
 +$I$11/(1+D686)^7
 + ( $I$11*(1+F686)/(D686-F686) )/(1+D686)^7</f>
        <v>436.22884126793934</v>
      </c>
      <c r="H686" s="7">
        <f ca="1">(G686-$C$8)/$C$9</f>
        <v>2.4013955295564187</v>
      </c>
    </row>
    <row r="687" spans="3:8" x14ac:dyDescent="0.35">
      <c r="C687" s="8">
        <f t="shared" ca="1" si="40"/>
        <v>0.9728211095208581</v>
      </c>
      <c r="D687" s="7">
        <f t="shared" ca="1" si="41"/>
        <v>0.10539570476905198</v>
      </c>
      <c r="E687" s="7">
        <f t="shared" ca="1" si="42"/>
        <v>0.97993952280430474</v>
      </c>
      <c r="F687" s="7">
        <f t="shared" ca="1" si="43"/>
        <v>2.7996978422697584E-2</v>
      </c>
      <c r="G687" s="7">
        <f ca="1">$C$11/(1+D687)^1
 +$D$11/(1+D687)^2
 +$E$11/(1+D687)^3
 +$F$11/(1+D687)^4
 +$G$11/(1+D687)^5
 +$H$11/(1+D687)^6
 +$I$11/(1+D687)^7
 + ( $I$11*(1+F687)/(D687-F687) )/(1+D687)^7</f>
        <v>330.41692482840671</v>
      </c>
      <c r="H687" s="7">
        <f ca="1">(G687-$C$8)/$C$9</f>
        <v>1.8031825239055104</v>
      </c>
    </row>
    <row r="688" spans="3:8" x14ac:dyDescent="0.35">
      <c r="C688" s="8">
        <f t="shared" ca="1" si="40"/>
        <v>0.19547760595550812</v>
      </c>
      <c r="D688" s="7">
        <f t="shared" ca="1" si="41"/>
        <v>8.266063335238473E-2</v>
      </c>
      <c r="E688" s="7">
        <f t="shared" ca="1" si="42"/>
        <v>0.12900527939927009</v>
      </c>
      <c r="F688" s="7">
        <f t="shared" ca="1" si="43"/>
        <v>1.5079473976688336E-2</v>
      </c>
      <c r="G688" s="7">
        <f ca="1">$C$11/(1+D688)^1
 +$D$11/(1+D688)^2
 +$E$11/(1+D688)^3
 +$F$11/(1+D688)^4
 +$G$11/(1+D688)^5
 +$H$11/(1+D688)^6
 +$I$11/(1+D688)^7
 + ( $I$11*(1+F688)/(D688-F688) )/(1+D688)^7</f>
        <v>404.79009738178991</v>
      </c>
      <c r="H688" s="7">
        <f ca="1">(G688-$C$8)/$C$9</f>
        <v>2.2236550055505986</v>
      </c>
    </row>
    <row r="689" spans="3:8" x14ac:dyDescent="0.35">
      <c r="C689" s="8">
        <f t="shared" ca="1" si="40"/>
        <v>0.86175497204300089</v>
      </c>
      <c r="D689" s="7">
        <f t="shared" ca="1" si="41"/>
        <v>9.9615823489247718E-2</v>
      </c>
      <c r="E689" s="7">
        <f t="shared" ca="1" si="42"/>
        <v>0.21786856061842808</v>
      </c>
      <c r="F689" s="7">
        <f t="shared" ca="1" si="43"/>
        <v>1.6601038715511794E-2</v>
      </c>
      <c r="G689" s="7">
        <f ca="1">$C$11/(1+D689)^1
 +$D$11/(1+D689)^2
 +$E$11/(1+D689)^3
 +$F$11/(1+D689)^4
 +$G$11/(1+D689)^5
 +$H$11/(1+D689)^6
 +$I$11/(1+D689)^7
 + ( $I$11*(1+F689)/(D689-F689) )/(1+D689)^7</f>
        <v>323.89266693209595</v>
      </c>
      <c r="H689" s="7">
        <f ca="1">(G689-$C$8)/$C$9</f>
        <v>1.7662973028725459</v>
      </c>
    </row>
    <row r="690" spans="3:8" x14ac:dyDescent="0.35">
      <c r="C690" s="8">
        <f t="shared" ca="1" si="40"/>
        <v>5.7722929400334744E-2</v>
      </c>
      <c r="D690" s="7">
        <f t="shared" ca="1" si="41"/>
        <v>7.6879883873167812E-2</v>
      </c>
      <c r="E690" s="7">
        <f t="shared" ca="1" si="42"/>
        <v>0.66797954463921905</v>
      </c>
      <c r="F690" s="7">
        <f t="shared" ca="1" si="43"/>
        <v>2.1851129460338924E-2</v>
      </c>
      <c r="G690" s="7">
        <f ca="1">$C$11/(1+D690)^1
 +$D$11/(1+D690)^2
 +$E$11/(1+D690)^3
 +$F$11/(1+D690)^4
 +$G$11/(1+D690)^5
 +$H$11/(1+D690)^6
 +$I$11/(1+D690)^7
 + ( $I$11*(1+F690)/(D690-F690) )/(1+D690)^7</f>
        <v>484.69556044967032</v>
      </c>
      <c r="H690" s="7">
        <f ca="1">(G690-$C$8)/$C$9</f>
        <v>2.675404570610981</v>
      </c>
    </row>
    <row r="691" spans="3:8" x14ac:dyDescent="0.35">
      <c r="C691" s="8">
        <f t="shared" ca="1" si="40"/>
        <v>0.93258053736496882</v>
      </c>
      <c r="D691" s="7">
        <f t="shared" ca="1" si="41"/>
        <v>0.10274829807180932</v>
      </c>
      <c r="E691" s="7">
        <f t="shared" ca="1" si="42"/>
        <v>0.37834178298881571</v>
      </c>
      <c r="F691" s="7">
        <f t="shared" ca="1" si="43"/>
        <v>1.8698756037374718E-2</v>
      </c>
      <c r="G691" s="7">
        <f ca="1">$C$11/(1+D691)^1
 +$D$11/(1+D691)^2
 +$E$11/(1+D691)^3
 +$F$11/(1+D691)^4
 +$G$11/(1+D691)^5
 +$H$11/(1+D691)^6
 +$I$11/(1+D691)^7
 + ( $I$11*(1+F691)/(D691-F691) )/(1+D691)^7</f>
        <v>316.59748714282244</v>
      </c>
      <c r="H691" s="7">
        <f ca="1">(G691-$C$8)/$C$9</f>
        <v>1.7250536360403801</v>
      </c>
    </row>
    <row r="692" spans="3:8" x14ac:dyDescent="0.35">
      <c r="C692" s="8">
        <f t="shared" ca="1" si="40"/>
        <v>0.16866650342859291</v>
      </c>
      <c r="D692" s="7">
        <f t="shared" ca="1" si="41"/>
        <v>8.1760379790272342E-2</v>
      </c>
      <c r="E692" s="7">
        <f t="shared" ca="1" si="42"/>
        <v>0.45914992292461754</v>
      </c>
      <c r="F692" s="7">
        <f t="shared" ca="1" si="43"/>
        <v>1.9582796282136206E-2</v>
      </c>
      <c r="G692" s="7">
        <f ca="1">$C$11/(1+D692)^1
 +$D$11/(1+D692)^2
 +$E$11/(1+D692)^3
 +$F$11/(1+D692)^4
 +$G$11/(1+D692)^5
 +$H$11/(1+D692)^6
 +$I$11/(1+D692)^7
 + ( $I$11*(1+F692)/(D692-F692) )/(1+D692)^7</f>
        <v>431.89131401518068</v>
      </c>
      <c r="H692" s="7">
        <f ca="1">(G692-$C$8)/$C$9</f>
        <v>2.3768731004928805</v>
      </c>
    </row>
    <row r="693" spans="3:8" x14ac:dyDescent="0.35">
      <c r="C693" s="8">
        <f t="shared" ca="1" si="40"/>
        <v>3.782403194841899E-2</v>
      </c>
      <c r="D693" s="7">
        <f t="shared" ca="1" si="41"/>
        <v>7.5569174642413695E-2</v>
      </c>
      <c r="E693" s="7">
        <f t="shared" ca="1" si="42"/>
        <v>0.62788981601357896</v>
      </c>
      <c r="F693" s="7">
        <f t="shared" ca="1" si="43"/>
        <v>2.1373179218432542E-2</v>
      </c>
      <c r="G693" s="7">
        <f ca="1">$C$11/(1+D693)^1
 +$D$11/(1+D693)^2
 +$E$11/(1+D693)^3
 +$F$11/(1+D693)^4
 +$G$11/(1+D693)^5
 +$H$11/(1+D693)^6
 +$I$11/(1+D693)^7
 + ( $I$11*(1+F693)/(D693-F693) )/(1+D693)^7</f>
        <v>493.58048109577931</v>
      </c>
      <c r="H693" s="7">
        <f ca="1">(G693-$C$8)/$C$9</f>
        <v>2.7256359175473728</v>
      </c>
    </row>
    <row r="694" spans="3:8" x14ac:dyDescent="0.35">
      <c r="C694" s="8">
        <f t="shared" ca="1" si="40"/>
        <v>2.8353607989574536E-2</v>
      </c>
      <c r="D694" s="7">
        <f t="shared" ca="1" si="41"/>
        <v>7.4821821082480269E-2</v>
      </c>
      <c r="E694" s="7">
        <f t="shared" ca="1" si="42"/>
        <v>0.82555432038758081</v>
      </c>
      <c r="F694" s="7">
        <f t="shared" ca="1" si="43"/>
        <v>2.4093297373112148E-2</v>
      </c>
      <c r="G694" s="7">
        <f ca="1">$C$11/(1+D694)^1
 +$D$11/(1+D694)^2
 +$E$11/(1+D694)^3
 +$F$11/(1+D694)^4
 +$G$11/(1+D694)^5
 +$H$11/(1+D694)^6
 +$I$11/(1+D694)^7
 + ( $I$11*(1+F694)/(D694-F694) )/(1+D694)^7</f>
        <v>521.24677339109837</v>
      </c>
      <c r="H694" s="7">
        <f ca="1">(G694-$C$8)/$C$9</f>
        <v>2.8820486962409451</v>
      </c>
    </row>
    <row r="695" spans="3:8" x14ac:dyDescent="0.35">
      <c r="C695" s="8">
        <f t="shared" ca="1" si="40"/>
        <v>0.82535086978129324</v>
      </c>
      <c r="D695" s="7">
        <f t="shared" ca="1" si="41"/>
        <v>9.8328396786619615E-2</v>
      </c>
      <c r="E695" s="7">
        <f t="shared" ca="1" si="42"/>
        <v>0.67258547726207729</v>
      </c>
      <c r="F695" s="7">
        <f t="shared" ca="1" si="43"/>
        <v>2.1907849201381346E-2</v>
      </c>
      <c r="G695" s="7">
        <f ca="1">$C$11/(1+D695)^1
 +$D$11/(1+D695)^2
 +$E$11/(1+D695)^3
 +$F$11/(1+D695)^4
 +$G$11/(1+D695)^5
 +$H$11/(1+D695)^6
 +$I$11/(1+D695)^7
 + ( $I$11*(1+F695)/(D695-F695) )/(1+D695)^7</f>
        <v>344.52855561557192</v>
      </c>
      <c r="H695" s="7">
        <f ca="1">(G695-$C$8)/$C$9</f>
        <v>1.8829633402056303</v>
      </c>
    </row>
    <row r="696" spans="3:8" x14ac:dyDescent="0.35">
      <c r="C696" s="8">
        <f t="shared" ca="1" si="40"/>
        <v>0.29840693607929336</v>
      </c>
      <c r="D696" s="7">
        <f t="shared" ca="1" si="41"/>
        <v>8.5642687991039801E-2</v>
      </c>
      <c r="E696" s="7">
        <f t="shared" ca="1" si="42"/>
        <v>0.55325052202462865</v>
      </c>
      <c r="F696" s="7">
        <f t="shared" ca="1" si="43"/>
        <v>2.054749262919757E-2</v>
      </c>
      <c r="G696" s="7">
        <f ca="1">$C$11/(1+D696)^1
 +$D$11/(1+D696)^2
 +$E$11/(1+D696)^3
 +$F$11/(1+D696)^4
 +$G$11/(1+D696)^5
 +$H$11/(1+D696)^6
 +$I$11/(1+D696)^7
 + ( $I$11*(1+F696)/(D696-F696) )/(1+D696)^7</f>
        <v>409.84377377703913</v>
      </c>
      <c r="H696" s="7">
        <f ca="1">(G696-$C$8)/$C$9</f>
        <v>2.2522262199063721</v>
      </c>
    </row>
    <row r="697" spans="3:8" x14ac:dyDescent="0.35">
      <c r="C697" s="8">
        <f t="shared" ca="1" si="40"/>
        <v>0.35408166659579854</v>
      </c>
      <c r="D697" s="7">
        <f t="shared" ca="1" si="41"/>
        <v>8.7039570611038147E-2</v>
      </c>
      <c r="E697" s="7">
        <f t="shared" ca="1" si="42"/>
        <v>8.9416650790272612E-2</v>
      </c>
      <c r="F697" s="7">
        <f t="shared" ca="1" si="43"/>
        <v>1.4228868661717284E-2</v>
      </c>
      <c r="G697" s="7">
        <f ca="1">$C$11/(1+D697)^1
 +$D$11/(1+D697)^2
 +$E$11/(1+D697)^3
 +$F$11/(1+D697)^4
 +$G$11/(1+D697)^5
 +$H$11/(1+D697)^6
 +$I$11/(1+D697)^7
 + ( $I$11*(1+F697)/(D697-F697) )/(1+D697)^7</f>
        <v>375.93542988035938</v>
      </c>
      <c r="H697" s="7">
        <f ca="1">(G697-$C$8)/$C$9</f>
        <v>2.0605236876999058</v>
      </c>
    </row>
    <row r="698" spans="3:8" x14ac:dyDescent="0.35">
      <c r="C698" s="8">
        <f t="shared" ca="1" si="40"/>
        <v>0.36096323186543233</v>
      </c>
      <c r="D698" s="7">
        <f t="shared" ca="1" si="41"/>
        <v>8.7204355556941227E-2</v>
      </c>
      <c r="E698" s="7">
        <f t="shared" ca="1" si="42"/>
        <v>0.64371976180230728</v>
      </c>
      <c r="F698" s="7">
        <f t="shared" ca="1" si="43"/>
        <v>2.1558670268284827E-2</v>
      </c>
      <c r="G698" s="7">
        <f ca="1">$C$11/(1+D698)^1
 +$D$11/(1+D698)^2
 +$E$11/(1+D698)^3
 +$F$11/(1+D698)^4
 +$G$11/(1+D698)^5
 +$H$11/(1+D698)^6
 +$I$11/(1+D698)^7
 + ( $I$11*(1+F698)/(D698-F698) )/(1+D698)^7</f>
        <v>404.27563797828293</v>
      </c>
      <c r="H698" s="7">
        <f ca="1">(G698-$C$8)/$C$9</f>
        <v>2.2207464833688539</v>
      </c>
    </row>
    <row r="699" spans="3:8" x14ac:dyDescent="0.35">
      <c r="C699" s="8">
        <f t="shared" ca="1" si="40"/>
        <v>0.31850908907097186</v>
      </c>
      <c r="D699" s="7">
        <f t="shared" ca="1" si="41"/>
        <v>8.6160985521873262E-2</v>
      </c>
      <c r="E699" s="7">
        <f t="shared" ca="1" si="42"/>
        <v>0.83754443204564477</v>
      </c>
      <c r="F699" s="7">
        <f t="shared" ca="1" si="43"/>
        <v>2.4299902317427267E-2</v>
      </c>
      <c r="G699" s="7">
        <f ca="1">$C$11/(1+D699)^1
 +$D$11/(1+D699)^2
 +$E$11/(1+D699)^3
 +$F$11/(1+D699)^4
 +$G$11/(1+D699)^5
 +$H$11/(1+D699)^6
 +$I$11/(1+D699)^7
 + ( $I$11*(1+F699)/(D699-F699) )/(1+D699)^7</f>
        <v>424.24128846180315</v>
      </c>
      <c r="H699" s="7">
        <f ca="1">(G699-$C$8)/$C$9</f>
        <v>2.3336232952385974</v>
      </c>
    </row>
    <row r="700" spans="3:8" x14ac:dyDescent="0.35">
      <c r="C700" s="8">
        <f t="shared" ca="1" si="40"/>
        <v>0.3631634010868966</v>
      </c>
      <c r="D700" s="7">
        <f t="shared" ca="1" si="41"/>
        <v>8.7256708518464787E-2</v>
      </c>
      <c r="E700" s="7">
        <f t="shared" ca="1" si="42"/>
        <v>0.59895766389280403</v>
      </c>
      <c r="F700" s="7">
        <f t="shared" ca="1" si="43"/>
        <v>2.1044082000071729E-2</v>
      </c>
      <c r="G700" s="7">
        <f ca="1">$C$11/(1+D700)^1
 +$D$11/(1+D700)^2
 +$E$11/(1+D700)^3
 +$F$11/(1+D700)^4
 +$G$11/(1+D700)^5
 +$H$11/(1+D700)^6
 +$I$11/(1+D700)^7
 + ( $I$11*(1+F700)/(D700-F700) )/(1+D700)^7</f>
        <v>401.68156730498521</v>
      </c>
      <c r="H700" s="7">
        <f ca="1">(G700-$C$8)/$C$9</f>
        <v>2.2060807739992376</v>
      </c>
    </row>
    <row r="701" spans="3:8" x14ac:dyDescent="0.35">
      <c r="C701" s="8">
        <f t="shared" ca="1" si="40"/>
        <v>0.78255944942541411</v>
      </c>
      <c r="D701" s="7">
        <f t="shared" ca="1" si="41"/>
        <v>9.6976804176847495E-2</v>
      </c>
      <c r="E701" s="7">
        <f t="shared" ca="1" si="42"/>
        <v>0.35981930817889429</v>
      </c>
      <c r="F701" s="7">
        <f t="shared" ca="1" si="43"/>
        <v>1.8483151633430756E-2</v>
      </c>
      <c r="G701" s="7">
        <f ca="1">$C$11/(1+D701)^1
 +$D$11/(1+D701)^2
 +$E$11/(1+D701)^3
 +$F$11/(1+D701)^4
 +$G$11/(1+D701)^5
 +$H$11/(1+D701)^6
 +$I$11/(1+D701)^7
 + ( $I$11*(1+F701)/(D701-F701) )/(1+D701)^7</f>
        <v>340.47819132034363</v>
      </c>
      <c r="H701" s="7">
        <f ca="1">(G701-$C$8)/$C$9</f>
        <v>1.8600644014040231</v>
      </c>
    </row>
    <row r="702" spans="3:8" x14ac:dyDescent="0.35">
      <c r="C702" s="8">
        <f t="shared" ca="1" si="40"/>
        <v>0.37806109115639175</v>
      </c>
      <c r="D702" s="7">
        <f t="shared" ca="1" si="41"/>
        <v>8.760710353091164E-2</v>
      </c>
      <c r="E702" s="7">
        <f t="shared" ca="1" si="42"/>
        <v>0.29925622262536067</v>
      </c>
      <c r="F702" s="7">
        <f t="shared" ca="1" si="43"/>
        <v>1.7736358608872273E-2</v>
      </c>
      <c r="G702" s="7">
        <f ca="1">$C$11/(1+D702)^1
 +$D$11/(1+D702)^2
 +$E$11/(1+D702)^3
 +$F$11/(1+D702)^4
 +$G$11/(1+D702)^5
 +$H$11/(1+D702)^6
 +$I$11/(1+D702)^7
 + ( $I$11*(1+F702)/(D702-F702) )/(1+D702)^7</f>
        <v>385.92569229811164</v>
      </c>
      <c r="H702" s="7">
        <f ca="1">(G702-$C$8)/$C$9</f>
        <v>2.1170041400843038</v>
      </c>
    </row>
    <row r="703" spans="3:8" x14ac:dyDescent="0.35">
      <c r="C703" s="8">
        <f t="shared" ca="1" si="40"/>
        <v>0.29044065116733364</v>
      </c>
      <c r="D703" s="7">
        <f t="shared" ca="1" si="41"/>
        <v>8.5432476598304427E-2</v>
      </c>
      <c r="E703" s="7">
        <f t="shared" ca="1" si="42"/>
        <v>0.79050140929922386</v>
      </c>
      <c r="F703" s="7">
        <f t="shared" ca="1" si="43"/>
        <v>2.3527000838857212E-2</v>
      </c>
      <c r="G703" s="7">
        <f ca="1">$C$11/(1+D703)^1
 +$D$11/(1+D703)^2
 +$E$11/(1+D703)^3
 +$F$11/(1+D703)^4
 +$G$11/(1+D703)^5
 +$H$11/(1+D703)^6
 +$I$11/(1+D703)^7
 + ( $I$11*(1+F703)/(D703-F703) )/(1+D703)^7</f>
        <v>425.53492360561643</v>
      </c>
      <c r="H703" s="7">
        <f ca="1">(G703-$C$8)/$C$9</f>
        <v>2.340936926761739</v>
      </c>
    </row>
    <row r="704" spans="3:8" x14ac:dyDescent="0.35">
      <c r="C704" s="8">
        <f t="shared" ca="1" si="40"/>
        <v>0.45888490593236331</v>
      </c>
      <c r="D704" s="7">
        <f t="shared" ca="1" si="41"/>
        <v>8.9398082968802306E-2</v>
      </c>
      <c r="E704" s="7">
        <f t="shared" ca="1" si="42"/>
        <v>0.20364124040859033</v>
      </c>
      <c r="F704" s="7">
        <f t="shared" ca="1" si="43"/>
        <v>1.638186869825117E-2</v>
      </c>
      <c r="G704" s="7">
        <f ca="1">$C$11/(1+D704)^1
 +$D$11/(1+D704)^2
 +$E$11/(1+D704)^3
 +$F$11/(1+D704)^4
 +$G$11/(1+D704)^5
 +$H$11/(1+D704)^6
 +$I$11/(1+D704)^7
 + ( $I$11*(1+F704)/(D704-F704) )/(1+D704)^7</f>
        <v>370.96705021356172</v>
      </c>
      <c r="H704" s="7">
        <f ca="1">(G704-$C$8)/$C$9</f>
        <v>2.032434702699919</v>
      </c>
    </row>
    <row r="705" spans="3:8" x14ac:dyDescent="0.35">
      <c r="C705" s="8">
        <f t="shared" ca="1" si="40"/>
        <v>0.26010378066908113</v>
      </c>
      <c r="D705" s="7">
        <f t="shared" ca="1" si="41"/>
        <v>8.4604283623260904E-2</v>
      </c>
      <c r="E705" s="7">
        <f t="shared" ca="1" si="42"/>
        <v>0.53302356186317446</v>
      </c>
      <c r="F705" s="7">
        <f t="shared" ca="1" si="43"/>
        <v>2.0335876261793565E-2</v>
      </c>
      <c r="G705" s="7">
        <f ca="1">$C$11/(1+D705)^1
 +$D$11/(1+D705)^2
 +$E$11/(1+D705)^3
 +$F$11/(1+D705)^4
 +$G$11/(1+D705)^5
 +$H$11/(1+D705)^6
 +$I$11/(1+D705)^7
 + ( $I$11*(1+F705)/(D705-F705) )/(1+D705)^7</f>
        <v>415.75654807820553</v>
      </c>
      <c r="H705" s="7">
        <f ca="1">(G705-$C$8)/$C$9</f>
        <v>2.2856543875972721</v>
      </c>
    </row>
    <row r="706" spans="3:8" x14ac:dyDescent="0.35">
      <c r="C706" s="8">
        <f t="shared" ca="1" si="40"/>
        <v>0.42136470589098851</v>
      </c>
      <c r="D706" s="7">
        <f t="shared" ca="1" si="41"/>
        <v>8.8588142963475683E-2</v>
      </c>
      <c r="E706" s="7">
        <f t="shared" ca="1" si="42"/>
        <v>0.27836920214652627</v>
      </c>
      <c r="F706" s="7">
        <f t="shared" ca="1" si="43"/>
        <v>1.7461490496496344E-2</v>
      </c>
      <c r="G706" s="7">
        <f ca="1">$C$11/(1+D706)^1
 +$D$11/(1+D706)^2
 +$E$11/(1+D706)^3
 +$F$11/(1+D706)^4
 +$G$11/(1+D706)^5
 +$H$11/(1+D706)^6
 +$I$11/(1+D706)^7
 + ( $I$11*(1+F706)/(D706-F706) )/(1+D706)^7</f>
        <v>379.31059344976427</v>
      </c>
      <c r="H706" s="7">
        <f ca="1">(G706-$C$8)/$C$9</f>
        <v>2.0796053451479208</v>
      </c>
    </row>
    <row r="707" spans="3:8" x14ac:dyDescent="0.35">
      <c r="C707" s="8">
        <f t="shared" ca="1" si="40"/>
        <v>0.99847187405070592</v>
      </c>
      <c r="D707" s="7">
        <f t="shared" ca="1" si="41"/>
        <v>0.10890824075893567</v>
      </c>
      <c r="E707" s="7">
        <f t="shared" ca="1" si="42"/>
        <v>0.60193884433201106</v>
      </c>
      <c r="F707" s="7">
        <f t="shared" ca="1" si="43"/>
        <v>2.1077431360107236E-2</v>
      </c>
      <c r="G707" s="7">
        <f ca="1">$C$11/(1+D707)^1
 +$D$11/(1+D707)^2
 +$E$11/(1+D707)^3
 +$F$11/(1+D707)^4
 +$G$11/(1+D707)^5
 +$H$11/(1+D707)^6
 +$I$11/(1+D707)^7
 + ( $I$11*(1+F707)/(D707-F707) )/(1+D707)^7</f>
        <v>299.01536118575939</v>
      </c>
      <c r="H707" s="7">
        <f ca="1">(G707-$C$8)/$C$9</f>
        <v>1.6256522002813172</v>
      </c>
    </row>
    <row r="708" spans="3:8" x14ac:dyDescent="0.35">
      <c r="C708" s="8">
        <f t="shared" ca="1" si="40"/>
        <v>0.23331527948183817</v>
      </c>
      <c r="D708" s="7">
        <f t="shared" ca="1" si="41"/>
        <v>8.3831794141582192E-2</v>
      </c>
      <c r="E708" s="7">
        <f t="shared" ca="1" si="42"/>
        <v>0.23277333678721568</v>
      </c>
      <c r="F708" s="7">
        <f t="shared" ca="1" si="43"/>
        <v>1.6823098076199926E-2</v>
      </c>
      <c r="G708" s="7">
        <f ca="1">$C$11/(1+D708)^1
 +$D$11/(1+D708)^2
 +$E$11/(1+D708)^3
 +$F$11/(1+D708)^4
 +$G$11/(1+D708)^5
 +$H$11/(1+D708)^6
 +$I$11/(1+D708)^7
 + ( $I$11*(1+F708)/(D708-F708) )/(1+D708)^7</f>
        <v>404.94592769323651</v>
      </c>
      <c r="H708" s="7">
        <f ca="1">(G708-$C$8)/$C$9</f>
        <v>2.2245360000748331</v>
      </c>
    </row>
    <row r="709" spans="3:8" x14ac:dyDescent="0.35">
      <c r="C709" s="8">
        <f t="shared" ca="1" si="40"/>
        <v>0.15179253894278943</v>
      </c>
      <c r="D709" s="7">
        <f t="shared" ca="1" si="41"/>
        <v>8.1156607097728567E-2</v>
      </c>
      <c r="E709" s="7">
        <f t="shared" ca="1" si="42"/>
        <v>0.41182472172785956</v>
      </c>
      <c r="F709" s="7">
        <f t="shared" ca="1" si="43"/>
        <v>1.907551344804094E-2</v>
      </c>
      <c r="G709" s="7">
        <f ca="1">$C$11/(1+D709)^1
 +$D$11/(1+D709)^2
 +$E$11/(1+D709)^3
 +$F$11/(1+D709)^4
 +$G$11/(1+D709)^5
 +$H$11/(1+D709)^6
 +$I$11/(1+D709)^7
 + ( $I$11*(1+F709)/(D709-F709) )/(1+D709)^7</f>
        <v>433.67138210791245</v>
      </c>
      <c r="H709" s="7">
        <f ca="1">(G709-$C$8)/$C$9</f>
        <v>2.3869368052233857</v>
      </c>
    </row>
    <row r="710" spans="3:8" x14ac:dyDescent="0.35">
      <c r="C710" s="8">
        <f t="shared" ca="1" si="40"/>
        <v>0.33760022976664572</v>
      </c>
      <c r="D710" s="7">
        <f t="shared" ca="1" si="41"/>
        <v>8.6638274802654555E-2</v>
      </c>
      <c r="E710" s="7">
        <f t="shared" ca="1" si="42"/>
        <v>0.83807109879167963</v>
      </c>
      <c r="F710" s="7">
        <f t="shared" ca="1" si="43"/>
        <v>2.4309149427224074E-2</v>
      </c>
      <c r="G710" s="7">
        <f ca="1">$C$11/(1+D710)^1
 +$D$11/(1+D710)^2
 +$E$11/(1+D710)^3
 +$F$11/(1+D710)^4
 +$G$11/(1+D710)^5
 +$H$11/(1+D710)^6
 +$I$11/(1+D710)^7
 + ( $I$11*(1+F710)/(D710-F710) )/(1+D710)^7</f>
        <v>420.92462531913202</v>
      </c>
      <c r="H710" s="7">
        <f ca="1">(G710-$C$8)/$C$9</f>
        <v>2.3148723729032792</v>
      </c>
    </row>
    <row r="711" spans="3:8" x14ac:dyDescent="0.35">
      <c r="C711" s="8">
        <f t="shared" ca="1" si="40"/>
        <v>0.86105805719619399</v>
      </c>
      <c r="D711" s="7">
        <f t="shared" ca="1" si="41"/>
        <v>9.9589682262919699E-2</v>
      </c>
      <c r="E711" s="7">
        <f t="shared" ca="1" si="42"/>
        <v>0.8975255041498994</v>
      </c>
      <c r="F711" s="7">
        <f t="shared" ca="1" si="43"/>
        <v>2.5472870758414323E-2</v>
      </c>
      <c r="G711" s="7">
        <f ca="1">$C$11/(1+D711)^1
 +$D$11/(1+D711)^2
 +$E$11/(1+D711)^3
 +$F$11/(1+D711)^4
 +$G$11/(1+D711)^5
 +$H$11/(1+D711)^6
 +$I$11/(1+D711)^7
 + ( $I$11*(1+F711)/(D711-F711) )/(1+D711)^7</f>
        <v>349.7449607038161</v>
      </c>
      <c r="H711" s="7">
        <f ca="1">(G711-$C$8)/$C$9</f>
        <v>1.9124545494336052</v>
      </c>
    </row>
    <row r="712" spans="3:8" x14ac:dyDescent="0.35">
      <c r="C712" s="8">
        <f t="shared" ca="1" si="40"/>
        <v>0.50803587999299082</v>
      </c>
      <c r="D712" s="7">
        <f t="shared" ca="1" si="41"/>
        <v>9.0410522325365728E-2</v>
      </c>
      <c r="E712" s="7">
        <f t="shared" ca="1" si="42"/>
        <v>0.80406965951376363</v>
      </c>
      <c r="F712" s="7">
        <f t="shared" ca="1" si="43"/>
        <v>2.3740122357645697E-2</v>
      </c>
      <c r="G712" s="7">
        <f ca="1">$C$11/(1+D712)^1
 +$D$11/(1+D712)^2
 +$E$11/(1+D712)^3
 +$F$11/(1+D712)^4
 +$G$11/(1+D712)^5
 +$H$11/(1+D712)^6
 +$I$11/(1+D712)^7
 + ( $I$11*(1+F712)/(D712-F712) )/(1+D712)^7</f>
        <v>393.63796410385351</v>
      </c>
      <c r="H712" s="7">
        <f ca="1">(G712-$C$8)/$C$9</f>
        <v>2.1606058576653862</v>
      </c>
    </row>
    <row r="713" spans="3:8" x14ac:dyDescent="0.35">
      <c r="C713" s="8">
        <f t="shared" ca="1" si="40"/>
        <v>0.71067333569124957</v>
      </c>
      <c r="D713" s="7">
        <f t="shared" ca="1" si="41"/>
        <v>9.4977523567639541E-2</v>
      </c>
      <c r="E713" s="7">
        <f t="shared" ca="1" si="42"/>
        <v>0.5519717071381669</v>
      </c>
      <c r="F713" s="7">
        <f t="shared" ca="1" si="43"/>
        <v>2.0533973453852633E-2</v>
      </c>
      <c r="G713" s="7">
        <f ca="1">$C$11/(1+D713)^1
 +$D$11/(1+D713)^2
 +$E$11/(1+D713)^3
 +$F$11/(1+D713)^4
 +$G$11/(1+D713)^5
 +$H$11/(1+D713)^6
 +$I$11/(1+D713)^7
 + ( $I$11*(1+F713)/(D713-F713) )/(1+D713)^7</f>
        <v>356.39461274686045</v>
      </c>
      <c r="H713" s="7">
        <f ca="1">(G713-$C$8)/$C$9</f>
        <v>1.9500486925987135</v>
      </c>
    </row>
    <row r="714" spans="3:8" x14ac:dyDescent="0.35">
      <c r="C714" s="8">
        <f t="shared" ca="1" si="40"/>
        <v>0.82167693002814257</v>
      </c>
      <c r="D714" s="7">
        <f t="shared" ca="1" si="41"/>
        <v>9.8206273083624118E-2</v>
      </c>
      <c r="E714" s="7">
        <f t="shared" ca="1" si="42"/>
        <v>0.28863360997825604</v>
      </c>
      <c r="F714" s="7">
        <f t="shared" ca="1" si="43"/>
        <v>1.7597810342174329E-2</v>
      </c>
      <c r="G714" s="7">
        <f ca="1">$C$11/(1+D714)^1
 +$D$11/(1+D714)^2
 +$E$11/(1+D714)^3
 +$F$11/(1+D714)^4
 +$G$11/(1+D714)^5
 +$H$11/(1+D714)^6
 +$I$11/(1+D714)^7
 + ( $I$11*(1+F714)/(D714-F714) )/(1+D714)^7</f>
        <v>332.50070742935588</v>
      </c>
      <c r="H714" s="7">
        <f ca="1">(G714-$C$8)/$C$9</f>
        <v>1.8149632939244451</v>
      </c>
    </row>
    <row r="715" spans="3:8" x14ac:dyDescent="0.35">
      <c r="C715" s="8">
        <f t="shared" ca="1" si="40"/>
        <v>0.99913462316855817</v>
      </c>
      <c r="D715" s="7">
        <f t="shared" ca="1" si="41"/>
        <v>0.10917841985873281</v>
      </c>
      <c r="E715" s="7">
        <f t="shared" ca="1" si="42"/>
        <v>0.97881503349933074</v>
      </c>
      <c r="F715" s="7">
        <f t="shared" ca="1" si="43"/>
        <v>2.7941604192548514E-2</v>
      </c>
      <c r="G715" s="7">
        <f ca="1">$C$11/(1+D715)^1
 +$D$11/(1+D715)^2
 +$E$11/(1+D715)^3
 +$F$11/(1+D715)^4
 +$G$11/(1+D715)^5
 +$H$11/(1+D715)^6
 +$I$11/(1+D715)^7
 + ( $I$11*(1+F715)/(D715-F715) )/(1+D715)^7</f>
        <v>314.303643497557</v>
      </c>
      <c r="H715" s="7">
        <f ca="1">(G715-$C$8)/$C$9</f>
        <v>1.7120852753140943</v>
      </c>
    </row>
    <row r="716" spans="3:8" x14ac:dyDescent="0.35">
      <c r="C716" s="8">
        <f t="shared" ca="1" si="40"/>
        <v>0.2854050460416907</v>
      </c>
      <c r="D716" s="7">
        <f t="shared" ca="1" si="41"/>
        <v>8.529810896007041E-2</v>
      </c>
      <c r="E716" s="7">
        <f t="shared" ca="1" si="42"/>
        <v>0.96134381073008135</v>
      </c>
      <c r="F716" s="7">
        <f t="shared" ca="1" si="43"/>
        <v>2.7219489641453619E-2</v>
      </c>
      <c r="G716" s="7">
        <f ca="1">$C$11/(1+D716)^1
 +$D$11/(1+D716)^2
 +$E$11/(1+D716)^3
 +$F$11/(1+D716)^4
 +$G$11/(1+D716)^5
 +$H$11/(1+D716)^6
 +$I$11/(1+D716)^7
 + ( $I$11*(1+F716)/(D716-F716) )/(1+D716)^7</f>
        <v>446.36488336845809</v>
      </c>
      <c r="H716" s="7">
        <f ca="1">(G716-$C$8)/$C$9</f>
        <v>2.458700154728958</v>
      </c>
    </row>
    <row r="717" spans="3:8" x14ac:dyDescent="0.35">
      <c r="C717" s="8">
        <f t="shared" ca="1" si="40"/>
        <v>0.44460908822752498</v>
      </c>
      <c r="D717" s="7">
        <f t="shared" ca="1" si="41"/>
        <v>8.9093963767289661E-2</v>
      </c>
      <c r="E717" s="7">
        <f t="shared" ca="1" si="42"/>
        <v>0.64950481453025877</v>
      </c>
      <c r="F717" s="7">
        <f t="shared" ca="1" si="43"/>
        <v>2.1627483228207407E-2</v>
      </c>
      <c r="G717" s="7">
        <f ca="1">$C$11/(1+D717)^1
 +$D$11/(1+D717)^2
 +$E$11/(1+D717)^3
 +$F$11/(1+D717)^4
 +$G$11/(1+D717)^5
 +$H$11/(1+D717)^6
 +$I$11/(1+D717)^7
 + ( $I$11*(1+F717)/(D717-F717) )/(1+D717)^7</f>
        <v>392.80859398371774</v>
      </c>
      <c r="H717" s="7">
        <f ca="1">(G717-$C$8)/$C$9</f>
        <v>2.1559169718663371</v>
      </c>
    </row>
    <row r="718" spans="3:8" x14ac:dyDescent="0.35">
      <c r="C718" s="8">
        <f t="shared" ca="1" si="40"/>
        <v>0.48805795605288238</v>
      </c>
      <c r="D718" s="7">
        <f t="shared" ca="1" si="41"/>
        <v>9.000518742634929E-2</v>
      </c>
      <c r="E718" s="7">
        <f t="shared" ca="1" si="42"/>
        <v>0.46613118629095274</v>
      </c>
      <c r="F718" s="7">
        <f t="shared" ca="1" si="43"/>
        <v>1.9655373491387608E-2</v>
      </c>
      <c r="G718" s="7">
        <f ca="1">$C$11/(1+D718)^1
 +$D$11/(1+D718)^2
 +$E$11/(1+D718)^3
 +$F$11/(1+D718)^4
 +$G$11/(1+D718)^5
 +$H$11/(1+D718)^6
 +$I$11/(1+D718)^7
 + ( $I$11*(1+F718)/(D718-F718) )/(1+D718)^7</f>
        <v>379.65322194685132</v>
      </c>
      <c r="H718" s="7">
        <f ca="1">(G718-$C$8)/$C$9</f>
        <v>2.0815424126348447</v>
      </c>
    </row>
    <row r="719" spans="3:8" x14ac:dyDescent="0.35">
      <c r="C719" s="8">
        <f t="shared" ca="1" si="40"/>
        <v>0.61342997400872279</v>
      </c>
      <c r="D719" s="7">
        <f t="shared" ca="1" si="41"/>
        <v>9.2635535704399169E-2</v>
      </c>
      <c r="E719" s="7">
        <f t="shared" ca="1" si="42"/>
        <v>0.11728096999758764</v>
      </c>
      <c r="F719" s="7">
        <f t="shared" ca="1" si="43"/>
        <v>1.4843159505892566E-2</v>
      </c>
      <c r="G719" s="7">
        <f ca="1">$C$11/(1+D719)^1
 +$D$11/(1+D719)^2
 +$E$11/(1+D719)^3
 +$F$11/(1+D719)^4
 +$G$11/(1+D719)^5
 +$H$11/(1+D719)^6
 +$I$11/(1+D719)^7
 + ( $I$11*(1+F719)/(D719-F719) )/(1+D719)^7</f>
        <v>349.66926255839456</v>
      </c>
      <c r="H719" s="7">
        <f ca="1">(G719-$C$8)/$C$9</f>
        <v>1.9120265861510319</v>
      </c>
    </row>
    <row r="720" spans="3:8" x14ac:dyDescent="0.35">
      <c r="C720" s="8">
        <f t="shared" ca="1" si="40"/>
        <v>0.93692150733481472</v>
      </c>
      <c r="D720" s="7">
        <f t="shared" ca="1" si="41"/>
        <v>0.10298564156327576</v>
      </c>
      <c r="E720" s="7">
        <f t="shared" ca="1" si="42"/>
        <v>0.9705189169595112</v>
      </c>
      <c r="F720" s="7">
        <f t="shared" ca="1" si="43"/>
        <v>2.7571787363491869E-2</v>
      </c>
      <c r="G720" s="7">
        <f ca="1">$C$11/(1+D720)^1
 +$D$11/(1+D720)^2
 +$E$11/(1+D720)^3
 +$F$11/(1+D720)^4
 +$G$11/(1+D720)^5
 +$H$11/(1+D720)^6
 +$I$11/(1+D720)^7
 + ( $I$11*(1+F720)/(D720-F720) )/(1+D720)^7</f>
        <v>340.1209236143103</v>
      </c>
      <c r="H720" s="7">
        <f ca="1">(G720-$C$8)/$C$9</f>
        <v>1.8580445704110713</v>
      </c>
    </row>
    <row r="721" spans="3:8" x14ac:dyDescent="0.35">
      <c r="C721" s="8">
        <f t="shared" ref="C721:C784" ca="1" si="44">RAND()</f>
        <v>9.2980958635242361E-2</v>
      </c>
      <c r="D721" s="7">
        <f t="shared" ref="D721:D784" ca="1" si="45">IF(C721&lt;(0.0905-0.07)/(0.11-0.07),
 0.07+SQRT(C721*(0.11-0.07)*(0.0905-0.07)),
 0.11-SQRT((1-C721)*(0.11-0.07)*(0.11-0.0905))
)</f>
        <v>7.8731803140296902E-2</v>
      </c>
      <c r="E721" s="7">
        <f t="shared" ref="E721:E784" ca="1" si="46">RAND()</f>
        <v>0.33626351171436375</v>
      </c>
      <c r="F721" s="7">
        <f t="shared" ref="F721:F784" ca="1" si="47">MIN(
 IF(E721&lt;(0.02-0.01)/(0.03-0.01),
   0.01+SQRT(E721*(0.03-0.01)*(0.02-0.01)),
   0.03-SQRT((1-E721)*(0.03-0.01)*(0.03-0.02))
 ),
 D721-0.005
)</f>
        <v>1.8200774496526091E-2</v>
      </c>
      <c r="G721" s="7">
        <f ca="1">$C$11/(1+D721)^1
 +$D$11/(1+D721)^2
 +$E$11/(1+D721)^3
 +$F$11/(1+D721)^4
 +$G$11/(1+D721)^5
 +$H$11/(1+D721)^6
 +$I$11/(1+D721)^7
 + ( $I$11*(1+F721)/(D721-F721) )/(1+D721)^7</f>
        <v>447.151714149025</v>
      </c>
      <c r="H721" s="7">
        <f ca="1">(G721-$C$8)/$C$9</f>
        <v>2.4631485422265094</v>
      </c>
    </row>
    <row r="722" spans="3:8" x14ac:dyDescent="0.35">
      <c r="C722" s="8">
        <f t="shared" ca="1" si="44"/>
        <v>5.3110681270861493E-2</v>
      </c>
      <c r="D722" s="7">
        <f t="shared" ca="1" si="45"/>
        <v>7.6599299859993211E-2</v>
      </c>
      <c r="E722" s="7">
        <f t="shared" ca="1" si="46"/>
        <v>0.34441305060265182</v>
      </c>
      <c r="F722" s="7">
        <f t="shared" ca="1" si="47"/>
        <v>1.8299554814598815E-2</v>
      </c>
      <c r="G722" s="7">
        <f ca="1">$C$11/(1+D722)^1
 +$D$11/(1+D722)^2
 +$E$11/(1+D722)^3
 +$F$11/(1+D722)^4
 +$G$11/(1+D722)^5
 +$H$11/(1+D722)^6
 +$I$11/(1+D722)^7
 + ( $I$11*(1+F722)/(D722-F722) )/(1+D722)^7</f>
        <v>464.71878880134153</v>
      </c>
      <c r="H722" s="7">
        <f ca="1">(G722-$C$8)/$C$9</f>
        <v>2.5624648846751557</v>
      </c>
    </row>
    <row r="723" spans="3:8" x14ac:dyDescent="0.35">
      <c r="C723" s="8">
        <f t="shared" ca="1" si="44"/>
        <v>0.17316821165095841</v>
      </c>
      <c r="D723" s="7">
        <f t="shared" ca="1" si="45"/>
        <v>8.1916288581340493E-2</v>
      </c>
      <c r="E723" s="7">
        <f t="shared" ca="1" si="46"/>
        <v>0.17063629771229638</v>
      </c>
      <c r="F723" s="7">
        <f t="shared" ca="1" si="47"/>
        <v>1.5841854118553395E-2</v>
      </c>
      <c r="G723" s="7">
        <f ca="1">$C$11/(1+D723)^1
 +$D$11/(1+D723)^2
 +$E$11/(1+D723)^3
 +$F$11/(1+D723)^4
 +$G$11/(1+D723)^5
 +$H$11/(1+D723)^6
 +$I$11/(1+D723)^7
 + ( $I$11*(1+F723)/(D723-F723) )/(1+D723)^7</f>
        <v>412.9011426848644</v>
      </c>
      <c r="H723" s="7">
        <f ca="1">(G723-$C$8)/$C$9</f>
        <v>2.2695112092088667</v>
      </c>
    </row>
    <row r="724" spans="3:8" x14ac:dyDescent="0.35">
      <c r="C724" s="8">
        <f t="shared" ca="1" si="44"/>
        <v>0.63659708538861515</v>
      </c>
      <c r="D724" s="7">
        <f t="shared" ca="1" si="45"/>
        <v>9.3163899697469132E-2</v>
      </c>
      <c r="E724" s="7">
        <f t="shared" ca="1" si="46"/>
        <v>0.19295642188354767</v>
      </c>
      <c r="F724" s="7">
        <f t="shared" ca="1" si="47"/>
        <v>1.621218837260345E-2</v>
      </c>
      <c r="G724" s="7">
        <f ca="1">$C$11/(1+D724)^1
 +$D$11/(1+D724)^2
 +$E$11/(1+D724)^3
 +$F$11/(1+D724)^4
 +$G$11/(1+D724)^5
 +$H$11/(1+D724)^6
 +$I$11/(1+D724)^7
 + ( $I$11*(1+F724)/(D724-F724) )/(1+D724)^7</f>
        <v>351.3899787820618</v>
      </c>
      <c r="H724" s="7">
        <f ca="1">(G724-$C$8)/$C$9</f>
        <v>1.9217547420966858</v>
      </c>
    </row>
    <row r="725" spans="3:8" x14ac:dyDescent="0.35">
      <c r="C725" s="8">
        <f t="shared" ca="1" si="44"/>
        <v>0.35297445484712964</v>
      </c>
      <c r="D725" s="7">
        <f t="shared" ca="1" si="45"/>
        <v>8.7012908421979063E-2</v>
      </c>
      <c r="E725" s="7">
        <f t="shared" ca="1" si="46"/>
        <v>0.71362001402432962</v>
      </c>
      <c r="F725" s="7">
        <f t="shared" ca="1" si="47"/>
        <v>2.2431909276763785E-2</v>
      </c>
      <c r="G725" s="7">
        <f ca="1">$C$11/(1+D725)^1
 +$D$11/(1+D725)^2
 +$E$11/(1+D725)^3
 +$F$11/(1+D725)^4
 +$G$11/(1+D725)^5
 +$H$11/(1+D725)^6
 +$I$11/(1+D725)^7
 + ( $I$11*(1+F725)/(D725-F725) )/(1+D725)^7</f>
        <v>409.45521011808586</v>
      </c>
      <c r="H725" s="7">
        <f ca="1">(G725-$C$8)/$C$9</f>
        <v>2.2500294556653428</v>
      </c>
    </row>
    <row r="726" spans="3:8" x14ac:dyDescent="0.35">
      <c r="C726" s="8">
        <f t="shared" ca="1" si="44"/>
        <v>1.8135722135247945E-2</v>
      </c>
      <c r="D726" s="7">
        <f t="shared" ca="1" si="45"/>
        <v>7.3856331436858533E-2</v>
      </c>
      <c r="E726" s="7">
        <f t="shared" ca="1" si="46"/>
        <v>0.83863006075627322</v>
      </c>
      <c r="F726" s="7">
        <f t="shared" ca="1" si="47"/>
        <v>2.4318980034470451E-2</v>
      </c>
      <c r="G726" s="7">
        <f ca="1">$C$11/(1+D726)^1
 +$D$11/(1+D726)^2
 +$E$11/(1+D726)^3
 +$F$11/(1+D726)^4
 +$G$11/(1+D726)^5
 +$H$11/(1+D726)^6
 +$I$11/(1+D726)^7
 + ( $I$11*(1+F726)/(D726-F726) )/(1+D726)^7</f>
        <v>533.55082547347979</v>
      </c>
      <c r="H726" s="7">
        <f ca="1">(G726-$C$8)/$C$9</f>
        <v>2.9516102751779725</v>
      </c>
    </row>
    <row r="727" spans="3:8" x14ac:dyDescent="0.35">
      <c r="C727" s="8">
        <f t="shared" ca="1" si="44"/>
        <v>0.67967518895228574</v>
      </c>
      <c r="D727" s="7">
        <f t="shared" ca="1" si="45"/>
        <v>9.419324977684479E-2</v>
      </c>
      <c r="E727" s="7">
        <f t="shared" ca="1" si="46"/>
        <v>0.63922913507946211</v>
      </c>
      <c r="F727" s="7">
        <f t="shared" ca="1" si="47"/>
        <v>2.1505638753613807E-2</v>
      </c>
      <c r="G727" s="7">
        <f ca="1">$C$11/(1+D727)^1
 +$D$11/(1+D727)^2
 +$E$11/(1+D727)^3
 +$F$11/(1+D727)^4
 +$G$11/(1+D727)^5
 +$H$11/(1+D727)^6
 +$I$11/(1+D727)^7
 + ( $I$11*(1+F727)/(D727-F727) )/(1+D727)^7</f>
        <v>363.69230353964872</v>
      </c>
      <c r="H727" s="7">
        <f ca="1">(G727-$C$8)/$C$9</f>
        <v>1.9913065555158791</v>
      </c>
    </row>
    <row r="728" spans="3:8" x14ac:dyDescent="0.35">
      <c r="C728" s="8">
        <f t="shared" ca="1" si="44"/>
        <v>0.52206575848863046</v>
      </c>
      <c r="D728" s="7">
        <f t="shared" ca="1" si="45"/>
        <v>9.0692262991772743E-2</v>
      </c>
      <c r="E728" s="7">
        <f t="shared" ca="1" si="46"/>
        <v>0.57269875271006376</v>
      </c>
      <c r="F728" s="7">
        <f t="shared" ca="1" si="47"/>
        <v>2.0755528708574663E-2</v>
      </c>
      <c r="G728" s="7">
        <f ca="1">$C$11/(1+D728)^1
 +$D$11/(1+D728)^2
 +$E$11/(1+D728)^3
 +$F$11/(1+D728)^4
 +$G$11/(1+D728)^5
 +$H$11/(1+D728)^6
 +$I$11/(1+D728)^7
 + ( $I$11*(1+F728)/(D728-F728) )/(1+D728)^7</f>
        <v>379.97372465522744</v>
      </c>
      <c r="H728" s="7">
        <f ca="1">(G728-$C$8)/$C$9</f>
        <v>2.0833543908594949</v>
      </c>
    </row>
    <row r="729" spans="3:8" x14ac:dyDescent="0.35">
      <c r="C729" s="8">
        <f t="shared" ca="1" si="44"/>
        <v>0.99969589817118432</v>
      </c>
      <c r="D729" s="7">
        <f t="shared" ca="1" si="45"/>
        <v>0.10951296876231988</v>
      </c>
      <c r="E729" s="7">
        <f t="shared" ca="1" si="46"/>
        <v>0.66609122581563229</v>
      </c>
      <c r="F729" s="7">
        <f t="shared" ca="1" si="47"/>
        <v>2.1827989547432435E-2</v>
      </c>
      <c r="G729" s="7">
        <f ca="1">$C$11/(1+D729)^1
 +$D$11/(1+D729)^2
 +$E$11/(1+D729)^3
 +$F$11/(1+D729)^4
 +$G$11/(1+D729)^5
 +$H$11/(1+D729)^6
 +$I$11/(1+D729)^7
 + ( $I$11*(1+F729)/(D729-F729) )/(1+D729)^7</f>
        <v>298.50863484352283</v>
      </c>
      <c r="H729" s="7">
        <f ca="1">(G729-$C$8)/$C$9</f>
        <v>1.6227873973514406</v>
      </c>
    </row>
    <row r="730" spans="3:8" x14ac:dyDescent="0.35">
      <c r="C730" s="8">
        <f t="shared" ca="1" si="44"/>
        <v>6.3152489409313506E-2</v>
      </c>
      <c r="D730" s="7">
        <f t="shared" ca="1" si="45"/>
        <v>7.7196182412615541E-2</v>
      </c>
      <c r="E730" s="7">
        <f t="shared" ca="1" si="46"/>
        <v>0.17989672284427738</v>
      </c>
      <c r="F730" s="7">
        <f t="shared" ca="1" si="47"/>
        <v>1.599827846709833E-2</v>
      </c>
      <c r="G730" s="7">
        <f ca="1">$C$11/(1+D730)^1
 +$D$11/(1+D730)^2
 +$E$11/(1+D730)^3
 +$F$11/(1+D730)^4
 +$G$11/(1+D730)^5
 +$H$11/(1+D730)^6
 +$I$11/(1+D730)^7
 + ( $I$11*(1+F730)/(D730-F730) )/(1+D730)^7</f>
        <v>446.93468975610926</v>
      </c>
      <c r="H730" s="7">
        <f ca="1">(G730-$C$8)/$C$9</f>
        <v>2.4619215838766917</v>
      </c>
    </row>
    <row r="731" spans="3:8" x14ac:dyDescent="0.35">
      <c r="C731" s="8">
        <f t="shared" ca="1" si="44"/>
        <v>0.9725443233851947</v>
      </c>
      <c r="D731" s="7">
        <f t="shared" ca="1" si="45"/>
        <v>0.10537231939741427</v>
      </c>
      <c r="E731" s="7">
        <f t="shared" ca="1" si="46"/>
        <v>0.49910485286627626</v>
      </c>
      <c r="F731" s="7">
        <f t="shared" ca="1" si="47"/>
        <v>1.9991044518630433E-2</v>
      </c>
      <c r="G731" s="7">
        <f ca="1">$C$11/(1+D731)^1
 +$D$11/(1+D731)^2
 +$E$11/(1+D731)^3
 +$F$11/(1+D731)^4
 +$G$11/(1+D731)^5
 +$H$11/(1+D731)^6
 +$I$11/(1+D731)^7
 + ( $I$11*(1+F731)/(D731-F731) )/(1+D731)^7</f>
        <v>309.56038653532698</v>
      </c>
      <c r="H731" s="7">
        <f ca="1">(G731-$C$8)/$C$9</f>
        <v>1.6852690328772442</v>
      </c>
    </row>
    <row r="732" spans="3:8" x14ac:dyDescent="0.35">
      <c r="C732" s="8">
        <f t="shared" ca="1" si="44"/>
        <v>0.56366459508295597</v>
      </c>
      <c r="D732" s="7">
        <f t="shared" ca="1" si="45"/>
        <v>9.1551650051148362E-2</v>
      </c>
      <c r="E732" s="7">
        <f t="shared" ca="1" si="46"/>
        <v>0.70123877314927163</v>
      </c>
      <c r="F732" s="7">
        <f t="shared" ca="1" si="47"/>
        <v>2.2270042343573562E-2</v>
      </c>
      <c r="G732" s="7">
        <f ca="1">$C$11/(1+D732)^1
 +$D$11/(1+D732)^2
 +$E$11/(1+D732)^3
 +$F$11/(1+D732)^4
 +$G$11/(1+D732)^5
 +$H$11/(1+D732)^6
 +$I$11/(1+D732)^7
 + ( $I$11*(1+F732)/(D732-F732) )/(1+D732)^7</f>
        <v>380.92847301835673</v>
      </c>
      <c r="H732" s="7">
        <f ca="1">(G732-$C$8)/$C$9</f>
        <v>2.0887521088780909</v>
      </c>
    </row>
    <row r="733" spans="3:8" x14ac:dyDescent="0.35">
      <c r="C733" s="8">
        <f t="shared" ca="1" si="44"/>
        <v>0.78937703819564109</v>
      </c>
      <c r="D733" s="7">
        <f t="shared" ca="1" si="45"/>
        <v>9.7182593467967093E-2</v>
      </c>
      <c r="E733" s="7">
        <f t="shared" ca="1" si="46"/>
        <v>4.8106057645756484E-2</v>
      </c>
      <c r="F733" s="7">
        <f t="shared" ca="1" si="47"/>
        <v>1.310180778404325E-2</v>
      </c>
      <c r="G733" s="7">
        <f ca="1">$C$11/(1+D733)^1
 +$D$11/(1+D733)^2
 +$E$11/(1+D733)^3
 +$F$11/(1+D733)^4
 +$G$11/(1+D733)^5
 +$H$11/(1+D733)^6
 +$I$11/(1+D733)^7
 + ( $I$11*(1+F733)/(D733-F733) )/(1+D733)^7</f>
        <v>324.83773611288194</v>
      </c>
      <c r="H733" s="7">
        <f ca="1">(G733-$C$8)/$C$9</f>
        <v>1.7716402991456464</v>
      </c>
    </row>
    <row r="734" spans="3:8" x14ac:dyDescent="0.35">
      <c r="C734" s="8">
        <f t="shared" ca="1" si="44"/>
        <v>0.11226898702078258</v>
      </c>
      <c r="D734" s="7">
        <f t="shared" ca="1" si="45"/>
        <v>7.9594819923116941E-2</v>
      </c>
      <c r="E734" s="7">
        <f t="shared" ca="1" si="46"/>
        <v>0.83443286351122836</v>
      </c>
      <c r="F734" s="7">
        <f t="shared" ca="1" si="47"/>
        <v>2.4245573243340885E-2</v>
      </c>
      <c r="G734" s="7">
        <f ca="1">$C$11/(1+D734)^1
 +$D$11/(1+D734)^2
 +$E$11/(1+D734)^3
 +$F$11/(1+D734)^4
 +$G$11/(1+D734)^5
 +$H$11/(1+D734)^6
 +$I$11/(1+D734)^7
 + ( $I$11*(1+F734)/(D734-F734) )/(1+D734)^7</f>
        <v>476.06423421714146</v>
      </c>
      <c r="H734" s="7">
        <f ca="1">(G734-$C$8)/$C$9</f>
        <v>2.6266069324804469</v>
      </c>
    </row>
    <row r="735" spans="3:8" x14ac:dyDescent="0.35">
      <c r="C735" s="8">
        <f t="shared" ca="1" si="44"/>
        <v>0.74995505937261286</v>
      </c>
      <c r="D735" s="7">
        <f t="shared" ca="1" si="45"/>
        <v>9.6034504889214917E-2</v>
      </c>
      <c r="E735" s="7">
        <f t="shared" ca="1" si="46"/>
        <v>0.49514440931609771</v>
      </c>
      <c r="F735" s="7">
        <f t="shared" ca="1" si="47"/>
        <v>1.9951325633463086E-2</v>
      </c>
      <c r="G735" s="7">
        <f ca="1">$C$11/(1+D735)^1
 +$D$11/(1+D735)^2
 +$E$11/(1+D735)^3
 +$F$11/(1+D735)^4
 +$G$11/(1+D735)^5
 +$H$11/(1+D735)^6
 +$I$11/(1+D735)^7
 + ( $I$11*(1+F735)/(D735-F735) )/(1+D735)^7</f>
        <v>349.34092509918696</v>
      </c>
      <c r="H735" s="7">
        <f ca="1">(G735-$C$8)/$C$9</f>
        <v>1.9101703137674522</v>
      </c>
    </row>
    <row r="736" spans="3:8" x14ac:dyDescent="0.35">
      <c r="C736" s="8">
        <f t="shared" ca="1" si="44"/>
        <v>0.80035251063722201</v>
      </c>
      <c r="D736" s="7">
        <f t="shared" ca="1" si="45"/>
        <v>9.75210159987695E-2</v>
      </c>
      <c r="E736" s="7">
        <f t="shared" ca="1" si="46"/>
        <v>2.8574100993896567E-2</v>
      </c>
      <c r="F736" s="7">
        <f t="shared" ca="1" si="47"/>
        <v>1.2390569011507369E-2</v>
      </c>
      <c r="G736" s="7">
        <f ca="1">$C$11/(1+D736)^1
 +$D$11/(1+D736)^2
 +$E$11/(1+D736)^3
 +$F$11/(1+D736)^4
 +$G$11/(1+D736)^5
 +$H$11/(1+D736)^6
 +$I$11/(1+D736)^7
 + ( $I$11*(1+F736)/(D736-F736) )/(1+D736)^7</f>
        <v>321.67676590499627</v>
      </c>
      <c r="H736" s="7">
        <f ca="1">(G736-$C$8)/$C$9</f>
        <v>1.7537695946686809</v>
      </c>
    </row>
    <row r="737" spans="3:8" x14ac:dyDescent="0.35">
      <c r="C737" s="8">
        <f t="shared" ca="1" si="44"/>
        <v>0.53920779572915167</v>
      </c>
      <c r="D737" s="7">
        <f t="shared" ca="1" si="45"/>
        <v>9.1041679416908744E-2</v>
      </c>
      <c r="E737" s="7">
        <f t="shared" ca="1" si="46"/>
        <v>0.9950553739263871</v>
      </c>
      <c r="F737" s="7">
        <f t="shared" ca="1" si="47"/>
        <v>2.9005552809485299E-2</v>
      </c>
      <c r="G737" s="7">
        <f ca="1">$C$11/(1+D737)^1
 +$D$11/(1+D737)^2
 +$E$11/(1+D737)^3
 +$F$11/(1+D737)^4
 +$G$11/(1+D737)^5
 +$H$11/(1+D737)^6
 +$I$11/(1+D737)^7
 + ( $I$11*(1+F737)/(D737-F737) )/(1+D737)^7</f>
        <v>413.3968729695967</v>
      </c>
      <c r="H737" s="7">
        <f ca="1">(G737-$C$8)/$C$9</f>
        <v>2.2723138453731155</v>
      </c>
    </row>
    <row r="738" spans="3:8" x14ac:dyDescent="0.35">
      <c r="C738" s="8">
        <f t="shared" ca="1" si="44"/>
        <v>0.56969097467283947</v>
      </c>
      <c r="D738" s="7">
        <f t="shared" ca="1" si="45"/>
        <v>9.1679491280120373E-2</v>
      </c>
      <c r="E738" s="7">
        <f t="shared" ca="1" si="46"/>
        <v>1.9866076893786722E-2</v>
      </c>
      <c r="F738" s="7">
        <f t="shared" ca="1" si="47"/>
        <v>1.1993292597376849E-2</v>
      </c>
      <c r="G738" s="7">
        <f ca="1">$C$11/(1+D738)^1
 +$D$11/(1+D738)^2
 +$E$11/(1+D738)^3
 +$F$11/(1+D738)^4
 +$G$11/(1+D738)^5
 +$H$11/(1+D738)^6
 +$I$11/(1+D738)^7
 + ( $I$11*(1+F738)/(D738-F738) )/(1+D738)^7</f>
        <v>345.5663528806428</v>
      </c>
      <c r="H738" s="7">
        <f ca="1">(G738-$C$8)/$C$9</f>
        <v>1.888830579379482</v>
      </c>
    </row>
    <row r="739" spans="3:8" x14ac:dyDescent="0.35">
      <c r="C739" s="8">
        <f t="shared" ca="1" si="44"/>
        <v>0.46784673980961711</v>
      </c>
      <c r="D739" s="7">
        <f t="shared" ca="1" si="45"/>
        <v>8.9586585374788683E-2</v>
      </c>
      <c r="E739" s="7">
        <f t="shared" ca="1" si="46"/>
        <v>0.61794940026652601</v>
      </c>
      <c r="F739" s="7">
        <f t="shared" ca="1" si="47"/>
        <v>2.1258711768469434E-2</v>
      </c>
      <c r="G739" s="7">
        <f ca="1">$C$11/(1+D739)^1
 +$D$11/(1+D739)^2
 +$E$11/(1+D739)^3
 +$F$11/(1+D739)^4
 +$G$11/(1+D739)^5
 +$H$11/(1+D739)^6
 +$I$11/(1+D739)^7
 + ( $I$11*(1+F739)/(D739-F739) )/(1+D739)^7</f>
        <v>388.35031789398704</v>
      </c>
      <c r="H739" s="7">
        <f ca="1">(G739-$C$8)/$C$9</f>
        <v>2.1307118831636536</v>
      </c>
    </row>
    <row r="740" spans="3:8" x14ac:dyDescent="0.35">
      <c r="C740" s="8">
        <f t="shared" ca="1" si="44"/>
        <v>0.95872392859479949</v>
      </c>
      <c r="D740" s="7">
        <f t="shared" ca="1" si="45"/>
        <v>0.10432590661902218</v>
      </c>
      <c r="E740" s="7">
        <f t="shared" ca="1" si="46"/>
        <v>0.51847770303481433</v>
      </c>
      <c r="F740" s="7">
        <f t="shared" ca="1" si="47"/>
        <v>2.0186516449647599E-2</v>
      </c>
      <c r="G740" s="7">
        <f ca="1">$C$11/(1+D740)^1
 +$D$11/(1+D740)^2
 +$E$11/(1+D740)^3
 +$F$11/(1+D740)^4
 +$G$11/(1+D740)^5
 +$H$11/(1+D740)^6
 +$I$11/(1+D740)^7
 + ( $I$11*(1+F740)/(D740-F740) )/(1+D740)^7</f>
        <v>314.06820044693018</v>
      </c>
      <c r="H740" s="7">
        <f ca="1">(G740-$C$8)/$C$9</f>
        <v>1.7107541861540601</v>
      </c>
    </row>
    <row r="741" spans="3:8" x14ac:dyDescent="0.35">
      <c r="C741" s="8">
        <f t="shared" ca="1" si="44"/>
        <v>0.88042452955945061</v>
      </c>
      <c r="D741" s="7">
        <f t="shared" ca="1" si="45"/>
        <v>0.10034241919818278</v>
      </c>
      <c r="E741" s="7">
        <f t="shared" ca="1" si="46"/>
        <v>8.9460562326092452E-3</v>
      </c>
      <c r="F741" s="7">
        <f t="shared" ca="1" si="47"/>
        <v>1.1337614012531959E-2</v>
      </c>
      <c r="G741" s="7">
        <f ca="1">$C$11/(1+D741)^1
 +$D$11/(1+D741)^2
 +$E$11/(1+D741)^3
 +$F$11/(1+D741)^4
 +$G$11/(1+D741)^5
 +$H$11/(1+D741)^6
 +$I$11/(1+D741)^7
 + ( $I$11*(1+F741)/(D741-F741) )/(1+D741)^7</f>
        <v>308.38523587784698</v>
      </c>
      <c r="H741" s="7">
        <f ca="1">(G741-$C$8)/$C$9</f>
        <v>1.6786252593727213</v>
      </c>
    </row>
    <row r="742" spans="3:8" x14ac:dyDescent="0.35">
      <c r="C742" s="8">
        <f t="shared" ca="1" si="44"/>
        <v>0.77786578475815293</v>
      </c>
      <c r="D742" s="7">
        <f t="shared" ca="1" si="45"/>
        <v>9.6836995483984639E-2</v>
      </c>
      <c r="E742" s="7">
        <f t="shared" ca="1" si="46"/>
        <v>0.11495469399495883</v>
      </c>
      <c r="F742" s="7">
        <f t="shared" ca="1" si="47"/>
        <v>1.479488673474064E-2</v>
      </c>
      <c r="G742" s="7">
        <f ca="1">$C$11/(1+D742)^1
 +$D$11/(1+D742)^2
 +$E$11/(1+D742)^3
 +$F$11/(1+D742)^4
 +$G$11/(1+D742)^5
 +$H$11/(1+D742)^6
 +$I$11/(1+D742)^7
 + ( $I$11*(1+F742)/(D742-F742) )/(1+D742)^7</f>
        <v>330.71848973524129</v>
      </c>
      <c r="H742" s="7">
        <f ca="1">(G742-$C$8)/$C$9</f>
        <v>1.8048874363141185</v>
      </c>
    </row>
    <row r="743" spans="3:8" x14ac:dyDescent="0.35">
      <c r="C743" s="8">
        <f t="shared" ca="1" si="44"/>
        <v>0.17414953391718235</v>
      </c>
      <c r="D743" s="7">
        <f t="shared" ca="1" si="45"/>
        <v>8.1950004929375111E-2</v>
      </c>
      <c r="E743" s="7">
        <f t="shared" ca="1" si="46"/>
        <v>0.54493053758209187</v>
      </c>
      <c r="F743" s="7">
        <f t="shared" ca="1" si="47"/>
        <v>2.0459879849625495E-2</v>
      </c>
      <c r="G743" s="7">
        <f ca="1">$C$11/(1+D743)^1
 +$D$11/(1+D743)^2
 +$E$11/(1+D743)^3
 +$F$11/(1+D743)^4
 +$G$11/(1+D743)^5
 +$H$11/(1+D743)^6
 +$I$11/(1+D743)^7
 + ( $I$11*(1+F743)/(D743-F743) )/(1+D743)^7</f>
        <v>435.02475055675495</v>
      </c>
      <c r="H743" s="7">
        <f ca="1">(G743-$C$8)/$C$9</f>
        <v>2.3945881419988408</v>
      </c>
    </row>
    <row r="744" spans="3:8" x14ac:dyDescent="0.35">
      <c r="C744" s="8">
        <f t="shared" ca="1" si="44"/>
        <v>0.19890438046879044</v>
      </c>
      <c r="D744" s="7">
        <f t="shared" ca="1" si="45"/>
        <v>8.277112336423105E-2</v>
      </c>
      <c r="E744" s="7">
        <f t="shared" ca="1" si="46"/>
        <v>0.31224392773506504</v>
      </c>
      <c r="F744" s="7">
        <f t="shared" ca="1" si="47"/>
        <v>1.7902454400185615E-2</v>
      </c>
      <c r="G744" s="7">
        <f ca="1">$C$11/(1+D744)^1
 +$D$11/(1+D744)^2
 +$E$11/(1+D744)^3
 +$F$11/(1+D744)^4
 +$G$11/(1+D744)^5
 +$H$11/(1+D744)^6
 +$I$11/(1+D744)^7
 + ( $I$11*(1+F744)/(D744-F744) )/(1+D744)^7</f>
        <v>416.68594266472064</v>
      </c>
      <c r="H744" s="7">
        <f ca="1">(G744-$C$8)/$C$9</f>
        <v>2.2909087667611976</v>
      </c>
    </row>
    <row r="745" spans="3:8" x14ac:dyDescent="0.35">
      <c r="C745" s="8">
        <f t="shared" ca="1" si="44"/>
        <v>0.44515590650882464</v>
      </c>
      <c r="D745" s="7">
        <f t="shared" ca="1" si="45"/>
        <v>8.9105701854086283E-2</v>
      </c>
      <c r="E745" s="7">
        <f t="shared" ca="1" si="46"/>
        <v>0.79304512242026326</v>
      </c>
      <c r="F745" s="7">
        <f t="shared" ca="1" si="47"/>
        <v>2.3566418142593713E-2</v>
      </c>
      <c r="G745" s="7">
        <f ca="1">$C$11/(1+D745)^1
 +$D$11/(1+D745)^2
 +$E$11/(1+D745)^3
 +$F$11/(1+D745)^4
 +$G$11/(1+D745)^5
 +$H$11/(1+D745)^6
 +$I$11/(1+D745)^7
 + ( $I$11*(1+F745)/(D745-F745) )/(1+D745)^7</f>
        <v>401.02605945009606</v>
      </c>
      <c r="H745" s="7">
        <f ca="1">(G745-$C$8)/$C$9</f>
        <v>2.2023748272845771</v>
      </c>
    </row>
    <row r="746" spans="3:8" x14ac:dyDescent="0.35">
      <c r="C746" s="8">
        <f t="shared" ca="1" si="44"/>
        <v>0.61327365858042415</v>
      </c>
      <c r="D746" s="7">
        <f t="shared" ca="1" si="45"/>
        <v>9.2632025267542883E-2</v>
      </c>
      <c r="E746" s="7">
        <f t="shared" ca="1" si="46"/>
        <v>5.2045860629998386E-2</v>
      </c>
      <c r="F746" s="7">
        <f t="shared" ca="1" si="47"/>
        <v>1.3226324863679986E-2</v>
      </c>
      <c r="G746" s="7">
        <f ca="1">$C$11/(1+D746)^1
 +$D$11/(1+D746)^2
 +$E$11/(1+D746)^3
 +$F$11/(1+D746)^4
 +$G$11/(1+D746)^5
 +$H$11/(1+D746)^6
 +$I$11/(1+D746)^7
 + ( $I$11*(1+F746)/(D746-F746) )/(1+D746)^7</f>
        <v>344.83237622316187</v>
      </c>
      <c r="H746" s="7">
        <f ca="1">(G746-$C$8)/$C$9</f>
        <v>1.8846810053322132</v>
      </c>
    </row>
    <row r="747" spans="3:8" x14ac:dyDescent="0.35">
      <c r="C747" s="8">
        <f t="shared" ca="1" si="44"/>
        <v>0.21924526188865512</v>
      </c>
      <c r="D747" s="7">
        <f t="shared" ca="1" si="45"/>
        <v>8.3408248011902872E-2</v>
      </c>
      <c r="E747" s="7">
        <f t="shared" ca="1" si="46"/>
        <v>2.799427773257579E-2</v>
      </c>
      <c r="F747" s="7">
        <f t="shared" ca="1" si="47"/>
        <v>1.2366190090951096E-2</v>
      </c>
      <c r="G747" s="7">
        <f ca="1">$C$11/(1+D747)^1
 +$D$11/(1+D747)^2
 +$E$11/(1+D747)^3
 +$F$11/(1+D747)^4
 +$G$11/(1+D747)^5
 +$H$11/(1+D747)^6
 +$I$11/(1+D747)^7
 + ( $I$11*(1+F747)/(D747-F747) )/(1+D747)^7</f>
        <v>389.25347141009183</v>
      </c>
      <c r="H747" s="7">
        <f ca="1">(G747-$C$8)/$C$9</f>
        <v>2.1358179071126857</v>
      </c>
    </row>
    <row r="748" spans="3:8" x14ac:dyDescent="0.35">
      <c r="C748" s="8">
        <f t="shared" ca="1" si="44"/>
        <v>0.45527724160145078</v>
      </c>
      <c r="D748" s="7">
        <f t="shared" ca="1" si="45"/>
        <v>8.932168051990276E-2</v>
      </c>
      <c r="E748" s="7">
        <f t="shared" ca="1" si="46"/>
        <v>0.80507652529716411</v>
      </c>
      <c r="F748" s="7">
        <f t="shared" ca="1" si="47"/>
        <v>2.3756227507302403E-2</v>
      </c>
      <c r="G748" s="7">
        <f ca="1">$C$11/(1+D748)^1
 +$D$11/(1+D748)^2
 +$E$11/(1+D748)^3
 +$F$11/(1+D748)^4
 +$G$11/(1+D748)^5
 +$H$11/(1+D748)^6
 +$I$11/(1+D748)^7
 + ( $I$11*(1+F748)/(D748-F748) )/(1+D748)^7</f>
        <v>400.49101144034785</v>
      </c>
      <c r="H748" s="7">
        <f ca="1">(G748-$C$8)/$C$9</f>
        <v>2.1993499063791715</v>
      </c>
    </row>
    <row r="749" spans="3:8" x14ac:dyDescent="0.35">
      <c r="C749" s="8">
        <f t="shared" ca="1" si="44"/>
        <v>0.57144942722195458</v>
      </c>
      <c r="D749" s="7">
        <f t="shared" ca="1" si="45"/>
        <v>9.1716962868087934E-2</v>
      </c>
      <c r="E749" s="7">
        <f t="shared" ca="1" si="46"/>
        <v>3.4121983610485795E-2</v>
      </c>
      <c r="F749" s="7">
        <f t="shared" ca="1" si="47"/>
        <v>1.2612354631763682E-2</v>
      </c>
      <c r="G749" s="7">
        <f ca="1">$C$11/(1+D749)^1
 +$D$11/(1+D749)^2
 +$E$11/(1+D749)^3
 +$F$11/(1+D749)^4
 +$G$11/(1+D749)^5
 +$H$11/(1+D749)^6
 +$I$11/(1+D749)^7
 + ( $I$11*(1+F749)/(D749-F749) )/(1+D749)^7</f>
        <v>347.22435194553674</v>
      </c>
      <c r="H749" s="7">
        <f ca="1">(G749-$C$8)/$C$9</f>
        <v>1.8982041607052054</v>
      </c>
    </row>
    <row r="750" spans="3:8" x14ac:dyDescent="0.35">
      <c r="C750" s="8">
        <f t="shared" ca="1" si="44"/>
        <v>0.4541093800242243</v>
      </c>
      <c r="D750" s="7">
        <f t="shared" ca="1" si="45"/>
        <v>8.9296882950877426E-2</v>
      </c>
      <c r="E750" s="7">
        <f t="shared" ca="1" si="46"/>
        <v>0.46185351189685209</v>
      </c>
      <c r="F750" s="7">
        <f t="shared" ca="1" si="47"/>
        <v>1.9610967816997955E-2</v>
      </c>
      <c r="G750" s="7">
        <f ca="1">$C$11/(1+D750)^1
 +$D$11/(1+D750)^2
 +$E$11/(1+D750)^3
 +$F$11/(1+D750)^4
 +$G$11/(1+D750)^5
 +$H$11/(1+D750)^6
 +$I$11/(1+D750)^7
 + ( $I$11*(1+F750)/(D750-F750) )/(1+D750)^7</f>
        <v>383.50790163836689</v>
      </c>
      <c r="H750" s="7">
        <f ca="1">(G750-$C$8)/$C$9</f>
        <v>2.1033350386610521</v>
      </c>
    </row>
    <row r="751" spans="3:8" x14ac:dyDescent="0.35">
      <c r="C751" s="8">
        <f t="shared" ca="1" si="44"/>
        <v>0.86009628645984071</v>
      </c>
      <c r="D751" s="7">
        <f t="shared" ca="1" si="45"/>
        <v>9.9553713743089162E-2</v>
      </c>
      <c r="E751" s="7">
        <f t="shared" ca="1" si="46"/>
        <v>6.5517448693957259E-2</v>
      </c>
      <c r="F751" s="7">
        <f t="shared" ca="1" si="47"/>
        <v>1.3619874271130346E-2</v>
      </c>
      <c r="G751" s="7">
        <f ca="1">$C$11/(1+D751)^1
 +$D$11/(1+D751)^2
 +$E$11/(1+D751)^3
 +$F$11/(1+D751)^4
 +$G$11/(1+D751)^5
 +$H$11/(1+D751)^6
 +$I$11/(1+D751)^7
 + ( $I$11*(1+F751)/(D751-F751) )/(1+D751)^7</f>
        <v>316.68156911668939</v>
      </c>
      <c r="H751" s="7">
        <f ca="1">(G751-$C$8)/$C$9</f>
        <v>1.7255289977198629</v>
      </c>
    </row>
    <row r="752" spans="3:8" x14ac:dyDescent="0.35">
      <c r="C752" s="8">
        <f t="shared" ca="1" si="44"/>
        <v>0.44540186308992402</v>
      </c>
      <c r="D752" s="7">
        <f t="shared" ca="1" si="45"/>
        <v>8.911097924580888E-2</v>
      </c>
      <c r="E752" s="7">
        <f t="shared" ca="1" si="46"/>
        <v>0.78398499194214211</v>
      </c>
      <c r="F752" s="7">
        <f t="shared" ca="1" si="47"/>
        <v>2.3427100973575542E-2</v>
      </c>
      <c r="G752" s="7">
        <f ca="1">$C$11/(1+D752)^1
 +$D$11/(1+D752)^2
 +$E$11/(1+D752)^3
 +$F$11/(1+D752)^4
 +$G$11/(1+D752)^5
 +$H$11/(1+D752)^6
 +$I$11/(1+D752)^7
 + ( $I$11*(1+F752)/(D752-F752) )/(1+D752)^7</f>
        <v>400.38081185496003</v>
      </c>
      <c r="H752" s="7">
        <f ca="1">(G752-$C$8)/$C$9</f>
        <v>2.1987268874658525</v>
      </c>
    </row>
    <row r="753" spans="3:8" x14ac:dyDescent="0.35">
      <c r="C753" s="8">
        <f t="shared" ca="1" si="44"/>
        <v>0.39014754241005933</v>
      </c>
      <c r="D753" s="7">
        <f t="shared" ca="1" si="45"/>
        <v>8.7886335141002164E-2</v>
      </c>
      <c r="E753" s="7">
        <f t="shared" ca="1" si="46"/>
        <v>0.31113281116907054</v>
      </c>
      <c r="F753" s="7">
        <f t="shared" ca="1" si="47"/>
        <v>1.7888381471113962E-2</v>
      </c>
      <c r="G753" s="7">
        <f ca="1">$C$11/(1+D753)^1
 +$D$11/(1+D753)^2
 +$E$11/(1+D753)^3
 +$F$11/(1+D753)^4
 +$G$11/(1+D753)^5
 +$H$11/(1+D753)^6
 +$I$11/(1+D753)^7
 + ( $I$11*(1+F753)/(D753-F753) )/(1+D753)^7</f>
        <v>384.91041888555651</v>
      </c>
      <c r="H753" s="7">
        <f ca="1">(G753-$C$8)/$C$9</f>
        <v>2.1112642406465203</v>
      </c>
    </row>
    <row r="754" spans="3:8" x14ac:dyDescent="0.35">
      <c r="C754" s="8">
        <f t="shared" ca="1" si="44"/>
        <v>0.50979258364673719</v>
      </c>
      <c r="D754" s="7">
        <f t="shared" ca="1" si="45"/>
        <v>9.0445779970212054E-2</v>
      </c>
      <c r="E754" s="7">
        <f t="shared" ca="1" si="46"/>
        <v>0.46829735081017976</v>
      </c>
      <c r="F754" s="7">
        <f t="shared" ca="1" si="47"/>
        <v>1.9677782295652035E-2</v>
      </c>
      <c r="G754" s="7">
        <f ca="1">$C$11/(1+D754)^1
 +$D$11/(1+D754)^2
 +$E$11/(1+D754)^3
 +$F$11/(1+D754)^4
 +$G$11/(1+D754)^5
 +$H$11/(1+D754)^6
 +$I$11/(1+D754)^7
 + ( $I$11*(1+F754)/(D754-F754) )/(1+D754)^7</f>
        <v>377.27284580970979</v>
      </c>
      <c r="H754" s="7">
        <f ca="1">(G754-$C$8)/$C$9</f>
        <v>2.0680848361019324</v>
      </c>
    </row>
    <row r="755" spans="3:8" x14ac:dyDescent="0.35">
      <c r="C755" s="8">
        <f t="shared" ca="1" si="44"/>
        <v>0.37621647551258486</v>
      </c>
      <c r="D755" s="7">
        <f t="shared" ca="1" si="45"/>
        <v>8.7564097184891665E-2</v>
      </c>
      <c r="E755" s="7">
        <f t="shared" ca="1" si="46"/>
        <v>0.8946618845116322</v>
      </c>
      <c r="F755" s="7">
        <f t="shared" ca="1" si="47"/>
        <v>2.5410051950438484E-2</v>
      </c>
      <c r="G755" s="7">
        <f ca="1">$C$11/(1+D755)^1
 +$D$11/(1+D755)^2
 +$E$11/(1+D755)^3
 +$F$11/(1+D755)^4
 +$G$11/(1+D755)^5
 +$H$11/(1+D755)^6
 +$I$11/(1+D755)^7
 + ( $I$11*(1+F755)/(D755-F755) )/(1+D755)^7</f>
        <v>419.88539908943864</v>
      </c>
      <c r="H755" s="7">
        <f ca="1">(G755-$C$8)/$C$9</f>
        <v>2.308997055005872</v>
      </c>
    </row>
    <row r="756" spans="3:8" x14ac:dyDescent="0.35">
      <c r="C756" s="8">
        <f t="shared" ca="1" si="44"/>
        <v>0.50348679836373755</v>
      </c>
      <c r="D756" s="7">
        <f t="shared" ca="1" si="45"/>
        <v>9.0318936356469662E-2</v>
      </c>
      <c r="E756" s="7">
        <f t="shared" ca="1" si="46"/>
        <v>0.73639338415190403</v>
      </c>
      <c r="F756" s="7">
        <f t="shared" ca="1" si="47"/>
        <v>2.2739054939636356E-2</v>
      </c>
      <c r="G756" s="7">
        <f ca="1">$C$11/(1+D756)^1
 +$D$11/(1+D756)^2
 +$E$11/(1+D756)^3
 +$F$11/(1+D756)^4
 +$G$11/(1+D756)^5
 +$H$11/(1+D756)^6
 +$I$11/(1+D756)^7
 + ( $I$11*(1+F756)/(D756-F756) )/(1+D756)^7</f>
        <v>390.02166797700045</v>
      </c>
      <c r="H756" s="7">
        <f ca="1">(G756-$C$8)/$C$9</f>
        <v>2.1401609451436028</v>
      </c>
    </row>
    <row r="757" spans="3:8" x14ac:dyDescent="0.35">
      <c r="C757" s="8">
        <f t="shared" ca="1" si="44"/>
        <v>4.1684989314192844E-2</v>
      </c>
      <c r="D757" s="7">
        <f t="shared" ca="1" si="45"/>
        <v>7.5846511031173902E-2</v>
      </c>
      <c r="E757" s="7">
        <f t="shared" ca="1" si="46"/>
        <v>0.48021456881713598</v>
      </c>
      <c r="F757" s="7">
        <f t="shared" ca="1" si="47"/>
        <v>1.9800148660271803E-2</v>
      </c>
      <c r="G757" s="7">
        <f ca="1">$C$11/(1+D757)^1
 +$D$11/(1+D757)^2
 +$E$11/(1+D757)^3
 +$F$11/(1+D757)^4
 +$G$11/(1+D757)^5
 +$H$11/(1+D757)^6
 +$I$11/(1+D757)^7
 + ( $I$11*(1+F757)/(D757-F757) )/(1+D757)^7</f>
        <v>480.49869566291062</v>
      </c>
      <c r="H757" s="7">
        <f ca="1">(G757-$C$8)/$C$9</f>
        <v>2.6516773838925296</v>
      </c>
    </row>
    <row r="758" spans="3:8" x14ac:dyDescent="0.35">
      <c r="C758" s="8">
        <f t="shared" ca="1" si="44"/>
        <v>0.21569289350880705</v>
      </c>
      <c r="D758" s="7">
        <f t="shared" ca="1" si="45"/>
        <v>8.3299179398640427E-2</v>
      </c>
      <c r="E758" s="7">
        <f t="shared" ca="1" si="46"/>
        <v>0.43830816287029828</v>
      </c>
      <c r="F758" s="7">
        <f t="shared" ca="1" si="47"/>
        <v>1.9362779105268887E-2</v>
      </c>
      <c r="G758" s="7">
        <f ca="1">$C$11/(1+D758)^1
 +$D$11/(1+D758)^2
 +$E$11/(1+D758)^3
 +$F$11/(1+D758)^4
 +$G$11/(1+D758)^5
 +$H$11/(1+D758)^6
 +$I$11/(1+D758)^7
 + ( $I$11*(1+F758)/(D758-F758) )/(1+D758)^7</f>
        <v>419.99808155371295</v>
      </c>
      <c r="H758" s="7">
        <f ca="1">(G758-$C$8)/$C$9</f>
        <v>2.3096341110001863</v>
      </c>
    </row>
    <row r="759" spans="3:8" x14ac:dyDescent="0.35">
      <c r="C759" s="8">
        <f t="shared" ca="1" si="44"/>
        <v>0.4342545736436042</v>
      </c>
      <c r="D759" s="7">
        <f t="shared" ca="1" si="45"/>
        <v>8.8870313998122966E-2</v>
      </c>
      <c r="E759" s="7">
        <f t="shared" ca="1" si="46"/>
        <v>0.32737907333627092</v>
      </c>
      <c r="F759" s="7">
        <f t="shared" ca="1" si="47"/>
        <v>1.8091712715318939E-2</v>
      </c>
      <c r="G759" s="7">
        <f ca="1">$C$11/(1+D759)^1
 +$D$11/(1+D759)^2
 +$E$11/(1+D759)^3
 +$F$11/(1+D759)^4
 +$G$11/(1+D759)^5
 +$H$11/(1+D759)^6
 +$I$11/(1+D759)^7
 + ( $I$11*(1+F759)/(D759-F759) )/(1+D759)^7</f>
        <v>380.10421198052279</v>
      </c>
      <c r="H759" s="7">
        <f ca="1">(G759-$C$8)/$C$9</f>
        <v>2.0840921075334848</v>
      </c>
    </row>
    <row r="760" spans="3:8" x14ac:dyDescent="0.35">
      <c r="C760" s="8">
        <f t="shared" ca="1" si="44"/>
        <v>6.8043779101597979E-2</v>
      </c>
      <c r="D760" s="7">
        <f t="shared" ca="1" si="45"/>
        <v>7.7469665244394179E-2</v>
      </c>
      <c r="E760" s="7">
        <f t="shared" ca="1" si="46"/>
        <v>0.85684946855512945</v>
      </c>
      <c r="F760" s="7">
        <f t="shared" ca="1" si="47"/>
        <v>2.4649289179092732E-2</v>
      </c>
      <c r="G760" s="7">
        <f ca="1">$C$11/(1+D760)^1
 +$D$11/(1+D760)^2
 +$E$11/(1+D760)^3
 +$F$11/(1+D760)^4
 +$G$11/(1+D760)^5
 +$H$11/(1+D760)^6
 +$I$11/(1+D760)^7
 + ( $I$11*(1+F760)/(D760-F760) )/(1+D760)^7</f>
        <v>498.58631801567486</v>
      </c>
      <c r="H760" s="7">
        <f ca="1">(G760-$C$8)/$C$9</f>
        <v>2.7539366690167055</v>
      </c>
    </row>
    <row r="761" spans="3:8" x14ac:dyDescent="0.35">
      <c r="C761" s="8">
        <f t="shared" ca="1" si="44"/>
        <v>0.51838306042783544</v>
      </c>
      <c r="D761" s="7">
        <f t="shared" ca="1" si="45"/>
        <v>9.061801834521846E-2</v>
      </c>
      <c r="E761" s="7">
        <f t="shared" ca="1" si="46"/>
        <v>0.70642344876032592</v>
      </c>
      <c r="F761" s="7">
        <f t="shared" ca="1" si="47"/>
        <v>2.233740838567428E-2</v>
      </c>
      <c r="G761" s="7">
        <f ca="1">$C$11/(1+D761)^1
 +$D$11/(1+D761)^2
 +$E$11/(1+D761)^3
 +$F$11/(1+D761)^4
 +$G$11/(1+D761)^5
 +$H$11/(1+D761)^6
 +$I$11/(1+D761)^7
 + ( $I$11*(1+F761)/(D761-F761) )/(1+D761)^7</f>
        <v>386.61160402561109</v>
      </c>
      <c r="H761" s="7">
        <f ca="1">(G761-$C$8)/$C$9</f>
        <v>2.1208819766260238</v>
      </c>
    </row>
    <row r="762" spans="3:8" x14ac:dyDescent="0.35">
      <c r="C762" s="8">
        <f t="shared" ca="1" si="44"/>
        <v>0.75439852113429084</v>
      </c>
      <c r="D762" s="7">
        <f t="shared" ca="1" si="45"/>
        <v>9.6159149104363087E-2</v>
      </c>
      <c r="E762" s="7">
        <f t="shared" ca="1" si="46"/>
        <v>0.16517965458914929</v>
      </c>
      <c r="F762" s="7">
        <f t="shared" ca="1" si="47"/>
        <v>1.5747689180690781E-2</v>
      </c>
      <c r="G762" s="7">
        <f ca="1">$C$11/(1+D762)^1
 +$D$11/(1+D762)^2
 +$E$11/(1+D762)^3
 +$F$11/(1+D762)^4
 +$G$11/(1+D762)^5
 +$H$11/(1+D762)^6
 +$I$11/(1+D762)^7
 + ( $I$11*(1+F762)/(D762-F762) )/(1+D762)^7</f>
        <v>336.26806994302484</v>
      </c>
      <c r="H762" s="7">
        <f ca="1">(G762-$C$8)/$C$9</f>
        <v>1.8362622678823204</v>
      </c>
    </row>
    <row r="763" spans="3:8" x14ac:dyDescent="0.35">
      <c r="C763" s="8">
        <f t="shared" ca="1" si="44"/>
        <v>0.38208736652535946</v>
      </c>
      <c r="D763" s="7">
        <f t="shared" ca="1" si="45"/>
        <v>8.7700611304437903E-2</v>
      </c>
      <c r="E763" s="7">
        <f t="shared" ca="1" si="46"/>
        <v>0.30697297078142505</v>
      </c>
      <c r="F763" s="7">
        <f t="shared" ca="1" si="47"/>
        <v>1.7835470257507521E-2</v>
      </c>
      <c r="G763" s="7">
        <f ca="1">$C$11/(1+D763)^1
 +$D$11/(1+D763)^2
 +$E$11/(1+D763)^3
 +$F$11/(1+D763)^4
 +$G$11/(1+D763)^5
 +$H$11/(1+D763)^6
 +$I$11/(1+D763)^7
 + ( $I$11*(1+F763)/(D763-F763) )/(1+D763)^7</f>
        <v>385.77324887588645</v>
      </c>
      <c r="H763" s="7">
        <f ca="1">(G763-$C$8)/$C$9</f>
        <v>2.1161422935090819</v>
      </c>
    </row>
    <row r="764" spans="3:8" x14ac:dyDescent="0.35">
      <c r="C764" s="8">
        <f t="shared" ca="1" si="44"/>
        <v>0.48443535563751339</v>
      </c>
      <c r="D764" s="7">
        <f t="shared" ca="1" si="45"/>
        <v>8.9930805092187344E-2</v>
      </c>
      <c r="E764" s="7">
        <f t="shared" ca="1" si="46"/>
        <v>0.68381614002829427</v>
      </c>
      <c r="F764" s="7">
        <f t="shared" ca="1" si="47"/>
        <v>2.2047844820783417E-2</v>
      </c>
      <c r="G764" s="7">
        <f ca="1">$C$11/(1+D764)^1
 +$D$11/(1+D764)^2
 +$E$11/(1+D764)^3
 +$F$11/(1+D764)^4
 +$G$11/(1+D764)^5
 +$H$11/(1+D764)^6
 +$I$11/(1+D764)^7
 + ( $I$11*(1+F764)/(D764-F764) )/(1+D764)^7</f>
        <v>389.51050566025617</v>
      </c>
      <c r="H764" s="7">
        <f ca="1">(G764-$C$8)/$C$9</f>
        <v>2.137271063208142</v>
      </c>
    </row>
    <row r="765" spans="3:8" x14ac:dyDescent="0.35">
      <c r="C765" s="8">
        <f t="shared" ca="1" si="44"/>
        <v>9.4687160463505782E-2</v>
      </c>
      <c r="D765" s="7">
        <f t="shared" ca="1" si="45"/>
        <v>7.8811553301210563E-2</v>
      </c>
      <c r="E765" s="7">
        <f t="shared" ca="1" si="46"/>
        <v>0.77364185114916328</v>
      </c>
      <c r="F765" s="7">
        <f t="shared" ca="1" si="47"/>
        <v>2.327158044038815E-2</v>
      </c>
      <c r="G765" s="7">
        <f ca="1">$C$11/(1+D765)^1
 +$D$11/(1+D765)^2
 +$E$11/(1+D765)^3
 +$F$11/(1+D765)^4
 +$G$11/(1+D765)^5
 +$H$11/(1+D765)^6
 +$I$11/(1+D765)^7
 + ( $I$11*(1+F765)/(D765-F765) )/(1+D765)^7</f>
        <v>476.68725503779467</v>
      </c>
      <c r="H765" s="7">
        <f ca="1">(G765-$C$8)/$C$9</f>
        <v>2.6301292121087441</v>
      </c>
    </row>
    <row r="766" spans="3:8" x14ac:dyDescent="0.35">
      <c r="C766" s="8">
        <f t="shared" ca="1" si="44"/>
        <v>0.76879968847434599</v>
      </c>
      <c r="D766" s="7">
        <f t="shared" ca="1" si="45"/>
        <v>9.6571066945210796E-2</v>
      </c>
      <c r="E766" s="7">
        <f t="shared" ca="1" si="46"/>
        <v>0.98049683778225849</v>
      </c>
      <c r="F766" s="7">
        <f t="shared" ca="1" si="47"/>
        <v>2.8024998115558291E-2</v>
      </c>
      <c r="G766" s="7">
        <f ca="1">$C$11/(1+D766)^1
 +$D$11/(1+D766)^2
 +$E$11/(1+D766)^3
 +$F$11/(1+D766)^4
 +$G$11/(1+D766)^5
 +$H$11/(1+D766)^6
 +$I$11/(1+D766)^7
 + ( $I$11*(1+F766)/(D766-F766) )/(1+D766)^7</f>
        <v>374.67930859076972</v>
      </c>
      <c r="H766" s="7">
        <f ca="1">(G766-$C$8)/$C$9</f>
        <v>2.0534221426434289</v>
      </c>
    </row>
    <row r="767" spans="3:8" x14ac:dyDescent="0.35">
      <c r="C767" s="8">
        <f t="shared" ca="1" si="44"/>
        <v>0.86369410177296013</v>
      </c>
      <c r="D767" s="7">
        <f t="shared" ca="1" si="45"/>
        <v>9.9688908854195346E-2</v>
      </c>
      <c r="E767" s="7">
        <f t="shared" ca="1" si="46"/>
        <v>0.21640171971576649</v>
      </c>
      <c r="F767" s="7">
        <f t="shared" ca="1" si="47"/>
        <v>1.6578779821756713E-2</v>
      </c>
      <c r="G767" s="7">
        <f ca="1">$C$11/(1+D767)^1
 +$D$11/(1+D767)^2
 +$E$11/(1+D767)^3
 +$F$11/(1+D767)^4
 +$G$11/(1+D767)^5
 +$H$11/(1+D767)^6
 +$I$11/(1+D767)^7
 + ( $I$11*(1+F767)/(D767-F767) )/(1+D767)^7</f>
        <v>323.53562868793773</v>
      </c>
      <c r="H767" s="7">
        <f ca="1">(G767-$C$8)/$C$9</f>
        <v>1.7642787691538766</v>
      </c>
    </row>
    <row r="768" spans="3:8" x14ac:dyDescent="0.35">
      <c r="C768" s="8">
        <f t="shared" ca="1" si="44"/>
        <v>0.55578806611273901</v>
      </c>
      <c r="D768" s="7">
        <f t="shared" ca="1" si="45"/>
        <v>9.1385884161957531E-2</v>
      </c>
      <c r="E768" s="7">
        <f t="shared" ca="1" si="46"/>
        <v>0.24260841044114789</v>
      </c>
      <c r="F768" s="7">
        <f t="shared" ca="1" si="47"/>
        <v>1.696575064786485E-2</v>
      </c>
      <c r="G768" s="7">
        <f ca="1">$C$11/(1+D768)^1
 +$D$11/(1+D768)^2
 +$E$11/(1+D768)^3
 +$F$11/(1+D768)^4
 +$G$11/(1+D768)^5
 +$H$11/(1+D768)^6
 +$I$11/(1+D768)^7
 + ( $I$11*(1+F768)/(D768-F768) )/(1+D768)^7</f>
        <v>362.62614782618346</v>
      </c>
      <c r="H768" s="7">
        <f ca="1">(G768-$C$8)/$C$9</f>
        <v>1.9852789904239228</v>
      </c>
    </row>
    <row r="769" spans="3:8" x14ac:dyDescent="0.35">
      <c r="C769" s="8">
        <f t="shared" ca="1" si="44"/>
        <v>0.1121692715846242</v>
      </c>
      <c r="D769" s="7">
        <f t="shared" ca="1" si="45"/>
        <v>7.9590557997290451E-2</v>
      </c>
      <c r="E769" s="7">
        <f t="shared" ca="1" si="46"/>
        <v>0.52449030313029144</v>
      </c>
      <c r="F769" s="7">
        <f t="shared" ca="1" si="47"/>
        <v>2.0247977677735673E-2</v>
      </c>
      <c r="G769" s="7">
        <f ca="1">$C$11/(1+D769)^1
 +$D$11/(1+D769)^2
 +$E$11/(1+D769)^3
 +$F$11/(1+D769)^4
 +$G$11/(1+D769)^5
 +$H$11/(1+D769)^6
 +$I$11/(1+D769)^7
 + ( $I$11*(1+F769)/(D769-F769) )/(1+D769)^7</f>
        <v>451.84720452811888</v>
      </c>
      <c r="H769" s="7">
        <f ca="1">(G769-$C$8)/$C$9</f>
        <v>2.4896947338767461</v>
      </c>
    </row>
    <row r="770" spans="3:8" x14ac:dyDescent="0.35">
      <c r="C770" s="8">
        <f t="shared" ca="1" si="44"/>
        <v>0.71731867487429879</v>
      </c>
      <c r="D770" s="7">
        <f t="shared" ca="1" si="45"/>
        <v>9.515104604364176E-2</v>
      </c>
      <c r="E770" s="7">
        <f t="shared" ca="1" si="46"/>
        <v>0.61633609689942426</v>
      </c>
      <c r="F770" s="7">
        <f t="shared" ca="1" si="47"/>
        <v>2.1240275083079657E-2</v>
      </c>
      <c r="G770" s="7">
        <f ca="1">$C$11/(1+D770)^1
 +$D$11/(1+D770)^2
 +$E$11/(1+D770)^3
 +$F$11/(1+D770)^4
 +$G$11/(1+D770)^5
 +$H$11/(1+D770)^6
 +$I$11/(1+D770)^7
 + ( $I$11*(1+F770)/(D770-F770) )/(1+D770)^7</f>
        <v>357.87154212438122</v>
      </c>
      <c r="H770" s="7">
        <f ca="1">(G770-$C$8)/$C$9</f>
        <v>1.958398587315588</v>
      </c>
    </row>
    <row r="771" spans="3:8" x14ac:dyDescent="0.35">
      <c r="C771" s="8">
        <f t="shared" ca="1" si="44"/>
        <v>0.87709794831258181</v>
      </c>
      <c r="D771" s="7">
        <f t="shared" ca="1" si="45"/>
        <v>0.10020900412030594</v>
      </c>
      <c r="E771" s="7">
        <f t="shared" ca="1" si="46"/>
        <v>0.51236029019296603</v>
      </c>
      <c r="F771" s="7">
        <f t="shared" ca="1" si="47"/>
        <v>2.0124376376075948E-2</v>
      </c>
      <c r="G771" s="7">
        <f ca="1">$C$11/(1+D771)^1
 +$D$11/(1+D771)^2
 +$E$11/(1+D771)^3
 +$F$11/(1+D771)^4
 +$G$11/(1+D771)^5
 +$H$11/(1+D771)^6
 +$I$11/(1+D771)^7
 + ( $I$11*(1+F771)/(D771-F771) )/(1+D771)^7</f>
        <v>330.83746528254005</v>
      </c>
      <c r="H771" s="7">
        <f ca="1">(G771-$C$8)/$C$9</f>
        <v>1.8055600705706696</v>
      </c>
    </row>
    <row r="772" spans="3:8" x14ac:dyDescent="0.35">
      <c r="C772" s="8">
        <f t="shared" ca="1" si="44"/>
        <v>0.68008754678948657</v>
      </c>
      <c r="D772" s="7">
        <f t="shared" ca="1" si="45"/>
        <v>9.4203427159532338E-2</v>
      </c>
      <c r="E772" s="7">
        <f t="shared" ca="1" si="46"/>
        <v>3.7455409134495521E-2</v>
      </c>
      <c r="F772" s="7">
        <f t="shared" ca="1" si="47"/>
        <v>1.2736984075017447E-2</v>
      </c>
      <c r="G772" s="7">
        <f ca="1">$C$11/(1+D772)^1
 +$D$11/(1+D772)^2
 +$E$11/(1+D772)^3
 +$F$11/(1+D772)^4
 +$G$11/(1+D772)^5
 +$H$11/(1+D772)^6
 +$I$11/(1+D772)^7
 + ( $I$11*(1+F772)/(D772-F772) )/(1+D772)^7</f>
        <v>336.42200727030183</v>
      </c>
      <c r="H772" s="7">
        <f ca="1">(G772-$C$8)/$C$9</f>
        <v>1.8371325603250894</v>
      </c>
    </row>
    <row r="773" spans="3:8" x14ac:dyDescent="0.35">
      <c r="C773" s="8">
        <f t="shared" ca="1" si="44"/>
        <v>0.71592331193958503</v>
      </c>
      <c r="D773" s="7">
        <f t="shared" ca="1" si="45"/>
        <v>9.5114442681339617E-2</v>
      </c>
      <c r="E773" s="7">
        <f t="shared" ca="1" si="46"/>
        <v>0.47282609871258507</v>
      </c>
      <c r="F773" s="7">
        <f t="shared" ca="1" si="47"/>
        <v>1.9724465010606859E-2</v>
      </c>
      <c r="G773" s="7">
        <f ca="1">$C$11/(1+D773)^1
 +$D$11/(1+D773)^2
 +$E$11/(1+D773)^3
 +$F$11/(1+D773)^4
 +$G$11/(1+D773)^5
 +$H$11/(1+D773)^6
 +$I$11/(1+D773)^7
 + ( $I$11*(1+F773)/(D773-F773) )/(1+D773)^7</f>
        <v>353.07818226020345</v>
      </c>
      <c r="H773" s="7">
        <f ca="1">(G773-$C$8)/$C$9</f>
        <v>1.9312990855959036</v>
      </c>
    </row>
    <row r="774" spans="3:8" x14ac:dyDescent="0.35">
      <c r="C774" s="8">
        <f t="shared" ca="1" si="44"/>
        <v>0.69696886442164752</v>
      </c>
      <c r="D774" s="7">
        <f t="shared" ca="1" si="45"/>
        <v>9.462585658480073E-2</v>
      </c>
      <c r="E774" s="7">
        <f t="shared" ca="1" si="46"/>
        <v>0.79664103726663849</v>
      </c>
      <c r="F774" s="7">
        <f t="shared" ca="1" si="47"/>
        <v>2.3622555955034E-2</v>
      </c>
      <c r="G774" s="7">
        <f ca="1">$C$11/(1+D774)^1
 +$D$11/(1+D774)^2
 +$E$11/(1+D774)^3
 +$F$11/(1+D774)^4
 +$G$11/(1+D774)^5
 +$H$11/(1+D774)^6
 +$I$11/(1+D774)^7
 + ( $I$11*(1+F774)/(D774-F774) )/(1+D774)^7</f>
        <v>368.92795940340471</v>
      </c>
      <c r="H774" s="7">
        <f ca="1">(G774-$C$8)/$C$9</f>
        <v>2.0209065999740203</v>
      </c>
    </row>
    <row r="775" spans="3:8" x14ac:dyDescent="0.35">
      <c r="C775" s="8">
        <f t="shared" ca="1" si="44"/>
        <v>0.66424707139441974</v>
      </c>
      <c r="D775" s="7">
        <f t="shared" ca="1" si="45"/>
        <v>9.381706811753962E-2</v>
      </c>
      <c r="E775" s="7">
        <f t="shared" ca="1" si="46"/>
        <v>0.94881053208919086</v>
      </c>
      <c r="F775" s="7">
        <f t="shared" ca="1" si="47"/>
        <v>2.6800329144714752E-2</v>
      </c>
      <c r="G775" s="7">
        <f ca="1">$C$11/(1+D775)^1
 +$D$11/(1+D775)^2
 +$E$11/(1+D775)^3
 +$F$11/(1+D775)^4
 +$G$11/(1+D775)^5
 +$H$11/(1+D775)^6
 +$I$11/(1+D775)^7
 + ( $I$11*(1+F775)/(D775-F775) )/(1+D775)^7</f>
        <v>385.79136351502973</v>
      </c>
      <c r="H775" s="7">
        <f ca="1">(G775-$C$8)/$C$9</f>
        <v>2.116244705534994</v>
      </c>
    </row>
    <row r="776" spans="3:8" x14ac:dyDescent="0.35">
      <c r="C776" s="8">
        <f t="shared" ca="1" si="44"/>
        <v>5.806429708914207E-2</v>
      </c>
      <c r="D776" s="7">
        <f t="shared" ca="1" si="45"/>
        <v>7.6900197360445316E-2</v>
      </c>
      <c r="E776" s="7">
        <f t="shared" ca="1" si="46"/>
        <v>0.54478705791090298</v>
      </c>
      <c r="F776" s="7">
        <f t="shared" ca="1" si="47"/>
        <v>2.0458376007313043E-2</v>
      </c>
      <c r="G776" s="7">
        <f ca="1">$C$11/(1+D776)^1
 +$D$11/(1+D776)^2
 +$E$11/(1+D776)^3
 +$F$11/(1+D776)^4
 +$G$11/(1+D776)^5
 +$H$11/(1+D776)^6
 +$I$11/(1+D776)^7
 + ( $I$11*(1+F776)/(D776-F776) )/(1+D776)^7</f>
        <v>475.44348329295013</v>
      </c>
      <c r="H776" s="7">
        <f ca="1">(G776-$C$8)/$C$9</f>
        <v>2.6230974858262672</v>
      </c>
    </row>
    <row r="777" spans="3:8" x14ac:dyDescent="0.35">
      <c r="C777" s="8">
        <f t="shared" ca="1" si="44"/>
        <v>5.9598873048863021E-2</v>
      </c>
      <c r="D777" s="7">
        <f t="shared" ca="1" si="45"/>
        <v>7.6990785070367107E-2</v>
      </c>
      <c r="E777" s="7">
        <f t="shared" ca="1" si="46"/>
        <v>0.90935659816243863</v>
      </c>
      <c r="F777" s="7">
        <f t="shared" ca="1" si="47"/>
        <v>2.574222119321444E-2</v>
      </c>
      <c r="G777" s="7">
        <f ca="1">$C$11/(1+D777)^1
 +$D$11/(1+D777)^2
 +$E$11/(1+D777)^3
 +$F$11/(1+D777)^4
 +$G$11/(1+D777)^5
 +$H$11/(1+D777)^6
 +$I$11/(1+D777)^7
 + ( $I$11*(1+F777)/(D777-F777) )/(1+D777)^7</f>
        <v>511.52648383544391</v>
      </c>
      <c r="H777" s="7">
        <f ca="1">(G777-$C$8)/$C$9</f>
        <v>2.8270945490470596</v>
      </c>
    </row>
    <row r="778" spans="3:8" x14ac:dyDescent="0.35">
      <c r="C778" s="8">
        <f t="shared" ca="1" si="44"/>
        <v>0.18018642790135908</v>
      </c>
      <c r="D778" s="7">
        <f t="shared" ca="1" si="45"/>
        <v>8.2155363872756529E-2</v>
      </c>
      <c r="E778" s="7">
        <f t="shared" ca="1" si="46"/>
        <v>0.91858275568477421</v>
      </c>
      <c r="F778" s="7">
        <f t="shared" ca="1" si="47"/>
        <v>2.5964724437780591E-2</v>
      </c>
      <c r="G778" s="7">
        <f ca="1">$C$11/(1+D778)^1
 +$D$11/(1+D778)^2
 +$E$11/(1+D778)^3
 +$F$11/(1+D778)^4
 +$G$11/(1+D778)^5
 +$H$11/(1+D778)^6
 +$I$11/(1+D778)^7
 + ( $I$11*(1+F778)/(D778-F778) )/(1+D778)^7</f>
        <v>464.71670949875227</v>
      </c>
      <c r="H778" s="7">
        <f ca="1">(G778-$C$8)/$C$9</f>
        <v>2.5624531292331088</v>
      </c>
    </row>
    <row r="779" spans="3:8" x14ac:dyDescent="0.35">
      <c r="C779" s="8">
        <f t="shared" ca="1" si="44"/>
        <v>2.0723460689335504E-2</v>
      </c>
      <c r="D779" s="7">
        <f t="shared" ca="1" si="45"/>
        <v>7.4122285502637483E-2</v>
      </c>
      <c r="E779" s="7">
        <f t="shared" ca="1" si="46"/>
        <v>0.80414124296185652</v>
      </c>
      <c r="F779" s="7">
        <f t="shared" ca="1" si="47"/>
        <v>2.3741265990024123E-2</v>
      </c>
      <c r="G779" s="7">
        <f ca="1">$C$11/(1+D779)^1
 +$D$11/(1+D779)^2
 +$E$11/(1+D779)^3
 +$F$11/(1+D779)^4
 +$G$11/(1+D779)^5
 +$H$11/(1+D779)^6
 +$I$11/(1+D779)^7
 + ( $I$11*(1+F779)/(D779-F779) )/(1+D779)^7</f>
        <v>525.88729594540996</v>
      </c>
      <c r="H779" s="7">
        <f ca="1">(G779-$C$8)/$C$9</f>
        <v>2.9082841245217659</v>
      </c>
    </row>
    <row r="780" spans="3:8" x14ac:dyDescent="0.35">
      <c r="C780" s="8">
        <f t="shared" ca="1" si="44"/>
        <v>0.55595724953818038</v>
      </c>
      <c r="D780" s="7">
        <f t="shared" ca="1" si="45"/>
        <v>9.1389429203804107E-2</v>
      </c>
      <c r="E780" s="7">
        <f t="shared" ca="1" si="46"/>
        <v>0.44674502528255311</v>
      </c>
      <c r="F780" s="7">
        <f t="shared" ca="1" si="47"/>
        <v>1.9452460264741164E-2</v>
      </c>
      <c r="G780" s="7">
        <f ca="1">$C$11/(1+D780)^1
 +$D$11/(1+D780)^2
 +$E$11/(1+D780)^3
 +$F$11/(1+D780)^4
 +$G$11/(1+D780)^5
 +$H$11/(1+D780)^6
 +$I$11/(1+D780)^7
 + ( $I$11*(1+F780)/(D780-F780) )/(1+D780)^7</f>
        <v>371.27932773984833</v>
      </c>
      <c r="H780" s="7">
        <f ca="1">(G780-$C$8)/$C$9</f>
        <v>2.0342001794428328</v>
      </c>
    </row>
    <row r="781" spans="3:8" x14ac:dyDescent="0.35">
      <c r="C781" s="8">
        <f t="shared" ca="1" si="44"/>
        <v>5.4363853973506293E-2</v>
      </c>
      <c r="D781" s="7">
        <f t="shared" ca="1" si="45"/>
        <v>7.667670279840845E-2</v>
      </c>
      <c r="E781" s="7">
        <f t="shared" ca="1" si="46"/>
        <v>5.6638623740051353E-2</v>
      </c>
      <c r="F781" s="7">
        <f t="shared" ca="1" si="47"/>
        <v>1.3365668543990966E-2</v>
      </c>
      <c r="G781" s="7">
        <f ca="1">$C$11/(1+D781)^1
 +$D$11/(1+D781)^2
 +$E$11/(1+D781)^3
 +$F$11/(1+D781)^4
 +$G$11/(1+D781)^5
 +$H$11/(1+D781)^6
 +$I$11/(1+D781)^7
 + ( $I$11*(1+F781)/(D781-F781) )/(1+D781)^7</f>
        <v>437.0421758661825</v>
      </c>
      <c r="H781" s="7">
        <f ca="1">(G781-$C$8)/$C$9</f>
        <v>2.4059937577237815</v>
      </c>
    </row>
    <row r="782" spans="3:8" x14ac:dyDescent="0.35">
      <c r="C782" s="8">
        <f t="shared" ca="1" si="44"/>
        <v>1.2452701573371416E-2</v>
      </c>
      <c r="D782" s="7">
        <f t="shared" ca="1" si="45"/>
        <v>7.3195499223934285E-2</v>
      </c>
      <c r="E782" s="7">
        <f t="shared" ca="1" si="46"/>
        <v>0.22774376559832865</v>
      </c>
      <c r="F782" s="7">
        <f t="shared" ca="1" si="47"/>
        <v>1.6748981635748145E-2</v>
      </c>
      <c r="G782" s="7">
        <f ca="1">$C$11/(1+D782)^1
 +$D$11/(1+D782)^2
 +$E$11/(1+D782)^3
 +$F$11/(1+D782)^4
 +$G$11/(1+D782)^5
 +$H$11/(1+D782)^6
 +$I$11/(1+D782)^7
 + ( $I$11*(1+F782)/(D782-F782) )/(1+D782)^7</f>
        <v>484.31746668807614</v>
      </c>
      <c r="H782" s="7">
        <f ca="1">(G782-$C$8)/$C$9</f>
        <v>2.6732669984626645</v>
      </c>
    </row>
    <row r="783" spans="3:8" x14ac:dyDescent="0.35">
      <c r="C783" s="8">
        <f t="shared" ca="1" si="44"/>
        <v>0.23576162552340896</v>
      </c>
      <c r="D783" s="7">
        <f t="shared" ca="1" si="45"/>
        <v>8.3904119279163109E-2</v>
      </c>
      <c r="E783" s="7">
        <f t="shared" ca="1" si="46"/>
        <v>0.79118003955095484</v>
      </c>
      <c r="F783" s="7">
        <f t="shared" ca="1" si="47"/>
        <v>2.3537493358625539E-2</v>
      </c>
      <c r="G783" s="7">
        <f ca="1">$C$11/(1+D783)^1
 +$D$11/(1+D783)^2
 +$E$11/(1+D783)^3
 +$F$11/(1+D783)^4
 +$G$11/(1+D783)^5
 +$H$11/(1+D783)^6
 +$I$11/(1+D783)^7
 + ( $I$11*(1+F783)/(D783-F783) )/(1+D783)^7</f>
        <v>436.7501253570141</v>
      </c>
      <c r="H783" s="7">
        <f ca="1">(G783-$C$8)/$C$9</f>
        <v>2.4043426354421871</v>
      </c>
    </row>
    <row r="784" spans="3:8" x14ac:dyDescent="0.35">
      <c r="C784" s="8">
        <f t="shared" ca="1" si="44"/>
        <v>3.3190955160013469E-2</v>
      </c>
      <c r="D784" s="7">
        <f t="shared" ca="1" si="45"/>
        <v>7.5216951526630382E-2</v>
      </c>
      <c r="E784" s="7">
        <f t="shared" ca="1" si="46"/>
        <v>0.16039285543320714</v>
      </c>
      <c r="F784" s="7">
        <f t="shared" ca="1" si="47"/>
        <v>1.566379476028585E-2</v>
      </c>
      <c r="G784" s="7">
        <f ca="1">$C$11/(1+D784)^1
 +$D$11/(1+D784)^2
 +$E$11/(1+D784)^3
 +$F$11/(1+D784)^4
 +$G$11/(1+D784)^5
 +$H$11/(1+D784)^6
 +$I$11/(1+D784)^7
 + ( $I$11*(1+F784)/(D784-F784) )/(1+D784)^7</f>
        <v>460.56356138913736</v>
      </c>
      <c r="H784" s="7">
        <f ca="1">(G784-$C$8)/$C$9</f>
        <v>2.5389730969535127</v>
      </c>
    </row>
    <row r="785" spans="3:8" x14ac:dyDescent="0.35">
      <c r="C785" s="8">
        <f t="shared" ref="C785:C848" ca="1" si="48">RAND()</f>
        <v>0.18850761646857106</v>
      </c>
      <c r="D785" s="7">
        <f t="shared" ref="D785:D848" ca="1" si="49">IF(C785&lt;(0.0905-0.07)/(0.11-0.07),
 0.07+SQRT(C785*(0.11-0.07)*(0.0905-0.07)),
 0.11-SQRT((1-C785)*(0.11-0.07)*(0.11-0.0905))
)</f>
        <v>8.2432869560331939E-2</v>
      </c>
      <c r="E785" s="7">
        <f t="shared" ref="E785:E848" ca="1" si="50">RAND()</f>
        <v>0.81334575829621603</v>
      </c>
      <c r="F785" s="7">
        <f t="shared" ref="F785:F848" ca="1" si="51">MIN(
 IF(E785&lt;(0.02-0.01)/(0.03-0.01),
   0.01+SQRT(E785*(0.03-0.01)*(0.02-0.01)),
   0.03-SQRT((1-E785)*(0.03-0.01)*(0.03-0.02))
 ),
 D785-0.005
)</f>
        <v>2.3890102427965194E-2</v>
      </c>
      <c r="G785" s="7">
        <f ca="1">$C$11/(1+D785)^1
 +$D$11/(1+D785)^2
 +$E$11/(1+D785)^3
 +$F$11/(1+D785)^4
 +$G$11/(1+D785)^5
 +$H$11/(1+D785)^6
 +$I$11/(1+D785)^7
 + ( $I$11*(1+F785)/(D785-F785) )/(1+D785)^7</f>
        <v>450.05135930819591</v>
      </c>
      <c r="H785" s="7">
        <f ca="1">(G785-$C$8)/$C$9</f>
        <v>2.4795418323620302</v>
      </c>
    </row>
    <row r="786" spans="3:8" x14ac:dyDescent="0.35">
      <c r="C786" s="8">
        <f t="shared" ca="1" si="48"/>
        <v>0.5674135295835957</v>
      </c>
      <c r="D786" s="7">
        <f t="shared" ca="1" si="49"/>
        <v>9.1631073876658017E-2</v>
      </c>
      <c r="E786" s="7">
        <f t="shared" ca="1" si="50"/>
        <v>8.8538267842578344E-2</v>
      </c>
      <c r="F786" s="7">
        <f t="shared" ca="1" si="51"/>
        <v>1.4208046288780064E-2</v>
      </c>
      <c r="G786" s="7">
        <f ca="1">$C$11/(1+D786)^1
 +$D$11/(1+D786)^2
 +$E$11/(1+D786)^3
 +$F$11/(1+D786)^4
 +$G$11/(1+D786)^5
 +$H$11/(1+D786)^6
 +$I$11/(1+D786)^7
 + ( $I$11*(1+F786)/(D786-F786) )/(1+D786)^7</f>
        <v>352.48492685794912</v>
      </c>
      <c r="H786" s="7">
        <f ca="1">(G786-$C$8)/$C$9</f>
        <v>1.9279450862615848</v>
      </c>
    </row>
    <row r="787" spans="3:8" x14ac:dyDescent="0.35">
      <c r="C787" s="8">
        <f t="shared" ca="1" si="48"/>
        <v>0.5124695202470444</v>
      </c>
      <c r="D787" s="7">
        <f t="shared" ca="1" si="49"/>
        <v>9.0499390395877052E-2</v>
      </c>
      <c r="E787" s="7">
        <f t="shared" ca="1" si="50"/>
        <v>0.60099964456306676</v>
      </c>
      <c r="F787" s="7">
        <f t="shared" ca="1" si="51"/>
        <v>2.1066911447467529E-2</v>
      </c>
      <c r="G787" s="7">
        <f ca="1">$C$11/(1+D787)^1
 +$D$11/(1+D787)^2
 +$E$11/(1+D787)^3
 +$F$11/(1+D787)^4
 +$G$11/(1+D787)^5
 +$H$11/(1+D787)^6
 +$I$11/(1+D787)^7
 + ( $I$11*(1+F787)/(D787-F787) )/(1+D787)^7</f>
        <v>382.27476469050248</v>
      </c>
      <c r="H787" s="7">
        <f ca="1">(G787-$C$8)/$C$9</f>
        <v>2.0963634367396113</v>
      </c>
    </row>
    <row r="788" spans="3:8" x14ac:dyDescent="0.35">
      <c r="C788" s="8">
        <f t="shared" ca="1" si="48"/>
        <v>0.10820238478391775</v>
      </c>
      <c r="D788" s="7">
        <f t="shared" ca="1" si="49"/>
        <v>7.9419445605916128E-2</v>
      </c>
      <c r="E788" s="7">
        <f t="shared" ca="1" si="50"/>
        <v>0.97515943174588193</v>
      </c>
      <c r="F788" s="7">
        <f t="shared" ca="1" si="51"/>
        <v>2.7771073430813923E-2</v>
      </c>
      <c r="G788" s="7">
        <f ca="1">$C$11/(1+D788)^1
 +$D$11/(1+D788)^2
 +$E$11/(1+D788)^3
 +$F$11/(1+D788)^4
 +$G$11/(1+D788)^5
 +$H$11/(1+D788)^6
 +$I$11/(1+D788)^7
 + ( $I$11*(1+F788)/(D788-F788) )/(1+D788)^7</f>
        <v>502.30319907237185</v>
      </c>
      <c r="H788" s="7">
        <f ca="1">(G788-$C$8)/$C$9</f>
        <v>2.7749502435118263</v>
      </c>
    </row>
    <row r="789" spans="3:8" x14ac:dyDescent="0.35">
      <c r="C789" s="8">
        <f t="shared" ca="1" si="48"/>
        <v>0.25845006211970789</v>
      </c>
      <c r="D789" s="7">
        <f t="shared" ca="1" si="49"/>
        <v>8.4557783173895687E-2</v>
      </c>
      <c r="E789" s="7">
        <f t="shared" ca="1" si="50"/>
        <v>0.89742103826332587</v>
      </c>
      <c r="F789" s="7">
        <f t="shared" ca="1" si="51"/>
        <v>2.5470563793656562E-2</v>
      </c>
      <c r="G789" s="7">
        <f ca="1">$C$11/(1+D789)^1
 +$D$11/(1+D789)^2
 +$E$11/(1+D789)^3
 +$F$11/(1+D789)^4
 +$G$11/(1+D789)^5
 +$H$11/(1+D789)^6
 +$I$11/(1+D789)^7
 + ( $I$11*(1+F789)/(D789-F789) )/(1+D789)^7</f>
        <v>442.30084851137178</v>
      </c>
      <c r="H789" s="7">
        <f ca="1">(G789-$C$8)/$C$9</f>
        <v>2.4357239287164845</v>
      </c>
    </row>
    <row r="790" spans="3:8" x14ac:dyDescent="0.35">
      <c r="C790" s="8">
        <f t="shared" ca="1" si="48"/>
        <v>0.78495593120901408</v>
      </c>
      <c r="D790" s="7">
        <f t="shared" ca="1" si="49"/>
        <v>9.7048769415342462E-2</v>
      </c>
      <c r="E790" s="7">
        <f t="shared" ca="1" si="50"/>
        <v>3.34242681429191E-2</v>
      </c>
      <c r="F790" s="7">
        <f t="shared" ca="1" si="51"/>
        <v>1.258550838880554E-2</v>
      </c>
      <c r="G790" s="7">
        <f ca="1">$C$11/(1+D790)^1
 +$D$11/(1+D790)^2
 +$E$11/(1+D790)^3
 +$F$11/(1+D790)^4
 +$G$11/(1+D790)^5
 +$H$11/(1+D790)^6
 +$I$11/(1+D790)^7
 + ( $I$11*(1+F790)/(D790-F790) )/(1+D790)^7</f>
        <v>324.06645447888957</v>
      </c>
      <c r="H790" s="7">
        <f ca="1">(G790-$C$8)/$C$9</f>
        <v>1.7672798195323922</v>
      </c>
    </row>
    <row r="791" spans="3:8" x14ac:dyDescent="0.35">
      <c r="C791" s="8">
        <f t="shared" ca="1" si="48"/>
        <v>0.96899468022862223</v>
      </c>
      <c r="D791" s="7">
        <f t="shared" ca="1" si="49"/>
        <v>0.10508226175750736</v>
      </c>
      <c r="E791" s="7">
        <f t="shared" ca="1" si="50"/>
        <v>0.250560121381871</v>
      </c>
      <c r="F791" s="7">
        <f t="shared" ca="1" si="51"/>
        <v>1.7078984692480568E-2</v>
      </c>
      <c r="G791" s="7">
        <f ca="1">$C$11/(1+D791)^1
 +$D$11/(1+D791)^2
 +$E$11/(1+D791)^3
 +$F$11/(1+D791)^4
 +$G$11/(1+D791)^5
 +$H$11/(1+D791)^6
 +$I$11/(1+D791)^7
 + ( $I$11*(1+F791)/(D791-F791) )/(1+D791)^7</f>
        <v>303.93036123096874</v>
      </c>
      <c r="H791" s="7">
        <f ca="1">(G791-$C$8)/$C$9</f>
        <v>1.6534394008987376</v>
      </c>
    </row>
    <row r="792" spans="3:8" x14ac:dyDescent="0.35">
      <c r="C792" s="8">
        <f t="shared" ca="1" si="48"/>
        <v>0.28060497399186024</v>
      </c>
      <c r="D792" s="7">
        <f t="shared" ca="1" si="49"/>
        <v>8.5168918177422059E-2</v>
      </c>
      <c r="E792" s="7">
        <f t="shared" ca="1" si="50"/>
        <v>0.96690034075785691</v>
      </c>
      <c r="F792" s="7">
        <f t="shared" ca="1" si="51"/>
        <v>2.7427077177910573E-2</v>
      </c>
      <c r="G792" s="7">
        <f ca="1">$C$11/(1+D792)^1
 +$D$11/(1+D792)^2
 +$E$11/(1+D792)^3
 +$F$11/(1+D792)^4
 +$G$11/(1+D792)^5
 +$H$11/(1+D792)^6
 +$I$11/(1+D792)^7
 + ( $I$11*(1+F792)/(D792-F792) )/(1+D792)^7</f>
        <v>448.5896376707434</v>
      </c>
      <c r="H792" s="7">
        <f ca="1">(G792-$C$8)/$C$9</f>
        <v>2.4712779153705529</v>
      </c>
    </row>
    <row r="793" spans="3:8" x14ac:dyDescent="0.35">
      <c r="C793" s="8">
        <f t="shared" ca="1" si="48"/>
        <v>0.20783964319548409</v>
      </c>
      <c r="D793" s="7">
        <f t="shared" ca="1" si="49"/>
        <v>8.3054826977800089E-2</v>
      </c>
      <c r="E793" s="7">
        <f t="shared" ca="1" si="50"/>
        <v>0.78770013746095735</v>
      </c>
      <c r="F793" s="7">
        <f t="shared" ca="1" si="51"/>
        <v>2.348386828649017E-2</v>
      </c>
      <c r="G793" s="7">
        <f ca="1">$C$11/(1+D793)^1
 +$D$11/(1+D793)^2
 +$E$11/(1+D793)^3
 +$F$11/(1+D793)^4
 +$G$11/(1+D793)^5
 +$H$11/(1+D793)^6
 +$I$11/(1+D793)^7
 + ( $I$11*(1+F793)/(D793-F793) )/(1+D793)^7</f>
        <v>442.90628695189679</v>
      </c>
      <c r="H793" s="7">
        <f ca="1">(G793-$C$8)/$C$9</f>
        <v>2.4391468054720531</v>
      </c>
    </row>
    <row r="794" spans="3:8" x14ac:dyDescent="0.35">
      <c r="C794" s="8">
        <f t="shared" ca="1" si="48"/>
        <v>0.49375577244828495</v>
      </c>
      <c r="D794" s="7">
        <f t="shared" ca="1" si="49"/>
        <v>9.0121623528125E-2</v>
      </c>
      <c r="E794" s="7">
        <f t="shared" ca="1" si="50"/>
        <v>0.80210166908864078</v>
      </c>
      <c r="F794" s="7">
        <f t="shared" ca="1" si="51"/>
        <v>2.3708762746305633E-2</v>
      </c>
      <c r="G794" s="7">
        <f ca="1">$C$11/(1+D794)^1
 +$D$11/(1+D794)^2
 +$E$11/(1+D794)^3
 +$F$11/(1+D794)^4
 +$G$11/(1+D794)^5
 +$H$11/(1+D794)^6
 +$I$11/(1+D794)^7
 + ( $I$11*(1+F794)/(D794-F794) )/(1+D794)^7</f>
        <v>395.28196310014545</v>
      </c>
      <c r="H794" s="7">
        <f ca="1">(G794-$C$8)/$C$9</f>
        <v>2.169900288897249</v>
      </c>
    </row>
    <row r="795" spans="3:8" x14ac:dyDescent="0.35">
      <c r="C795" s="8">
        <f t="shared" ca="1" si="48"/>
        <v>0.45009758024408275</v>
      </c>
      <c r="D795" s="7">
        <f t="shared" ca="1" si="49"/>
        <v>8.92114553274901E-2</v>
      </c>
      <c r="E795" s="7">
        <f t="shared" ca="1" si="50"/>
        <v>0.42606319758029909</v>
      </c>
      <c r="F795" s="7">
        <f t="shared" ca="1" si="51"/>
        <v>1.9231069250962199E-2</v>
      </c>
      <c r="G795" s="7">
        <f ca="1">$C$11/(1+D795)^1
 +$D$11/(1+D795)^2
 +$E$11/(1+D795)^3
 +$F$11/(1+D795)^4
 +$G$11/(1+D795)^5
 +$H$11/(1+D795)^6
 +$I$11/(1+D795)^7
 + ( $I$11*(1+F795)/(D795-F795) )/(1+D795)^7</f>
        <v>382.52503756325177</v>
      </c>
      <c r="H795" s="7">
        <f ca="1">(G795-$C$8)/$C$9</f>
        <v>2.0977783670468777</v>
      </c>
    </row>
    <row r="796" spans="3:8" x14ac:dyDescent="0.35">
      <c r="C796" s="8">
        <f t="shared" ca="1" si="48"/>
        <v>0.61535776254271846</v>
      </c>
      <c r="D796" s="7">
        <f t="shared" ca="1" si="49"/>
        <v>9.2678887298539986E-2</v>
      </c>
      <c r="E796" s="7">
        <f t="shared" ca="1" si="50"/>
        <v>0.18926765423424385</v>
      </c>
      <c r="F796" s="7">
        <f t="shared" ca="1" si="51"/>
        <v>1.615252231583509E-2</v>
      </c>
      <c r="G796" s="7">
        <f ca="1">$C$11/(1+D796)^1
 +$D$11/(1+D796)^2
 +$E$11/(1+D796)^3
 +$F$11/(1+D796)^4
 +$G$11/(1+D796)^5
 +$H$11/(1+D796)^6
 +$I$11/(1+D796)^7
 + ( $I$11*(1+F796)/(D796-F796) )/(1+D796)^7</f>
        <v>353.53946904777052</v>
      </c>
      <c r="H796" s="7">
        <f ca="1">(G796-$C$8)/$C$9</f>
        <v>1.9339069937119544</v>
      </c>
    </row>
    <row r="797" spans="3:8" x14ac:dyDescent="0.35">
      <c r="C797" s="8">
        <f t="shared" ca="1" si="48"/>
        <v>0.82741470322573829</v>
      </c>
      <c r="D797" s="7">
        <f t="shared" ca="1" si="49"/>
        <v>9.8397563553980397E-2</v>
      </c>
      <c r="E797" s="7">
        <f t="shared" ca="1" si="50"/>
        <v>0.9349736721628733</v>
      </c>
      <c r="F797" s="7">
        <f t="shared" ca="1" si="51"/>
        <v>2.6393718595641026E-2</v>
      </c>
      <c r="G797" s="7">
        <f ca="1">$C$11/(1+D797)^1
 +$D$11/(1+D797)^2
 +$E$11/(1+D797)^3
 +$F$11/(1+D797)^4
 +$G$11/(1+D797)^5
 +$H$11/(1+D797)^6
 +$I$11/(1+D797)^7
 + ( $I$11*(1+F797)/(D797-F797) )/(1+D797)^7</f>
        <v>358.83639942541078</v>
      </c>
      <c r="H797" s="7">
        <f ca="1">(G797-$C$8)/$C$9</f>
        <v>1.9638534567243937</v>
      </c>
    </row>
    <row r="798" spans="3:8" x14ac:dyDescent="0.35">
      <c r="C798" s="8">
        <f t="shared" ca="1" si="48"/>
        <v>0.53507217625216374</v>
      </c>
      <c r="D798" s="7">
        <f t="shared" ca="1" si="49"/>
        <v>9.0956793796124757E-2</v>
      </c>
      <c r="E798" s="7">
        <f t="shared" ca="1" si="50"/>
        <v>0.71832691891208678</v>
      </c>
      <c r="F798" s="7">
        <f t="shared" ca="1" si="51"/>
        <v>2.2494361038686801E-2</v>
      </c>
      <c r="G798" s="7">
        <f ca="1">$C$11/(1+D798)^1
 +$D$11/(1+D798)^2
 +$E$11/(1+D798)^3
 +$F$11/(1+D798)^4
 +$G$11/(1+D798)^5
 +$H$11/(1+D798)^6
 +$I$11/(1+D798)^7
 + ( $I$11*(1+F798)/(D798-F798) )/(1+D798)^7</f>
        <v>385.25256879620633</v>
      </c>
      <c r="H798" s="7">
        <f ca="1">(G798-$C$8)/$C$9</f>
        <v>2.1131986024208862</v>
      </c>
    </row>
    <row r="799" spans="3:8" x14ac:dyDescent="0.35">
      <c r="C799" s="8">
        <f t="shared" ca="1" si="48"/>
        <v>1.392887375962315E-2</v>
      </c>
      <c r="D799" s="7">
        <f t="shared" ca="1" si="49"/>
        <v>7.3379597088839288E-2</v>
      </c>
      <c r="E799" s="7">
        <f t="shared" ca="1" si="50"/>
        <v>0.85782739415822917</v>
      </c>
      <c r="F799" s="7">
        <f t="shared" ca="1" si="51"/>
        <v>2.4667597054952226E-2</v>
      </c>
      <c r="G799" s="7">
        <f ca="1">$C$11/(1+D799)^1
 +$D$11/(1+D799)^2
 +$E$11/(1+D799)^3
 +$F$11/(1+D799)^4
 +$G$11/(1+D799)^5
 +$H$11/(1+D799)^6
 +$I$11/(1+D799)^7
 + ( $I$11*(1+F799)/(D799-F799) )/(1+D799)^7</f>
        <v>541.89836015501714</v>
      </c>
      <c r="H799" s="7">
        <f ca="1">(G799-$C$8)/$C$9</f>
        <v>2.9988034834634618</v>
      </c>
    </row>
    <row r="800" spans="3:8" x14ac:dyDescent="0.35">
      <c r="C800" s="8">
        <f t="shared" ca="1" si="48"/>
        <v>0.70397973953783588</v>
      </c>
      <c r="D800" s="7">
        <f t="shared" ca="1" si="49"/>
        <v>9.4804744057420814E-2</v>
      </c>
      <c r="E800" s="7">
        <f t="shared" ca="1" si="50"/>
        <v>0.37283719009240679</v>
      </c>
      <c r="F800" s="7">
        <f t="shared" ca="1" si="51"/>
        <v>1.8635243946668871E-2</v>
      </c>
      <c r="G800" s="7">
        <f ca="1">$C$11/(1+D800)^1
 +$D$11/(1+D800)^2
 +$E$11/(1+D800)^3
 +$F$11/(1+D800)^4
 +$G$11/(1+D800)^5
 +$H$11/(1+D800)^6
 +$I$11/(1+D800)^7
 + ( $I$11*(1+F800)/(D800-F800) )/(1+D800)^7</f>
        <v>351.11054168918088</v>
      </c>
      <c r="H800" s="7">
        <f ca="1">(G800-$C$8)/$C$9</f>
        <v>1.9201749304001632</v>
      </c>
    </row>
    <row r="801" spans="3:8" x14ac:dyDescent="0.35">
      <c r="C801" s="8">
        <f t="shared" ca="1" si="48"/>
        <v>0.10797323119870128</v>
      </c>
      <c r="D801" s="7">
        <f t="shared" ca="1" si="49"/>
        <v>7.940946595630885E-2</v>
      </c>
      <c r="E801" s="7">
        <f t="shared" ca="1" si="50"/>
        <v>0.2258379706228627</v>
      </c>
      <c r="F801" s="7">
        <f t="shared" ca="1" si="51"/>
        <v>1.6720684051833752E-2</v>
      </c>
      <c r="G801" s="7">
        <f ca="1">$C$11/(1+D801)^1
 +$D$11/(1+D801)^2
 +$E$11/(1+D801)^3
 +$F$11/(1+D801)^4
 +$G$11/(1+D801)^5
 +$H$11/(1+D801)^6
 +$I$11/(1+D801)^7
 + ( $I$11*(1+F801)/(D801-F801) )/(1+D801)^7</f>
        <v>434.3108453339845</v>
      </c>
      <c r="H801" s="7">
        <f ca="1">(G801-$C$8)/$C$9</f>
        <v>2.3905520428199032</v>
      </c>
    </row>
    <row r="802" spans="3:8" x14ac:dyDescent="0.35">
      <c r="C802" s="8">
        <f t="shared" ca="1" si="48"/>
        <v>0.80947171196178558</v>
      </c>
      <c r="D802" s="7">
        <f t="shared" ca="1" si="49"/>
        <v>9.7809345191097921E-2</v>
      </c>
      <c r="E802" s="7">
        <f t="shared" ca="1" si="50"/>
        <v>0.38899398521559969</v>
      </c>
      <c r="F802" s="7">
        <f t="shared" ca="1" si="51"/>
        <v>1.8820362636712842E-2</v>
      </c>
      <c r="G802" s="7">
        <f ca="1">$C$11/(1+D802)^1
 +$D$11/(1+D802)^2
 +$E$11/(1+D802)^3
 +$F$11/(1+D802)^4
 +$G$11/(1+D802)^5
 +$H$11/(1+D802)^6
 +$I$11/(1+D802)^7
 + ( $I$11*(1+F802)/(D802-F802) )/(1+D802)^7</f>
        <v>337.7051343280321</v>
      </c>
      <c r="H802" s="7">
        <f ca="1">(G802-$C$8)/$C$9</f>
        <v>1.8443867838536414</v>
      </c>
    </row>
    <row r="803" spans="3:8" x14ac:dyDescent="0.35">
      <c r="C803" s="8">
        <f t="shared" ca="1" si="48"/>
        <v>0.66077767435118262</v>
      </c>
      <c r="D803" s="7">
        <f t="shared" ca="1" si="49"/>
        <v>9.3733672387226505E-2</v>
      </c>
      <c r="E803" s="7">
        <f t="shared" ca="1" si="50"/>
        <v>0.39779936042685127</v>
      </c>
      <c r="F803" s="7">
        <f t="shared" ca="1" si="51"/>
        <v>1.8919634077997273E-2</v>
      </c>
      <c r="G803" s="7">
        <f ca="1">$C$11/(1+D803)^1
 +$D$11/(1+D803)^2
 +$E$11/(1+D803)^3
 +$F$11/(1+D803)^4
 +$G$11/(1+D803)^5
 +$H$11/(1+D803)^6
 +$I$11/(1+D803)^7
 + ( $I$11*(1+F803)/(D803-F803) )/(1+D803)^7</f>
        <v>357.2841753620591</v>
      </c>
      <c r="H803" s="7">
        <f ca="1">(G803-$C$8)/$C$9</f>
        <v>1.955077879704088</v>
      </c>
    </row>
    <row r="804" spans="3:8" x14ac:dyDescent="0.35">
      <c r="C804" s="8">
        <f t="shared" ca="1" si="48"/>
        <v>0.17024573693814715</v>
      </c>
      <c r="D804" s="7">
        <f t="shared" ca="1" si="49"/>
        <v>8.1815308048852592E-2</v>
      </c>
      <c r="E804" s="7">
        <f t="shared" ca="1" si="50"/>
        <v>0.13177020091001501</v>
      </c>
      <c r="F804" s="7">
        <f t="shared" ca="1" si="51"/>
        <v>1.513361862451848E-2</v>
      </c>
      <c r="G804" s="7">
        <f ca="1">$C$11/(1+D804)^1
 +$D$11/(1+D804)^2
 +$E$11/(1+D804)^3
 +$F$11/(1+D804)^4
 +$G$11/(1+D804)^5
 +$H$11/(1+D804)^6
 +$I$11/(1+D804)^7
 + ( $I$11*(1+F804)/(D804-F804) )/(1+D804)^7</f>
        <v>410.39251216562388</v>
      </c>
      <c r="H804" s="7">
        <f ca="1">(G804-$C$8)/$C$9</f>
        <v>2.2553285400589318</v>
      </c>
    </row>
    <row r="805" spans="3:8" x14ac:dyDescent="0.35">
      <c r="C805" s="8">
        <f t="shared" ca="1" si="48"/>
        <v>0.94603365152170626</v>
      </c>
      <c r="D805" s="7">
        <f t="shared" ca="1" si="49"/>
        <v>0.10351203022409405</v>
      </c>
      <c r="E805" s="7">
        <f t="shared" ca="1" si="50"/>
        <v>0.86461058860420448</v>
      </c>
      <c r="F805" s="7">
        <f t="shared" ca="1" si="51"/>
        <v>2.4796358748034306E-2</v>
      </c>
      <c r="G805" s="7">
        <f ca="1">$C$11/(1+D805)^1
 +$D$11/(1+D805)^2
 +$E$11/(1+D805)^3
 +$F$11/(1+D805)^4
 +$G$11/(1+D805)^5
 +$H$11/(1+D805)^6
 +$I$11/(1+D805)^7
 + ( $I$11*(1+F805)/(D805-F805) )/(1+D805)^7</f>
        <v>329.56314897182563</v>
      </c>
      <c r="H805" s="7">
        <f ca="1">(G805-$C$8)/$C$9</f>
        <v>1.7983556590446947</v>
      </c>
    </row>
    <row r="806" spans="3:8" x14ac:dyDescent="0.35">
      <c r="C806" s="8">
        <f t="shared" ca="1" si="48"/>
        <v>0.98215616719435084</v>
      </c>
      <c r="D806" s="7">
        <f t="shared" ca="1" si="49"/>
        <v>0.10626929100727404</v>
      </c>
      <c r="E806" s="7">
        <f t="shared" ca="1" si="50"/>
        <v>0.98513376360974703</v>
      </c>
      <c r="F806" s="7">
        <f t="shared" ca="1" si="51"/>
        <v>2.8275689332501071E-2</v>
      </c>
      <c r="G806" s="7">
        <f ca="1">$C$11/(1+D806)^1
 +$D$11/(1+D806)^2
 +$E$11/(1+D806)^3
 +$F$11/(1+D806)^4
 +$G$11/(1+D806)^5
 +$H$11/(1+D806)^6
 +$I$11/(1+D806)^7
 + ( $I$11*(1+F806)/(D806-F806) )/(1+D806)^7</f>
        <v>327.37638662360382</v>
      </c>
      <c r="H806" s="7">
        <f ca="1">(G806-$C$8)/$C$9</f>
        <v>1.7859926878313195</v>
      </c>
    </row>
    <row r="807" spans="3:8" x14ac:dyDescent="0.35">
      <c r="C807" s="8">
        <f t="shared" ca="1" si="48"/>
        <v>0.40308520942662363</v>
      </c>
      <c r="D807" s="7">
        <f t="shared" ca="1" si="49"/>
        <v>8.8180480514272214E-2</v>
      </c>
      <c r="E807" s="7">
        <f t="shared" ca="1" si="50"/>
        <v>0.92793176119350795</v>
      </c>
      <c r="F807" s="7">
        <f t="shared" ca="1" si="51"/>
        <v>2.6203468983229769E-2</v>
      </c>
      <c r="G807" s="7">
        <f ca="1">$C$11/(1+D807)^1
 +$D$11/(1+D807)^2
 +$E$11/(1+D807)^3
 +$F$11/(1+D807)^4
 +$G$11/(1+D807)^5
 +$H$11/(1+D807)^6
 +$I$11/(1+D807)^7
 + ( $I$11*(1+F807)/(D807-F807) )/(1+D807)^7</f>
        <v>419.49618281986568</v>
      </c>
      <c r="H807" s="7">
        <f ca="1">(G807-$C$8)/$C$9</f>
        <v>2.3067966011977932</v>
      </c>
    </row>
    <row r="808" spans="3:8" x14ac:dyDescent="0.35">
      <c r="C808" s="8">
        <f t="shared" ca="1" si="48"/>
        <v>0.14251621981631579</v>
      </c>
      <c r="D808" s="7">
        <f t="shared" ca="1" si="49"/>
        <v>8.0810333031381548E-2</v>
      </c>
      <c r="E808" s="7">
        <f t="shared" ca="1" si="50"/>
        <v>0.24252908310784338</v>
      </c>
      <c r="F808" s="7">
        <f t="shared" ca="1" si="51"/>
        <v>1.6964611735162893E-2</v>
      </c>
      <c r="G808" s="7">
        <f ca="1">$C$11/(1+D808)^1
 +$D$11/(1+D808)^2
 +$E$11/(1+D808)^3
 +$F$11/(1+D808)^4
 +$G$11/(1+D808)^5
 +$H$11/(1+D808)^6
 +$I$11/(1+D808)^7
 + ( $I$11*(1+F808)/(D808-F808) )/(1+D808)^7</f>
        <v>425.60040760899915</v>
      </c>
      <c r="H808" s="7">
        <f ca="1">(G808-$C$8)/$C$9</f>
        <v>2.3413071438772</v>
      </c>
    </row>
    <row r="809" spans="3:8" x14ac:dyDescent="0.35">
      <c r="C809" s="8">
        <f t="shared" ca="1" si="48"/>
        <v>0.9060938988642665</v>
      </c>
      <c r="D809" s="7">
        <f t="shared" ca="1" si="49"/>
        <v>0.10144156796569184</v>
      </c>
      <c r="E809" s="7">
        <f t="shared" ca="1" si="50"/>
        <v>0.17905041341149419</v>
      </c>
      <c r="F809" s="7">
        <f t="shared" ca="1" si="51"/>
        <v>1.5984152628593193E-2</v>
      </c>
      <c r="G809" s="7">
        <f ca="1">$C$11/(1+D809)^1
 +$D$11/(1+D809)^2
 +$E$11/(1+D809)^3
 +$F$11/(1+D809)^4
 +$G$11/(1+D809)^5
 +$H$11/(1+D809)^6
 +$I$11/(1+D809)^7
 + ( $I$11*(1+F809)/(D809-F809) )/(1+D809)^7</f>
        <v>315.06257102498466</v>
      </c>
      <c r="H809" s="7">
        <f ca="1">(G809-$C$8)/$C$9</f>
        <v>1.7163759103628711</v>
      </c>
    </row>
    <row r="810" spans="3:8" x14ac:dyDescent="0.35">
      <c r="C810" s="8">
        <f t="shared" ca="1" si="48"/>
        <v>0.96705860583232461</v>
      </c>
      <c r="D810" s="7">
        <f t="shared" ca="1" si="49"/>
        <v>0.10493104671053413</v>
      </c>
      <c r="E810" s="7">
        <f t="shared" ca="1" si="50"/>
        <v>0.51598461106178661</v>
      </c>
      <c r="F810" s="7">
        <f t="shared" ca="1" si="51"/>
        <v>2.0161144487917171E-2</v>
      </c>
      <c r="G810" s="7">
        <f ca="1">$C$11/(1+D810)^1
 +$D$11/(1+D810)^2
 +$E$11/(1+D810)^3
 +$F$11/(1+D810)^4
 +$G$11/(1+D810)^5
 +$H$11/(1+D810)^6
 +$I$11/(1+D810)^7
 + ( $I$11*(1+F810)/(D810-F810) )/(1+D810)^7</f>
        <v>311.65663413082564</v>
      </c>
      <c r="H810" s="7">
        <f ca="1">(G810-$C$8)/$C$9</f>
        <v>1.69712027437147</v>
      </c>
    </row>
    <row r="811" spans="3:8" x14ac:dyDescent="0.35">
      <c r="C811" s="8">
        <f t="shared" ca="1" si="48"/>
        <v>0.91753420855679457</v>
      </c>
      <c r="D811" s="7">
        <f t="shared" ca="1" si="49"/>
        <v>0.10197981812390142</v>
      </c>
      <c r="E811" s="7">
        <f t="shared" ca="1" si="50"/>
        <v>0.52339317382372141</v>
      </c>
      <c r="F811" s="7">
        <f t="shared" ca="1" si="51"/>
        <v>2.0236733884848999E-2</v>
      </c>
      <c r="G811" s="7">
        <f ca="1">$C$11/(1+D811)^1
 +$D$11/(1+D811)^2
 +$E$11/(1+D811)^3
 +$F$11/(1+D811)^4
 +$G$11/(1+D811)^5
 +$H$11/(1+D811)^6
 +$I$11/(1+D811)^7
 + ( $I$11*(1+F811)/(D811-F811) )/(1+D811)^7</f>
        <v>323.64429783182629</v>
      </c>
      <c r="H811" s="7">
        <f ca="1">(G811-$C$8)/$C$9</f>
        <v>1.7648931356389996</v>
      </c>
    </row>
    <row r="812" spans="3:8" x14ac:dyDescent="0.35">
      <c r="C812" s="8">
        <f t="shared" ca="1" si="48"/>
        <v>0.20426613325429532</v>
      </c>
      <c r="D812" s="7">
        <f t="shared" ca="1" si="49"/>
        <v>8.2942110696038809E-2</v>
      </c>
      <c r="E812" s="7">
        <f t="shared" ca="1" si="50"/>
        <v>0.40940414276115134</v>
      </c>
      <c r="F812" s="7">
        <f t="shared" ca="1" si="51"/>
        <v>1.9048802603230455E-2</v>
      </c>
      <c r="G812" s="7">
        <f ca="1">$C$11/(1+D812)^1
 +$D$11/(1+D812)^2
 +$E$11/(1+D812)^3
 +$F$11/(1+D812)^4
 +$G$11/(1+D812)^5
 +$H$11/(1+D812)^6
 +$I$11/(1+D812)^7
 + ( $I$11*(1+F812)/(D812-F812) )/(1+D812)^7</f>
        <v>420.94020823980208</v>
      </c>
      <c r="H812" s="7">
        <f ca="1">(G812-$C$8)/$C$9</f>
        <v>2.314960471731129</v>
      </c>
    </row>
    <row r="813" spans="3:8" x14ac:dyDescent="0.35">
      <c r="C813" s="8">
        <f t="shared" ca="1" si="48"/>
        <v>0.5625192018041919</v>
      </c>
      <c r="D813" s="7">
        <f t="shared" ca="1" si="49"/>
        <v>9.152745219000015E-2</v>
      </c>
      <c r="E813" s="7">
        <f t="shared" ca="1" si="50"/>
        <v>0.4118286250638743</v>
      </c>
      <c r="F813" s="7">
        <f t="shared" ca="1" si="51"/>
        <v>1.9075556457472723E-2</v>
      </c>
      <c r="G813" s="7">
        <f ca="1">$C$11/(1+D813)^1
 +$D$11/(1+D813)^2
 +$E$11/(1+D813)^3
 +$F$11/(1+D813)^4
 +$G$11/(1+D813)^5
 +$H$11/(1+D813)^6
 +$I$11/(1+D813)^7
 + ( $I$11*(1+F813)/(D813-F813) )/(1+D813)^7</f>
        <v>369.19073205646453</v>
      </c>
      <c r="H813" s="7">
        <f ca="1">(G813-$C$8)/$C$9</f>
        <v>2.0223921984196318</v>
      </c>
    </row>
    <row r="814" spans="3:8" x14ac:dyDescent="0.35">
      <c r="C814" s="8">
        <f t="shared" ca="1" si="48"/>
        <v>0.35859200375096345</v>
      </c>
      <c r="D814" s="7">
        <f t="shared" ca="1" si="49"/>
        <v>8.7147753295280114E-2</v>
      </c>
      <c r="E814" s="7">
        <f t="shared" ca="1" si="50"/>
        <v>0.42410806408087753</v>
      </c>
      <c r="F814" s="7">
        <f t="shared" ca="1" si="51"/>
        <v>1.9209864972743927E-2</v>
      </c>
      <c r="G814" s="7">
        <f ca="1">$C$11/(1+D814)^1
 +$D$11/(1+D814)^2
 +$E$11/(1+D814)^3
 +$F$11/(1+D814)^4
 +$G$11/(1+D814)^5
 +$H$11/(1+D814)^6
 +$I$11/(1+D814)^7
 + ( $I$11*(1+F814)/(D814-F814) )/(1+D814)^7</f>
        <v>394.56489790719695</v>
      </c>
      <c r="H814" s="7">
        <f ca="1">(G814-$C$8)/$C$9</f>
        <v>2.1658463246675539</v>
      </c>
    </row>
    <row r="815" spans="3:8" x14ac:dyDescent="0.35">
      <c r="C815" s="8">
        <f t="shared" ca="1" si="48"/>
        <v>0.75170358040435159</v>
      </c>
      <c r="D815" s="7">
        <f t="shared" ca="1" si="49"/>
        <v>9.6083419698625466E-2</v>
      </c>
      <c r="E815" s="7">
        <f t="shared" ca="1" si="50"/>
        <v>2.1814833181826865E-3</v>
      </c>
      <c r="F815" s="7">
        <f t="shared" ca="1" si="51"/>
        <v>1.0660527564630377E-2</v>
      </c>
      <c r="G815" s="7">
        <f ca="1">$C$11/(1+D815)^1
 +$D$11/(1+D815)^2
 +$E$11/(1+D815)^3
 +$F$11/(1+D815)^4
 +$G$11/(1+D815)^5
 +$H$11/(1+D815)^6
 +$I$11/(1+D815)^7
 + ( $I$11*(1+F815)/(D815-F815) )/(1+D815)^7</f>
        <v>323.11381192906703</v>
      </c>
      <c r="H815" s="7">
        <f ca="1">(G815-$C$8)/$C$9</f>
        <v>1.7618940068355213</v>
      </c>
    </row>
    <row r="816" spans="3:8" x14ac:dyDescent="0.35">
      <c r="C816" s="8">
        <f t="shared" ca="1" si="48"/>
        <v>0.51630355541064654</v>
      </c>
      <c r="D816" s="7">
        <f t="shared" ca="1" si="49"/>
        <v>9.0576220069726501E-2</v>
      </c>
      <c r="E816" s="7">
        <f t="shared" ca="1" si="50"/>
        <v>0.48343119681262992</v>
      </c>
      <c r="F816" s="7">
        <f t="shared" ca="1" si="51"/>
        <v>1.9832916116927165E-2</v>
      </c>
      <c r="G816" s="7">
        <f ca="1">$C$11/(1+D816)^1
 +$D$11/(1+D816)^2
 +$E$11/(1+D816)^3
 +$F$11/(1+D816)^4
 +$G$11/(1+D816)^5
 +$H$11/(1+D816)^6
 +$I$11/(1+D816)^7
 + ( $I$11*(1+F816)/(D816-F816) )/(1+D816)^7</f>
        <v>377.12884092372281</v>
      </c>
      <c r="H816" s="7">
        <f ca="1">(G816-$C$8)/$C$9</f>
        <v>2.0672706972168862</v>
      </c>
    </row>
    <row r="817" spans="3:8" x14ac:dyDescent="0.35">
      <c r="C817" s="8">
        <f t="shared" ca="1" si="48"/>
        <v>0.25296007391495667</v>
      </c>
      <c r="D817" s="7">
        <f t="shared" ca="1" si="49"/>
        <v>8.4402335248502741E-2</v>
      </c>
      <c r="E817" s="7">
        <f t="shared" ca="1" si="50"/>
        <v>5.3634672463565458E-2</v>
      </c>
      <c r="F817" s="7">
        <f t="shared" ca="1" si="51"/>
        <v>1.3275199916449848E-2</v>
      </c>
      <c r="G817" s="7">
        <f ca="1">$C$11/(1+D817)^1
 +$D$11/(1+D817)^2
 +$E$11/(1+D817)^3
 +$F$11/(1+D817)^4
 +$G$11/(1+D817)^5
 +$H$11/(1+D817)^6
 +$I$11/(1+D817)^7
 + ( $I$11*(1+F817)/(D817-F817) )/(1+D817)^7</f>
        <v>387.05571327178205</v>
      </c>
      <c r="H817" s="7">
        <f ca="1">(G817-$C$8)/$C$9</f>
        <v>2.123392770645534</v>
      </c>
    </row>
    <row r="818" spans="3:8" x14ac:dyDescent="0.35">
      <c r="C818" s="8">
        <f t="shared" ca="1" si="48"/>
        <v>0.17705047479485203</v>
      </c>
      <c r="D818" s="7">
        <f t="shared" ca="1" si="49"/>
        <v>8.2049124006822183E-2</v>
      </c>
      <c r="E818" s="7">
        <f t="shared" ca="1" si="50"/>
        <v>0.5294168670322662</v>
      </c>
      <c r="F818" s="7">
        <f t="shared" ca="1" si="51"/>
        <v>2.0298627592265785E-2</v>
      </c>
      <c r="G818" s="7">
        <f ca="1">$C$11/(1+D818)^1
 +$D$11/(1+D818)^2
 +$E$11/(1+D818)^3
 +$F$11/(1+D818)^4
 +$G$11/(1+D818)^5
 +$H$11/(1+D818)^6
 +$I$11/(1+D818)^7
 + ( $I$11*(1+F818)/(D818-F818) )/(1+D818)^7</f>
        <v>433.46443149389091</v>
      </c>
      <c r="H818" s="7">
        <f ca="1">(G818-$C$8)/$C$9</f>
        <v>2.3857667994905638</v>
      </c>
    </row>
    <row r="819" spans="3:8" x14ac:dyDescent="0.35">
      <c r="C819" s="8">
        <f t="shared" ca="1" si="48"/>
        <v>8.6955052975311697E-2</v>
      </c>
      <c r="D819" s="7">
        <f t="shared" ca="1" si="49"/>
        <v>7.8444118866984033E-2</v>
      </c>
      <c r="E819" s="7">
        <f t="shared" ca="1" si="50"/>
        <v>0.54114457528739934</v>
      </c>
      <c r="F819" s="7">
        <f t="shared" ca="1" si="51"/>
        <v>2.042027740785151E-2</v>
      </c>
      <c r="G819" s="7">
        <f ca="1">$C$11/(1+D819)^1
 +$D$11/(1+D819)^2
 +$E$11/(1+D819)^3
 +$F$11/(1+D819)^4
 +$G$11/(1+D819)^5
 +$H$11/(1+D819)^6
 +$I$11/(1+D819)^7
 + ( $I$11*(1+F819)/(D819-F819) )/(1+D819)^7</f>
        <v>462.10544482122009</v>
      </c>
      <c r="H819" s="7">
        <f ca="1">(G819-$C$8)/$C$9</f>
        <v>2.5476902126934649</v>
      </c>
    </row>
    <row r="820" spans="3:8" x14ac:dyDescent="0.35">
      <c r="C820" s="8">
        <f t="shared" ca="1" si="48"/>
        <v>0.51249975852728613</v>
      </c>
      <c r="D820" s="7">
        <f t="shared" ca="1" si="49"/>
        <v>9.0499995170545161E-2</v>
      </c>
      <c r="E820" s="7">
        <f t="shared" ca="1" si="50"/>
        <v>0.1031220401386207</v>
      </c>
      <c r="F820" s="7">
        <f t="shared" ca="1" si="51"/>
        <v>1.4541410356676013E-2</v>
      </c>
      <c r="G820" s="7">
        <f ca="1">$C$11/(1+D820)^1
 +$D$11/(1+D820)^2
 +$E$11/(1+D820)^3
 +$F$11/(1+D820)^4
 +$G$11/(1+D820)^5
 +$H$11/(1+D820)^6
 +$I$11/(1+D820)^7
 + ( $I$11*(1+F820)/(D820-F820) )/(1+D820)^7</f>
        <v>359.05911904873926</v>
      </c>
      <c r="H820" s="7">
        <f ca="1">(G820-$C$8)/$C$9</f>
        <v>1.9651126133465584</v>
      </c>
    </row>
    <row r="821" spans="3:8" x14ac:dyDescent="0.35">
      <c r="C821" s="8">
        <f t="shared" ca="1" si="48"/>
        <v>0.80883688414158394</v>
      </c>
      <c r="D821" s="7">
        <f t="shared" ca="1" si="49"/>
        <v>9.7789052847155361E-2</v>
      </c>
      <c r="E821" s="7">
        <f t="shared" ca="1" si="50"/>
        <v>0.45780737080980705</v>
      </c>
      <c r="F821" s="7">
        <f t="shared" ca="1" si="51"/>
        <v>1.9568776001242866E-2</v>
      </c>
      <c r="G821" s="7">
        <f ca="1">$C$11/(1+D821)^1
 +$D$11/(1+D821)^2
 +$E$11/(1+D821)^3
 +$F$11/(1+D821)^4
 +$G$11/(1+D821)^5
 +$H$11/(1+D821)^6
 +$I$11/(1+D821)^7
 + ( $I$11*(1+F821)/(D821-F821) )/(1+D821)^7</f>
        <v>339.98003280904715</v>
      </c>
      <c r="H821" s="7">
        <f ca="1">(G821-$C$8)/$C$9</f>
        <v>1.8572480371384392</v>
      </c>
    </row>
    <row r="822" spans="3:8" x14ac:dyDescent="0.35">
      <c r="C822" s="8">
        <f t="shared" ca="1" si="48"/>
        <v>0.57887722254088181</v>
      </c>
      <c r="D822" s="7">
        <f t="shared" ca="1" si="49"/>
        <v>9.1876099580440407E-2</v>
      </c>
      <c r="E822" s="7">
        <f t="shared" ca="1" si="50"/>
        <v>0.5769688375799259</v>
      </c>
      <c r="F822" s="7">
        <f t="shared" ca="1" si="51"/>
        <v>2.0801835374162147E-2</v>
      </c>
      <c r="G822" s="7">
        <f ca="1">$C$11/(1+D822)^1
 +$D$11/(1+D822)^2
 +$E$11/(1+D822)^3
 +$F$11/(1+D822)^4
 +$G$11/(1+D822)^5
 +$H$11/(1+D822)^6
 +$I$11/(1+D822)^7
 + ( $I$11*(1+F822)/(D822-F822) )/(1+D822)^7</f>
        <v>373.55606293073254</v>
      </c>
      <c r="H822" s="7">
        <f ca="1">(G822-$C$8)/$C$9</f>
        <v>2.0470718166595008</v>
      </c>
    </row>
    <row r="823" spans="3:8" x14ac:dyDescent="0.35">
      <c r="C823" s="8">
        <f t="shared" ca="1" si="48"/>
        <v>0.96510123267274683</v>
      </c>
      <c r="D823" s="7">
        <f t="shared" ca="1" si="49"/>
        <v>0.1047826214901296</v>
      </c>
      <c r="E823" s="7">
        <f t="shared" ca="1" si="50"/>
        <v>0.18557932663783916</v>
      </c>
      <c r="F823" s="7">
        <f t="shared" ca="1" si="51"/>
        <v>1.6092279157061653E-2</v>
      </c>
      <c r="G823" s="7">
        <f ca="1">$C$11/(1+D823)^1
 +$D$11/(1+D823)^2
 +$E$11/(1+D823)^3
 +$F$11/(1+D823)^4
 +$G$11/(1+D823)^5
 +$H$11/(1+D823)^6
 +$I$11/(1+D823)^7
 + ( $I$11*(1+F823)/(D823-F823) )/(1+D823)^7</f>
        <v>302.82262785680251</v>
      </c>
      <c r="H823" s="7">
        <f ca="1">(G823-$C$8)/$C$9</f>
        <v>1.6471767744052606</v>
      </c>
    </row>
    <row r="824" spans="3:8" x14ac:dyDescent="0.35">
      <c r="C824" s="8">
        <f t="shared" ca="1" si="48"/>
        <v>0.74403049773785768</v>
      </c>
      <c r="D824" s="7">
        <f t="shared" ca="1" si="49"/>
        <v>9.5870024353719815E-2</v>
      </c>
      <c r="E824" s="7">
        <f t="shared" ca="1" si="50"/>
        <v>0.94078788776909905</v>
      </c>
      <c r="F824" s="7">
        <f t="shared" ca="1" si="51"/>
        <v>2.6558717906625468E-2</v>
      </c>
      <c r="G824" s="7">
        <f ca="1">$C$11/(1+D824)^1
 +$D$11/(1+D824)^2
 +$E$11/(1+D824)^3
 +$F$11/(1+D824)^4
 +$G$11/(1+D824)^5
 +$H$11/(1+D824)^6
 +$I$11/(1+D824)^7
 + ( $I$11*(1+F824)/(D824-F824) )/(1+D824)^7</f>
        <v>373.0048971152595</v>
      </c>
      <c r="H824" s="7">
        <f ca="1">(G824-$C$8)/$C$9</f>
        <v>2.0439557729266138</v>
      </c>
    </row>
    <row r="825" spans="3:8" x14ac:dyDescent="0.35">
      <c r="C825" s="8">
        <f t="shared" ca="1" si="48"/>
        <v>0.35223338217337097</v>
      </c>
      <c r="D825" s="7">
        <f t="shared" ca="1" si="49"/>
        <v>8.6995039669920282E-2</v>
      </c>
      <c r="E825" s="7">
        <f t="shared" ca="1" si="50"/>
        <v>0.19131165783672321</v>
      </c>
      <c r="F825" s="7">
        <f t="shared" ca="1" si="51"/>
        <v>1.6185655306218141E-2</v>
      </c>
      <c r="G825" s="7">
        <f ca="1">$C$11/(1+D825)^1
 +$D$11/(1+D825)^2
 +$E$11/(1+D825)^3
 +$F$11/(1+D825)^4
 +$G$11/(1+D825)^5
 +$H$11/(1+D825)^6
 +$I$11/(1+D825)^7
 + ( $I$11*(1+F825)/(D825-F825) )/(1+D825)^7</f>
        <v>383.44049618933366</v>
      </c>
      <c r="H825" s="7">
        <f ca="1">(G825-$C$8)/$C$9</f>
        <v>2.102953958555708</v>
      </c>
    </row>
    <row r="826" spans="3:8" x14ac:dyDescent="0.35">
      <c r="C826" s="8">
        <f t="shared" ca="1" si="48"/>
        <v>0.12610169331311616</v>
      </c>
      <c r="D826" s="7">
        <f t="shared" ca="1" si="49"/>
        <v>8.0168745670767622E-2</v>
      </c>
      <c r="E826" s="7">
        <f t="shared" ca="1" si="50"/>
        <v>0.674460235578768</v>
      </c>
      <c r="F826" s="7">
        <f t="shared" ca="1" si="51"/>
        <v>2.1931050075490219E-2</v>
      </c>
      <c r="G826" s="7">
        <f ca="1">$C$11/(1+D826)^1
 +$D$11/(1+D826)^2
 +$E$11/(1+D826)^3
 +$F$11/(1+D826)^4
 +$G$11/(1+D826)^5
 +$H$11/(1+D826)^6
 +$I$11/(1+D826)^7
 + ( $I$11*(1+F826)/(D826-F826) )/(1+D826)^7</f>
        <v>456.90453946660955</v>
      </c>
      <c r="H826" s="7">
        <f ca="1">(G826-$C$8)/$C$9</f>
        <v>2.5182866319912343</v>
      </c>
    </row>
    <row r="827" spans="3:8" x14ac:dyDescent="0.35">
      <c r="C827" s="8">
        <f t="shared" ca="1" si="48"/>
        <v>0.6007224590480198</v>
      </c>
      <c r="D827" s="7">
        <f t="shared" ca="1" si="49"/>
        <v>9.2352436940400393E-2</v>
      </c>
      <c r="E827" s="7">
        <f t="shared" ca="1" si="50"/>
        <v>6.3031651540796596E-2</v>
      </c>
      <c r="F827" s="7">
        <f t="shared" ca="1" si="51"/>
        <v>1.3550539439037302E-2</v>
      </c>
      <c r="G827" s="7">
        <f ca="1">$C$11/(1+D827)^1
 +$D$11/(1+D827)^2
 +$E$11/(1+D827)^3
 +$F$11/(1+D827)^4
 +$G$11/(1+D827)^5
 +$H$11/(1+D827)^6
 +$I$11/(1+D827)^7
 + ( $I$11*(1+F827)/(D827-F827) )/(1+D827)^7</f>
        <v>347.08137142466092</v>
      </c>
      <c r="H827" s="7">
        <f ca="1">(G827-$C$8)/$C$9</f>
        <v>1.8973958131199735</v>
      </c>
    </row>
    <row r="828" spans="3:8" x14ac:dyDescent="0.35">
      <c r="C828" s="8">
        <f t="shared" ca="1" si="48"/>
        <v>0.3791451366002353</v>
      </c>
      <c r="D828" s="7">
        <f t="shared" ca="1" si="49"/>
        <v>8.7632328604361737E-2</v>
      </c>
      <c r="E828" s="7">
        <f t="shared" ca="1" si="50"/>
        <v>0.14998149926112148</v>
      </c>
      <c r="F828" s="7">
        <f t="shared" ca="1" si="51"/>
        <v>1.5476887788902043E-2</v>
      </c>
      <c r="G828" s="7">
        <f ca="1">$C$11/(1+D828)^1
 +$D$11/(1+D828)^2
 +$E$11/(1+D828)^3
 +$F$11/(1+D828)^4
 +$G$11/(1+D828)^5
 +$H$11/(1+D828)^6
 +$I$11/(1+D828)^7
 + ( $I$11*(1+F828)/(D828-F828) )/(1+D828)^7</f>
        <v>377.24150460337972</v>
      </c>
      <c r="H828" s="7">
        <f ca="1">(G828-$C$8)/$C$9</f>
        <v>2.0679076470114186</v>
      </c>
    </row>
    <row r="829" spans="3:8" x14ac:dyDescent="0.35">
      <c r="C829" s="8">
        <f t="shared" ca="1" si="48"/>
        <v>0.41749136091673977</v>
      </c>
      <c r="D829" s="7">
        <f t="shared" ca="1" si="49"/>
        <v>8.8502511071520171E-2</v>
      </c>
      <c r="E829" s="7">
        <f t="shared" ca="1" si="50"/>
        <v>0.48642466565901221</v>
      </c>
      <c r="F829" s="7">
        <f t="shared" ca="1" si="51"/>
        <v>1.9863312482721128E-2</v>
      </c>
      <c r="G829" s="7">
        <f ca="1">$C$11/(1+D829)^1
 +$D$11/(1+D829)^2
 +$E$11/(1+D829)^3
 +$F$11/(1+D829)^4
 +$G$11/(1+D829)^5
 +$H$11/(1+D829)^6
 +$I$11/(1+D829)^7
 + ( $I$11*(1+F829)/(D829-F829) )/(1+D829)^7</f>
        <v>389.13145670055167</v>
      </c>
      <c r="H829" s="7">
        <f ca="1">(G829-$C$8)/$C$9</f>
        <v>2.1351280907991388</v>
      </c>
    </row>
    <row r="830" spans="3:8" x14ac:dyDescent="0.35">
      <c r="C830" s="8">
        <f t="shared" ca="1" si="48"/>
        <v>0.38239450647011675</v>
      </c>
      <c r="D830" s="7">
        <f t="shared" ca="1" si="49"/>
        <v>8.7707724170697249E-2</v>
      </c>
      <c r="E830" s="7">
        <f t="shared" ca="1" si="50"/>
        <v>0.31947497068675534</v>
      </c>
      <c r="F830" s="7">
        <f t="shared" ca="1" si="51"/>
        <v>1.7993434439422834E-2</v>
      </c>
      <c r="G830" s="7">
        <f ca="1">$C$11/(1+D830)^1
 +$D$11/(1+D830)^2
 +$E$11/(1+D830)^3
 +$F$11/(1+D830)^4
 +$G$11/(1+D830)^5
 +$H$11/(1+D830)^6
 +$I$11/(1+D830)^7
 + ( $I$11*(1+F830)/(D830-F830) )/(1+D830)^7</f>
        <v>386.35004796055796</v>
      </c>
      <c r="H830" s="7">
        <f ca="1">(G830-$C$8)/$C$9</f>
        <v>2.1194032562220597</v>
      </c>
    </row>
    <row r="831" spans="3:8" x14ac:dyDescent="0.35">
      <c r="C831" s="8">
        <f t="shared" ca="1" si="48"/>
        <v>0.16209797443967489</v>
      </c>
      <c r="D831" s="7">
        <f t="shared" ca="1" si="49"/>
        <v>8.1529108336750658E-2</v>
      </c>
      <c r="E831" s="7">
        <f t="shared" ca="1" si="50"/>
        <v>0.68549672497971259</v>
      </c>
      <c r="F831" s="7">
        <f t="shared" ca="1" si="51"/>
        <v>2.2069006682384769E-2</v>
      </c>
      <c r="G831" s="7">
        <f ca="1">$C$11/(1+D831)^1
 +$D$11/(1+D831)^2
 +$E$11/(1+D831)^3
 +$F$11/(1+D831)^4
 +$G$11/(1+D831)^5
 +$H$11/(1+D831)^6
 +$I$11/(1+D831)^7
 + ( $I$11*(1+F831)/(D831-F831) )/(1+D831)^7</f>
        <v>446.87373593379328</v>
      </c>
      <c r="H831" s="7">
        <f ca="1">(G831-$C$8)/$C$9</f>
        <v>2.4615769783683472</v>
      </c>
    </row>
    <row r="832" spans="3:8" x14ac:dyDescent="0.35">
      <c r="C832" s="8">
        <f t="shared" ca="1" si="48"/>
        <v>0.51714465344857008</v>
      </c>
      <c r="D832" s="7">
        <f t="shared" ca="1" si="49"/>
        <v>9.0593115388859669E-2</v>
      </c>
      <c r="E832" s="7">
        <f t="shared" ca="1" si="50"/>
        <v>0.222928028005415</v>
      </c>
      <c r="F832" s="7">
        <f t="shared" ca="1" si="51"/>
        <v>1.6677245360257702E-2</v>
      </c>
      <c r="G832" s="7">
        <f ca="1">$C$11/(1+D832)^1
 +$D$11/(1+D832)^2
 +$E$11/(1+D832)^3
 +$F$11/(1+D832)^4
 +$G$11/(1+D832)^5
 +$H$11/(1+D832)^6
 +$I$11/(1+D832)^7
 + ( $I$11*(1+F832)/(D832-F832) )/(1+D832)^7</f>
        <v>365.72166527233003</v>
      </c>
      <c r="H832" s="7">
        <f ca="1">(G832-$C$8)/$C$9</f>
        <v>2.002779654411635</v>
      </c>
    </row>
    <row r="833" spans="3:8" x14ac:dyDescent="0.35">
      <c r="C833" s="8">
        <f t="shared" ca="1" si="48"/>
        <v>0.74663713118214148</v>
      </c>
      <c r="D833" s="7">
        <f t="shared" ca="1" si="49"/>
        <v>9.5942153874866543E-2</v>
      </c>
      <c r="E833" s="7">
        <f t="shared" ca="1" si="50"/>
        <v>0.59370171409980699</v>
      </c>
      <c r="F833" s="7">
        <f t="shared" ca="1" si="51"/>
        <v>2.098558614329037E-2</v>
      </c>
      <c r="G833" s="7">
        <f ca="1">$C$11/(1+D833)^1
 +$D$11/(1+D833)^2
 +$E$11/(1+D833)^3
 +$F$11/(1+D833)^4
 +$G$11/(1+D833)^5
 +$H$11/(1+D833)^6
 +$I$11/(1+D833)^7
 + ( $I$11*(1+F833)/(D833-F833) )/(1+D833)^7</f>
        <v>353.09085858285107</v>
      </c>
      <c r="H833" s="7">
        <f ca="1">(G833-$C$8)/$C$9</f>
        <v>1.9313707518252548</v>
      </c>
    </row>
    <row r="834" spans="3:8" x14ac:dyDescent="0.35">
      <c r="C834" s="8">
        <f t="shared" ca="1" si="48"/>
        <v>0.88432072343001045</v>
      </c>
      <c r="D834" s="7">
        <f t="shared" ca="1" si="49"/>
        <v>0.10050106133693917</v>
      </c>
      <c r="E834" s="7">
        <f t="shared" ca="1" si="50"/>
        <v>0.63011397639593969</v>
      </c>
      <c r="F834" s="7">
        <f t="shared" ca="1" si="51"/>
        <v>2.1398999783698872E-2</v>
      </c>
      <c r="G834" s="7">
        <f ca="1">$C$11/(1+D834)^1
 +$D$11/(1+D834)^2
 +$E$11/(1+D834)^3
 +$F$11/(1+D834)^4
 +$G$11/(1+D834)^5
 +$H$11/(1+D834)^6
 +$I$11/(1+D834)^7
 + ( $I$11*(1+F834)/(D834-F834) )/(1+D834)^7</f>
        <v>333.13998258744687</v>
      </c>
      <c r="H834" s="7">
        <f ca="1">(G834-$C$8)/$C$9</f>
        <v>1.8185774682691478</v>
      </c>
    </row>
    <row r="835" spans="3:8" x14ac:dyDescent="0.35">
      <c r="C835" s="8">
        <f t="shared" ca="1" si="48"/>
        <v>0.39150312742853854</v>
      </c>
      <c r="D835" s="7">
        <f t="shared" ca="1" si="49"/>
        <v>8.7917381630455982E-2</v>
      </c>
      <c r="E835" s="7">
        <f t="shared" ca="1" si="50"/>
        <v>0.52594633111591527</v>
      </c>
      <c r="F835" s="7">
        <f t="shared" ca="1" si="51"/>
        <v>2.0262919648230432E-2</v>
      </c>
      <c r="G835" s="7">
        <f ca="1">$C$11/(1+D835)^1
 +$D$11/(1+D835)^2
 +$E$11/(1+D835)^3
 +$F$11/(1+D835)^4
 +$G$11/(1+D835)^5
 +$H$11/(1+D835)^6
 +$I$11/(1+D835)^7
 + ( $I$11*(1+F835)/(D835-F835) )/(1+D835)^7</f>
        <v>394.2695622142889</v>
      </c>
      <c r="H835" s="7">
        <f ca="1">(G835-$C$8)/$C$9</f>
        <v>2.1641766294340168</v>
      </c>
    </row>
    <row r="836" spans="3:8" x14ac:dyDescent="0.35">
      <c r="C836" s="8">
        <f t="shared" ca="1" si="48"/>
        <v>3.4093609066595532E-3</v>
      </c>
      <c r="D836" s="7">
        <f t="shared" ca="1" si="49"/>
        <v>7.1672027494828011E-2</v>
      </c>
      <c r="E836" s="7">
        <f t="shared" ca="1" si="50"/>
        <v>0.38403594074166858</v>
      </c>
      <c r="F836" s="7">
        <f t="shared" ca="1" si="51"/>
        <v>1.8763971026214868E-2</v>
      </c>
      <c r="G836" s="7">
        <f ca="1">$C$11/(1+D836)^1
 +$D$11/(1+D836)^2
 +$E$11/(1+D836)^3
 +$F$11/(1+D836)^4
 +$G$11/(1+D836)^5
 +$H$11/(1+D836)^6
 +$I$11/(1+D836)^7
 + ( $I$11*(1+F836)/(D836-F836) )/(1+D836)^7</f>
        <v>512.71588448075272</v>
      </c>
      <c r="H836" s="7">
        <f ca="1">(G836-$C$8)/$C$9</f>
        <v>2.8338188855763948</v>
      </c>
    </row>
    <row r="837" spans="3:8" x14ac:dyDescent="0.35">
      <c r="C837" s="8">
        <f t="shared" ca="1" si="48"/>
        <v>0.59983223757591964</v>
      </c>
      <c r="D837" s="7">
        <f t="shared" ca="1" si="49"/>
        <v>9.2332774561613179E-2</v>
      </c>
      <c r="E837" s="7">
        <f t="shared" ca="1" si="50"/>
        <v>0.53411000395786346</v>
      </c>
      <c r="F837" s="7">
        <f t="shared" ca="1" si="51"/>
        <v>2.0347124821669595E-2</v>
      </c>
      <c r="G837" s="7">
        <f ca="1">$C$11/(1+D837)^1
 +$D$11/(1+D837)^2
 +$E$11/(1+D837)^3
 +$F$11/(1+D837)^4
 +$G$11/(1+D837)^5
 +$H$11/(1+D837)^6
 +$I$11/(1+D837)^7
 + ( $I$11*(1+F837)/(D837-F837) )/(1+D837)^7</f>
        <v>369.43055690449739</v>
      </c>
      <c r="H837" s="7">
        <f ca="1">(G837-$C$8)/$C$9</f>
        <v>2.0237480602922737</v>
      </c>
    </row>
    <row r="838" spans="3:8" x14ac:dyDescent="0.35">
      <c r="C838" s="8">
        <f t="shared" ca="1" si="48"/>
        <v>0.38716266540576694</v>
      </c>
      <c r="D838" s="7">
        <f t="shared" ca="1" si="49"/>
        <v>8.7817782848399764E-2</v>
      </c>
      <c r="E838" s="7">
        <f t="shared" ca="1" si="50"/>
        <v>0.35201908113736369</v>
      </c>
      <c r="F838" s="7">
        <f t="shared" ca="1" si="51"/>
        <v>1.8390698196662343E-2</v>
      </c>
      <c r="G838" s="7">
        <f ca="1">$C$11/(1+D838)^1
 +$D$11/(1+D838)^2
 +$E$11/(1+D838)^3
 +$F$11/(1+D838)^4
 +$G$11/(1+D838)^5
 +$H$11/(1+D838)^6
 +$I$11/(1+D838)^7
 + ( $I$11*(1+F838)/(D838-F838) )/(1+D838)^7</f>
        <v>387.27445088488173</v>
      </c>
      <c r="H838" s="7">
        <f ca="1">(G838-$C$8)/$C$9</f>
        <v>2.1246294147720586</v>
      </c>
    </row>
    <row r="839" spans="3:8" x14ac:dyDescent="0.35">
      <c r="C839" s="8">
        <f t="shared" ca="1" si="48"/>
        <v>0.31627644308055303</v>
      </c>
      <c r="D839" s="7">
        <f t="shared" ca="1" si="49"/>
        <v>8.6104244264356325E-2</v>
      </c>
      <c r="E839" s="7">
        <f t="shared" ca="1" si="50"/>
        <v>0.41480547398899503</v>
      </c>
      <c r="F839" s="7">
        <f t="shared" ca="1" si="51"/>
        <v>1.9108298128508915E-2</v>
      </c>
      <c r="G839" s="7">
        <f ca="1">$C$11/(1+D839)^1
 +$D$11/(1+D839)^2
 +$E$11/(1+D839)^3
 +$F$11/(1+D839)^4
 +$G$11/(1+D839)^5
 +$H$11/(1+D839)^6
 +$I$11/(1+D839)^7
 + ( $I$11*(1+F839)/(D839-F839) )/(1+D839)^7</f>
        <v>400.5451775550755</v>
      </c>
      <c r="H839" s="7">
        <f ca="1">(G839-$C$8)/$C$9</f>
        <v>2.1996561372403636</v>
      </c>
    </row>
    <row r="840" spans="3:8" x14ac:dyDescent="0.35">
      <c r="C840" s="8">
        <f t="shared" ca="1" si="48"/>
        <v>0.87442928162236244</v>
      </c>
      <c r="D840" s="7">
        <f t="shared" ca="1" si="49"/>
        <v>0.10010327527236625</v>
      </c>
      <c r="E840" s="7">
        <f t="shared" ca="1" si="50"/>
        <v>0.27677232400407303</v>
      </c>
      <c r="F840" s="7">
        <f t="shared" ca="1" si="51"/>
        <v>1.7440058118107317E-2</v>
      </c>
      <c r="G840" s="7">
        <f ca="1">$C$11/(1+D840)^1
 +$D$11/(1+D840)^2
 +$E$11/(1+D840)^3
 +$F$11/(1+D840)^4
 +$G$11/(1+D840)^5
 +$H$11/(1+D840)^6
 +$I$11/(1+D840)^7
 + ( $I$11*(1+F840)/(D840-F840) )/(1+D840)^7</f>
        <v>324.06840381240534</v>
      </c>
      <c r="H840" s="7">
        <f ca="1">(G840-$C$8)/$C$9</f>
        <v>1.7672908401877279</v>
      </c>
    </row>
    <row r="841" spans="3:8" x14ac:dyDescent="0.35">
      <c r="C841" s="8">
        <f t="shared" ca="1" si="48"/>
        <v>0.78716695976877449</v>
      </c>
      <c r="D841" s="7">
        <f t="shared" ca="1" si="49"/>
        <v>9.7115522075755037E-2</v>
      </c>
      <c r="E841" s="7">
        <f t="shared" ca="1" si="50"/>
        <v>0.71529220946668581</v>
      </c>
      <c r="F841" s="7">
        <f t="shared" ca="1" si="51"/>
        <v>2.2454036966253886E-2</v>
      </c>
      <c r="G841" s="7">
        <f ca="1">$C$11/(1+D841)^1
 +$D$11/(1+D841)^2
 +$E$11/(1+D841)^3
 +$F$11/(1+D841)^4
 +$G$11/(1+D841)^5
 +$H$11/(1+D841)^6
 +$I$11/(1+D841)^7
 + ( $I$11*(1+F841)/(D841-F841) )/(1+D841)^7</f>
        <v>352.08596962042282</v>
      </c>
      <c r="H841" s="7">
        <f ca="1">(G841-$C$8)/$C$9</f>
        <v>1.9256895613999481</v>
      </c>
    </row>
    <row r="842" spans="3:8" x14ac:dyDescent="0.35">
      <c r="C842" s="8">
        <f t="shared" ca="1" si="48"/>
        <v>0.26117497269647161</v>
      </c>
      <c r="D842" s="7">
        <f t="shared" ca="1" si="49"/>
        <v>8.463432532135004E-2</v>
      </c>
      <c r="E842" s="7">
        <f t="shared" ca="1" si="50"/>
        <v>0.56160185086354497</v>
      </c>
      <c r="F842" s="7">
        <f t="shared" ca="1" si="51"/>
        <v>2.0636259837688201E-2</v>
      </c>
      <c r="G842" s="7">
        <f ca="1">$C$11/(1+D842)^1
 +$D$11/(1+D842)^2
 +$E$11/(1+D842)^3
 +$F$11/(1+D842)^4
 +$G$11/(1+D842)^5
 +$H$11/(1+D842)^6
 +$I$11/(1+D842)^7
 + ( $I$11*(1+F842)/(D842-F842) )/(1+D842)^7</f>
        <v>416.96911781150004</v>
      </c>
      <c r="H842" s="7">
        <f ca="1">(G842-$C$8)/$C$9</f>
        <v>2.2925097117339441</v>
      </c>
    </row>
    <row r="843" spans="3:8" x14ac:dyDescent="0.35">
      <c r="C843" s="8">
        <f t="shared" ca="1" si="48"/>
        <v>6.0731855545744451E-2</v>
      </c>
      <c r="D843" s="7">
        <f t="shared" ca="1" si="49"/>
        <v>7.7056920117693731E-2</v>
      </c>
      <c r="E843" s="7">
        <f t="shared" ca="1" si="50"/>
        <v>3.9265390224443419E-2</v>
      </c>
      <c r="F843" s="7">
        <f t="shared" ca="1" si="51"/>
        <v>1.2802334392054004E-2</v>
      </c>
      <c r="G843" s="7">
        <f ca="1">$C$11/(1+D843)^1
 +$D$11/(1+D843)^2
 +$E$11/(1+D843)^3
 +$F$11/(1+D843)^4
 +$G$11/(1+D843)^5
 +$H$11/(1+D843)^6
 +$I$11/(1+D843)^7
 + ( $I$11*(1+F843)/(D843-F843) )/(1+D843)^7</f>
        <v>431.53347216825563</v>
      </c>
      <c r="H843" s="7">
        <f ca="1">(G843-$C$8)/$C$9</f>
        <v>2.3748500235654433</v>
      </c>
    </row>
    <row r="844" spans="3:8" x14ac:dyDescent="0.35">
      <c r="C844" s="8">
        <f t="shared" ca="1" si="48"/>
        <v>0.76157967278134064</v>
      </c>
      <c r="D844" s="7">
        <f t="shared" ca="1" si="49"/>
        <v>9.6362996838360915E-2</v>
      </c>
      <c r="E844" s="7">
        <f t="shared" ca="1" si="50"/>
        <v>0.90368702197654405</v>
      </c>
      <c r="F844" s="7">
        <f t="shared" ca="1" si="51"/>
        <v>2.5611082638657776E-2</v>
      </c>
      <c r="G844" s="7">
        <f ca="1">$C$11/(1+D844)^1
 +$D$11/(1+D844)^2
 +$E$11/(1+D844)^3
 +$F$11/(1+D844)^4
 +$G$11/(1+D844)^5
 +$H$11/(1+D844)^6
 +$I$11/(1+D844)^7
 + ( $I$11*(1+F844)/(D844-F844) )/(1+D844)^7</f>
        <v>366.78978019365832</v>
      </c>
      <c r="H844" s="7">
        <f ca="1">(G844-$C$8)/$C$9</f>
        <v>2.0088182959840473</v>
      </c>
    </row>
    <row r="845" spans="3:8" x14ac:dyDescent="0.35">
      <c r="C845" s="8">
        <f t="shared" ca="1" si="48"/>
        <v>0.4007088258202125</v>
      </c>
      <c r="D845" s="7">
        <f t="shared" ca="1" si="49"/>
        <v>8.8126809900602315E-2</v>
      </c>
      <c r="E845" s="7">
        <f t="shared" ca="1" si="50"/>
        <v>0.33814876701121599</v>
      </c>
      <c r="F845" s="7">
        <f t="shared" ca="1" si="51"/>
        <v>1.8223731111985799E-2</v>
      </c>
      <c r="G845" s="7">
        <f ca="1">$C$11/(1+D845)^1
 +$D$11/(1+D845)^2
 +$E$11/(1+D845)^3
 +$F$11/(1+D845)^4
 +$G$11/(1+D845)^5
 +$H$11/(1+D845)^6
 +$I$11/(1+D845)^7
 + ( $I$11*(1+F845)/(D845-F845) )/(1+D845)^7</f>
        <v>384.83230286459559</v>
      </c>
      <c r="H845" s="7">
        <f ca="1">(G845-$C$8)/$C$9</f>
        <v>2.1108226077826524</v>
      </c>
    </row>
    <row r="846" spans="3:8" x14ac:dyDescent="0.35">
      <c r="C846" s="8">
        <f t="shared" ca="1" si="48"/>
        <v>0.57129343785234954</v>
      </c>
      <c r="D846" s="7">
        <f t="shared" ca="1" si="49"/>
        <v>9.171363572288993E-2</v>
      </c>
      <c r="E846" s="7">
        <f t="shared" ca="1" si="50"/>
        <v>0.19787759005097272</v>
      </c>
      <c r="F846" s="7">
        <f t="shared" ca="1" si="51"/>
        <v>1.6290907566495837E-2</v>
      </c>
      <c r="G846" s="7">
        <f ca="1">$C$11/(1+D846)^1
 +$D$11/(1+D846)^2
 +$E$11/(1+D846)^3
 +$F$11/(1+D846)^4
 +$G$11/(1+D846)^5
 +$H$11/(1+D846)^6
 +$I$11/(1+D846)^7
 + ( $I$11*(1+F846)/(D846-F846) )/(1+D846)^7</f>
        <v>358.73022285009495</v>
      </c>
      <c r="H846" s="7">
        <f ca="1">(G846-$C$8)/$C$9</f>
        <v>1.9632531821013961</v>
      </c>
    </row>
    <row r="847" spans="3:8" x14ac:dyDescent="0.35">
      <c r="C847" s="8">
        <f t="shared" ca="1" si="48"/>
        <v>0.40271015826229106</v>
      </c>
      <c r="D847" s="7">
        <f t="shared" ca="1" si="49"/>
        <v>8.817202051988382E-2</v>
      </c>
      <c r="E847" s="7">
        <f t="shared" ca="1" si="50"/>
        <v>1.7292116683102043E-2</v>
      </c>
      <c r="F847" s="7">
        <f t="shared" ca="1" si="51"/>
        <v>1.1859683665740067E-2</v>
      </c>
      <c r="G847" s="7">
        <f ca="1">$C$11/(1+D847)^1
 +$D$11/(1+D847)^2
 +$E$11/(1+D847)^3
 +$F$11/(1+D847)^4
 +$G$11/(1+D847)^5
 +$H$11/(1+D847)^6
 +$I$11/(1+D847)^7
 + ( $I$11*(1+F847)/(D847-F847) )/(1+D847)^7</f>
        <v>361.91700451029055</v>
      </c>
      <c r="H847" s="7">
        <f ca="1">(G847-$C$8)/$C$9</f>
        <v>1.9812698129256587</v>
      </c>
    </row>
    <row r="848" spans="3:8" x14ac:dyDescent="0.35">
      <c r="C848" s="8">
        <f t="shared" ca="1" si="48"/>
        <v>0.91885563213010757</v>
      </c>
      <c r="D848" s="7">
        <f t="shared" ca="1" si="49"/>
        <v>0.10204433491538789</v>
      </c>
      <c r="E848" s="7">
        <f t="shared" ca="1" si="50"/>
        <v>0.75760708990167724</v>
      </c>
      <c r="F848" s="7">
        <f t="shared" ca="1" si="51"/>
        <v>2.3037343752585183E-2</v>
      </c>
      <c r="G848" s="7">
        <f ca="1">$C$11/(1+D848)^1
 +$D$11/(1+D848)^2
 +$E$11/(1+D848)^3
 +$F$11/(1+D848)^4
 +$G$11/(1+D848)^5
 +$H$11/(1+D848)^6
 +$I$11/(1+D848)^7
 + ( $I$11*(1+F848)/(D848-F848) )/(1+D848)^7</f>
        <v>331.00833888580678</v>
      </c>
      <c r="H848" s="7">
        <f ca="1">(G848-$C$8)/$C$9</f>
        <v>1.8065261131038375</v>
      </c>
    </row>
    <row r="849" spans="3:8" x14ac:dyDescent="0.35">
      <c r="C849" s="8">
        <f t="shared" ref="C849:C912" ca="1" si="52">RAND()</f>
        <v>0.90560901105979819</v>
      </c>
      <c r="D849" s="7">
        <f t="shared" ref="D849:D912" ca="1" si="53">IF(C849&lt;(0.0905-0.07)/(0.11-0.07),
 0.07+SQRT(C849*(0.11-0.07)*(0.0905-0.07)),
 0.11-SQRT((1-C849)*(0.11-0.07)*(0.11-0.0905))
)</f>
        <v>0.10141950051725673</v>
      </c>
      <c r="E849" s="7">
        <f t="shared" ref="E849:E912" ca="1" si="54">RAND()</f>
        <v>0.48144933017243907</v>
      </c>
      <c r="F849" s="7">
        <f t="shared" ref="F849:F912" ca="1" si="55">MIN(
 IF(E849&lt;(0.02-0.01)/(0.03-0.01),
   0.01+SQRT(E849*(0.03-0.01)*(0.02-0.01)),
   0.03-SQRT((1-E849)*(0.03-0.01)*(0.03-0.02))
 ),
 D849-0.005
)</f>
        <v>1.9812739986083794E-2</v>
      </c>
      <c r="G849" s="7">
        <f ca="1">$C$11/(1+D849)^1
 +$D$11/(1+D849)^2
 +$E$11/(1+D849)^3
 +$F$11/(1+D849)^4
 +$G$11/(1+D849)^5
 +$H$11/(1+D849)^6
 +$I$11/(1+D849)^7
 + ( $I$11*(1+F849)/(D849-F849) )/(1+D849)^7</f>
        <v>324.85241862584451</v>
      </c>
      <c r="H849" s="7">
        <f ca="1">(G849-$C$8)/$C$9</f>
        <v>1.7717233074731145</v>
      </c>
    </row>
    <row r="850" spans="3:8" x14ac:dyDescent="0.35">
      <c r="C850" s="8">
        <f t="shared" ca="1" si="52"/>
        <v>0.19053918619735077</v>
      </c>
      <c r="D850" s="7">
        <f t="shared" ca="1" si="53"/>
        <v>8.2499685303311754E-2</v>
      </c>
      <c r="E850" s="7">
        <f t="shared" ca="1" si="54"/>
        <v>0.90160390163249238</v>
      </c>
      <c r="F850" s="7">
        <f t="shared" ca="1" si="55"/>
        <v>2.5563873347896667E-2</v>
      </c>
      <c r="G850" s="7">
        <f ca="1">$C$11/(1+D850)^1
 +$D$11/(1+D850)^2
 +$E$11/(1+D850)^3
 +$F$11/(1+D850)^4
 +$G$11/(1+D850)^5
 +$H$11/(1+D850)^6
 +$I$11/(1+D850)^7
 + ( $I$11*(1+F850)/(D850-F850) )/(1+D850)^7</f>
        <v>459.35582512774863</v>
      </c>
      <c r="H850" s="7">
        <f ca="1">(G850-$C$8)/$C$9</f>
        <v>2.5321450990940106</v>
      </c>
    </row>
    <row r="851" spans="3:8" x14ac:dyDescent="0.35">
      <c r="C851" s="8">
        <f t="shared" ca="1" si="52"/>
        <v>0.6156274070712755</v>
      </c>
      <c r="D851" s="7">
        <f t="shared" ca="1" si="53"/>
        <v>9.268495964531398E-2</v>
      </c>
      <c r="E851" s="7">
        <f t="shared" ca="1" si="54"/>
        <v>0.779587884650223</v>
      </c>
      <c r="F851" s="7">
        <f t="shared" ca="1" si="55"/>
        <v>2.3360540453473987E-2</v>
      </c>
      <c r="G851" s="7">
        <f ca="1">$C$11/(1+D851)^1
 +$D$11/(1+D851)^2
 +$E$11/(1+D851)^3
 +$F$11/(1+D851)^4
 +$G$11/(1+D851)^5
 +$H$11/(1+D851)^6
 +$I$11/(1+D851)^7
 + ( $I$11*(1+F851)/(D851-F851) )/(1+D851)^7</f>
        <v>378.69340159211737</v>
      </c>
      <c r="H851" s="7">
        <f ca="1">(G851-$C$8)/$C$9</f>
        <v>2.0761160198559327</v>
      </c>
    </row>
    <row r="852" spans="3:8" x14ac:dyDescent="0.35">
      <c r="C852" s="8">
        <f t="shared" ca="1" si="52"/>
        <v>0.39708129408849246</v>
      </c>
      <c r="D852" s="7">
        <f t="shared" ca="1" si="53"/>
        <v>8.8044574285711594E-2</v>
      </c>
      <c r="E852" s="7">
        <f t="shared" ca="1" si="54"/>
        <v>0.95421229818866493</v>
      </c>
      <c r="F852" s="7">
        <f t="shared" ca="1" si="55"/>
        <v>2.6973857180788222E-2</v>
      </c>
      <c r="G852" s="7">
        <f ca="1">$C$11/(1+D852)^1
 +$D$11/(1+D852)^2
 +$E$11/(1+D852)^3
 +$F$11/(1+D852)^4
 +$G$11/(1+D852)^5
 +$H$11/(1+D852)^6
 +$I$11/(1+D852)^7
 + ( $I$11*(1+F852)/(D852-F852) )/(1+D852)^7</f>
        <v>424.32807721448199</v>
      </c>
      <c r="H852" s="7">
        <f ca="1">(G852-$C$8)/$C$9</f>
        <v>2.3341139598285956</v>
      </c>
    </row>
    <row r="853" spans="3:8" x14ac:dyDescent="0.35">
      <c r="C853" s="8">
        <f t="shared" ca="1" si="52"/>
        <v>0.96058491654102685</v>
      </c>
      <c r="D853" s="7">
        <f t="shared" ca="1" si="53"/>
        <v>0.10445529395747628</v>
      </c>
      <c r="E853" s="7">
        <f t="shared" ca="1" si="54"/>
        <v>0.24377402706062368</v>
      </c>
      <c r="F853" s="7">
        <f t="shared" ca="1" si="55"/>
        <v>1.6982464136114466E-2</v>
      </c>
      <c r="G853" s="7">
        <f ca="1">$C$11/(1+D853)^1
 +$D$11/(1+D853)^2
 +$E$11/(1+D853)^3
 +$F$11/(1+D853)^4
 +$G$11/(1+D853)^5
 +$H$11/(1+D853)^6
 +$I$11/(1+D853)^7
 + ( $I$11*(1+F853)/(D853-F853) )/(1+D853)^7</f>
        <v>306.00718223237715</v>
      </c>
      <c r="H853" s="7">
        <f ca="1">(G853-$C$8)/$C$9</f>
        <v>1.6651808131635975</v>
      </c>
    </row>
    <row r="854" spans="3:8" x14ac:dyDescent="0.35">
      <c r="C854" s="8">
        <f t="shared" ca="1" si="52"/>
        <v>0.63799663075761137</v>
      </c>
      <c r="D854" s="7">
        <f t="shared" ca="1" si="53"/>
        <v>9.3196350753212476E-2</v>
      </c>
      <c r="E854" s="7">
        <f t="shared" ca="1" si="54"/>
        <v>0.89032326433218578</v>
      </c>
      <c r="F854" s="7">
        <f t="shared" ca="1" si="55"/>
        <v>2.5316481329858621E-2</v>
      </c>
      <c r="G854" s="7">
        <f ca="1">$C$11/(1+D854)^1
 +$D$11/(1+D854)^2
 +$E$11/(1+D854)^3
 +$F$11/(1+D854)^4
 +$G$11/(1+D854)^5
 +$H$11/(1+D854)^6
 +$I$11/(1+D854)^7
 + ( $I$11*(1+F854)/(D854-F854) )/(1+D854)^7</f>
        <v>383.43889750506537</v>
      </c>
      <c r="H854" s="7">
        <f ca="1">(G854-$C$8)/$C$9</f>
        <v>2.1029449203135764</v>
      </c>
    </row>
    <row r="855" spans="3:8" x14ac:dyDescent="0.35">
      <c r="C855" s="8">
        <f t="shared" ca="1" si="52"/>
        <v>0.24212505479075663</v>
      </c>
      <c r="D855" s="7">
        <f t="shared" ca="1" si="53"/>
        <v>8.4090512585723087E-2</v>
      </c>
      <c r="E855" s="7">
        <f t="shared" ca="1" si="54"/>
        <v>0.83496049234435021</v>
      </c>
      <c r="F855" s="7">
        <f t="shared" ca="1" si="55"/>
        <v>2.4254749654616437E-2</v>
      </c>
      <c r="G855" s="7">
        <f ca="1">$C$11/(1+D855)^1
 +$D$11/(1+D855)^2
 +$E$11/(1+D855)^3
 +$F$11/(1+D855)^4
 +$G$11/(1+D855)^5
 +$H$11/(1+D855)^6
 +$I$11/(1+D855)^7
 + ( $I$11*(1+F855)/(D855-F855) )/(1+D855)^7</f>
        <v>439.2060300455417</v>
      </c>
      <c r="H855" s="7">
        <f ca="1">(G855-$C$8)/$C$9</f>
        <v>2.4182272164492407</v>
      </c>
    </row>
    <row r="856" spans="3:8" x14ac:dyDescent="0.35">
      <c r="C856" s="8">
        <f t="shared" ca="1" si="52"/>
        <v>0.48835844076454071</v>
      </c>
      <c r="D856" s="7">
        <f t="shared" ca="1" si="53"/>
        <v>9.0011344818050676E-2</v>
      </c>
      <c r="E856" s="7">
        <f t="shared" ca="1" si="54"/>
        <v>0.98525835918074023</v>
      </c>
      <c r="F856" s="7">
        <f t="shared" ca="1" si="55"/>
        <v>2.8282930355561557E-2</v>
      </c>
      <c r="G856" s="7">
        <f ca="1">$C$11/(1+D856)^1
 +$D$11/(1+D856)^2
 +$E$11/(1+D856)^3
 +$F$11/(1+D856)^4
 +$G$11/(1+D856)^5
 +$H$11/(1+D856)^6
 +$I$11/(1+D856)^7
 + ( $I$11*(1+F856)/(D856-F856) )/(1+D856)^7</f>
        <v>416.98787160863776</v>
      </c>
      <c r="H856" s="7">
        <f ca="1">(G856-$C$8)/$C$9</f>
        <v>2.2926157372718099</v>
      </c>
    </row>
    <row r="857" spans="3:8" x14ac:dyDescent="0.35">
      <c r="C857" s="8">
        <f t="shared" ca="1" si="52"/>
        <v>0.4291012591109179</v>
      </c>
      <c r="D857" s="7">
        <f t="shared" ca="1" si="53"/>
        <v>8.8758012487226701E-2</v>
      </c>
      <c r="E857" s="7">
        <f t="shared" ca="1" si="54"/>
        <v>0.53298024756644791</v>
      </c>
      <c r="F857" s="7">
        <f t="shared" ca="1" si="55"/>
        <v>2.0335428075351169E-2</v>
      </c>
      <c r="G857" s="7">
        <f ca="1">$C$11/(1+D857)^1
 +$D$11/(1+D857)^2
 +$E$11/(1+D857)^3
 +$F$11/(1+D857)^4
 +$G$11/(1+D857)^5
 +$H$11/(1+D857)^6
 +$I$11/(1+D857)^7
 + ( $I$11*(1+F857)/(D857-F857) )/(1+D857)^7</f>
        <v>389.52477349622211</v>
      </c>
      <c r="H857" s="7">
        <f ca="1">(G857-$C$8)/$C$9</f>
        <v>2.1373517271382978</v>
      </c>
    </row>
    <row r="858" spans="3:8" x14ac:dyDescent="0.35">
      <c r="C858" s="8">
        <f t="shared" ca="1" si="52"/>
        <v>0.51685392173098443</v>
      </c>
      <c r="D858" s="7">
        <f t="shared" ca="1" si="53"/>
        <v>9.0587273734742152E-2</v>
      </c>
      <c r="E858" s="7">
        <f t="shared" ca="1" si="54"/>
        <v>0.71390754330224671</v>
      </c>
      <c r="F858" s="7">
        <f t="shared" ca="1" si="55"/>
        <v>2.2435709462246267E-2</v>
      </c>
      <c r="G858" s="7">
        <f ca="1">$C$11/(1+D858)^1
 +$D$11/(1+D858)^2
 +$E$11/(1+D858)^3
 +$F$11/(1+D858)^4
 +$G$11/(1+D858)^5
 +$H$11/(1+D858)^6
 +$I$11/(1+D858)^7
 + ( $I$11*(1+F858)/(D858-F858) )/(1+D858)^7</f>
        <v>387.18895309192771</v>
      </c>
      <c r="H858" s="7">
        <f ca="1">(G858-$C$8)/$C$9</f>
        <v>2.1241460486879675</v>
      </c>
    </row>
    <row r="859" spans="3:8" x14ac:dyDescent="0.35">
      <c r="C859" s="8">
        <f t="shared" ca="1" si="52"/>
        <v>0.86913699558585356</v>
      </c>
      <c r="D859" s="7">
        <f t="shared" ca="1" si="53"/>
        <v>9.9896874570558167E-2</v>
      </c>
      <c r="E859" s="7">
        <f t="shared" ca="1" si="54"/>
        <v>0.14907417445225313</v>
      </c>
      <c r="F859" s="7">
        <f t="shared" ca="1" si="55"/>
        <v>1.5460296227353478E-2</v>
      </c>
      <c r="G859" s="7">
        <f ca="1">$C$11/(1+D859)^1
 +$D$11/(1+D859)^2
 +$E$11/(1+D859)^3
 +$F$11/(1+D859)^4
 +$G$11/(1+D859)^5
 +$H$11/(1+D859)^6
 +$I$11/(1+D859)^7
 + ( $I$11*(1+F859)/(D859-F859) )/(1+D859)^7</f>
        <v>319.85354647971917</v>
      </c>
      <c r="H859" s="7">
        <f ca="1">(G859-$C$8)/$C$9</f>
        <v>1.7434619317035229</v>
      </c>
    </row>
    <row r="860" spans="3:8" x14ac:dyDescent="0.35">
      <c r="C860" s="8">
        <f t="shared" ca="1" si="52"/>
        <v>0.9941414800957532</v>
      </c>
      <c r="D860" s="7">
        <f t="shared" ca="1" si="53"/>
        <v>0.10786232707709703</v>
      </c>
      <c r="E860" s="7">
        <f t="shared" ca="1" si="54"/>
        <v>0.35907132445379808</v>
      </c>
      <c r="F860" s="7">
        <f t="shared" ca="1" si="55"/>
        <v>1.8474329760562756E-2</v>
      </c>
      <c r="G860" s="7">
        <f ca="1">$C$11/(1+D860)^1
 +$D$11/(1+D860)^2
 +$E$11/(1+D860)^3
 +$F$11/(1+D860)^4
 +$G$11/(1+D860)^5
 +$H$11/(1+D860)^6
 +$I$11/(1+D860)^7
 + ( $I$11*(1+F860)/(D860-F860) )/(1+D860)^7</f>
        <v>297.0681473778663</v>
      </c>
      <c r="H860" s="7">
        <f ca="1">(G860-$C$8)/$C$9</f>
        <v>1.6146435288210441</v>
      </c>
    </row>
    <row r="861" spans="3:8" x14ac:dyDescent="0.35">
      <c r="C861" s="8">
        <f t="shared" ca="1" si="52"/>
        <v>0.79060823648197043</v>
      </c>
      <c r="D861" s="7">
        <f t="shared" ca="1" si="53"/>
        <v>9.722011050344867E-2</v>
      </c>
      <c r="E861" s="7">
        <f t="shared" ca="1" si="54"/>
        <v>3.8467878834213431E-2</v>
      </c>
      <c r="F861" s="7">
        <f t="shared" ca="1" si="55"/>
        <v>1.2773729577093391E-2</v>
      </c>
      <c r="G861" s="7">
        <f ca="1">$C$11/(1+D861)^1
 +$D$11/(1+D861)^2
 +$E$11/(1+D861)^3
 +$F$11/(1+D861)^4
 +$G$11/(1+D861)^5
 +$H$11/(1+D861)^6
 +$I$11/(1+D861)^7
 + ( $I$11*(1+F861)/(D861-F861) )/(1+D861)^7</f>
        <v>323.84970957247219</v>
      </c>
      <c r="H861" s="7">
        <f ca="1">(G861-$C$8)/$C$9</f>
        <v>1.7660544412735877</v>
      </c>
    </row>
    <row r="862" spans="3:8" x14ac:dyDescent="0.35">
      <c r="C862" s="8">
        <f t="shared" ca="1" si="52"/>
        <v>0.1247225537723905</v>
      </c>
      <c r="D862" s="7">
        <f t="shared" ca="1" si="53"/>
        <v>8.0112986408245601E-2</v>
      </c>
      <c r="E862" s="7">
        <f t="shared" ca="1" si="54"/>
        <v>0.43881307413870574</v>
      </c>
      <c r="F862" s="7">
        <f t="shared" ca="1" si="55"/>
        <v>1.9368170303092333E-2</v>
      </c>
      <c r="G862" s="7">
        <f ca="1">$C$11/(1+D862)^1
 +$D$11/(1+D862)^2
 +$E$11/(1+D862)^3
 +$F$11/(1+D862)^4
 +$G$11/(1+D862)^5
 +$H$11/(1+D862)^6
 +$I$11/(1+D862)^7
 + ( $I$11*(1+F862)/(D862-F862) )/(1+D862)^7</f>
        <v>442.94959097250967</v>
      </c>
      <c r="H862" s="7">
        <f ca="1">(G862-$C$8)/$C$9</f>
        <v>2.4393916269363958</v>
      </c>
    </row>
    <row r="863" spans="3:8" x14ac:dyDescent="0.35">
      <c r="C863" s="8">
        <f t="shared" ca="1" si="52"/>
        <v>0.61049826853553812</v>
      </c>
      <c r="D863" s="7">
        <f t="shared" ca="1" si="53"/>
        <v>9.2569814959608712E-2</v>
      </c>
      <c r="E863" s="7">
        <f t="shared" ca="1" si="54"/>
        <v>8.2671503540399094E-4</v>
      </c>
      <c r="F863" s="7">
        <f t="shared" ca="1" si="55"/>
        <v>1.0406623913562396E-2</v>
      </c>
      <c r="G863" s="7">
        <f ca="1">$C$11/(1+D863)^1
 +$D$11/(1+D863)^2
 +$E$11/(1+D863)^3
 +$F$11/(1+D863)^4
 +$G$11/(1+D863)^5
 +$H$11/(1+D863)^6
 +$I$11/(1+D863)^7
 + ( $I$11*(1+F863)/(D863-F863) )/(1+D863)^7</f>
        <v>337.09448558908196</v>
      </c>
      <c r="H863" s="7">
        <f ca="1">(G863-$C$8)/$C$9</f>
        <v>1.8409344504131724</v>
      </c>
    </row>
    <row r="864" spans="3:8" x14ac:dyDescent="0.35">
      <c r="C864" s="8">
        <f t="shared" ca="1" si="52"/>
        <v>0.70164559110806513</v>
      </c>
      <c r="D864" s="7">
        <f t="shared" ca="1" si="53"/>
        <v>9.474495365671709E-2</v>
      </c>
      <c r="E864" s="7">
        <f t="shared" ca="1" si="54"/>
        <v>0.7315640994665813</v>
      </c>
      <c r="F864" s="7">
        <f t="shared" ca="1" si="55"/>
        <v>2.2672846384394298E-2</v>
      </c>
      <c r="G864" s="7">
        <f ca="1">$C$11/(1+D864)^1
 +$D$11/(1+D864)^2
 +$E$11/(1+D864)^3
 +$F$11/(1+D864)^4
 +$G$11/(1+D864)^5
 +$H$11/(1+D864)^6
 +$I$11/(1+D864)^7
 + ( $I$11*(1+F864)/(D864-F864) )/(1+D864)^7</f>
        <v>364.88998519895472</v>
      </c>
      <c r="H864" s="7">
        <f ca="1">(G864-$C$8)/$C$9</f>
        <v>1.9980777091754562</v>
      </c>
    </row>
    <row r="865" spans="3:8" x14ac:dyDescent="0.35">
      <c r="C865" s="8">
        <f t="shared" ca="1" si="52"/>
        <v>0.87694872001745472</v>
      </c>
      <c r="D865" s="7">
        <f t="shared" ca="1" si="53"/>
        <v>0.10020306178510932</v>
      </c>
      <c r="E865" s="7">
        <f t="shared" ca="1" si="54"/>
        <v>0.90588287672741186</v>
      </c>
      <c r="F865" s="7">
        <f t="shared" ca="1" si="55"/>
        <v>2.5661402916319881E-2</v>
      </c>
      <c r="G865" s="7">
        <f ca="1">$C$11/(1+D865)^1
 +$D$11/(1+D865)^2
 +$E$11/(1+D865)^3
 +$F$11/(1+D865)^4
 +$G$11/(1+D865)^5
 +$H$11/(1+D865)^6
 +$I$11/(1+D865)^7
 + ( $I$11*(1+F865)/(D865-F865) )/(1+D865)^7</f>
        <v>347.36463795461606</v>
      </c>
      <c r="H865" s="7">
        <f ca="1">(G865-$C$8)/$C$9</f>
        <v>1.8989972747321124</v>
      </c>
    </row>
    <row r="866" spans="3:8" x14ac:dyDescent="0.35">
      <c r="C866" s="8">
        <f t="shared" ca="1" si="52"/>
        <v>0.13122485881397561</v>
      </c>
      <c r="D866" s="7">
        <f t="shared" ca="1" si="53"/>
        <v>8.0373253309712442E-2</v>
      </c>
      <c r="E866" s="7">
        <f t="shared" ca="1" si="54"/>
        <v>0.86760854858709335</v>
      </c>
      <c r="F866" s="7">
        <f t="shared" ca="1" si="55"/>
        <v>2.4854293995710468E-2</v>
      </c>
      <c r="G866" s="7">
        <f ca="1">$C$11/(1+D866)^1
 +$D$11/(1+D866)^2
 +$E$11/(1+D866)^3
 +$F$11/(1+D866)^4
 +$G$11/(1+D866)^5
 +$H$11/(1+D866)^6
 +$I$11/(1+D866)^7
 + ( $I$11*(1+F866)/(D866-F866) )/(1+D866)^7</f>
        <v>473.12425343075529</v>
      </c>
      <c r="H866" s="7">
        <f ca="1">(G866-$C$8)/$C$9</f>
        <v>2.6099856028423525</v>
      </c>
    </row>
    <row r="867" spans="3:8" x14ac:dyDescent="0.35">
      <c r="C867" s="8">
        <f t="shared" ca="1" si="52"/>
        <v>0.52128981172247657</v>
      </c>
      <c r="D867" s="7">
        <f t="shared" ca="1" si="53"/>
        <v>9.0676595878146415E-2</v>
      </c>
      <c r="E867" s="7">
        <f t="shared" ca="1" si="54"/>
        <v>0.10727642515738633</v>
      </c>
      <c r="F867" s="7">
        <f t="shared" ca="1" si="55"/>
        <v>1.4631984999055724E-2</v>
      </c>
      <c r="G867" s="7">
        <f ca="1">$C$11/(1+D867)^1
 +$D$11/(1+D867)^2
 +$E$11/(1+D867)^3
 +$F$11/(1+D867)^4
 +$G$11/(1+D867)^5
 +$H$11/(1+D867)^6
 +$I$11/(1+D867)^7
 + ( $I$11*(1+F867)/(D867-F867) )/(1+D867)^7</f>
        <v>358.47753543947852</v>
      </c>
      <c r="H867" s="7">
        <f ca="1">(G867-$C$8)/$C$9</f>
        <v>1.9618246010825333</v>
      </c>
    </row>
    <row r="868" spans="3:8" x14ac:dyDescent="0.35">
      <c r="C868" s="8">
        <f t="shared" ca="1" si="52"/>
        <v>0.39607473199101972</v>
      </c>
      <c r="D868" s="7">
        <f t="shared" ca="1" si="53"/>
        <v>8.8021689161469741E-2</v>
      </c>
      <c r="E868" s="7">
        <f t="shared" ca="1" si="54"/>
        <v>0.4119294128386396</v>
      </c>
      <c r="F868" s="7">
        <f t="shared" ca="1" si="55"/>
        <v>1.90766669305273E-2</v>
      </c>
      <c r="G868" s="7">
        <f ca="1">$C$11/(1+D868)^1
 +$D$11/(1+D868)^2
 +$E$11/(1+D868)^3
 +$F$11/(1+D868)^4
 +$G$11/(1+D868)^5
 +$H$11/(1+D868)^6
 +$I$11/(1+D868)^7
 + ( $I$11*(1+F868)/(D868-F868) )/(1+D868)^7</f>
        <v>388.80833436738988</v>
      </c>
      <c r="H868" s="7">
        <f ca="1">(G868-$C$8)/$C$9</f>
        <v>2.1333013023936558</v>
      </c>
    </row>
    <row r="869" spans="3:8" x14ac:dyDescent="0.35">
      <c r="C869" s="8">
        <f t="shared" ca="1" si="52"/>
        <v>0.21611106180248618</v>
      </c>
      <c r="D869" s="7">
        <f t="shared" ca="1" si="53"/>
        <v>8.3312064854035181E-2</v>
      </c>
      <c r="E869" s="7">
        <f t="shared" ca="1" si="54"/>
        <v>0.70868623405968212</v>
      </c>
      <c r="F869" s="7">
        <f t="shared" ca="1" si="55"/>
        <v>2.2366995795359237E-2</v>
      </c>
      <c r="G869" s="7">
        <f ca="1">$C$11/(1+D869)^1
 +$D$11/(1+D869)^2
 +$E$11/(1+D869)^3
 +$F$11/(1+D869)^4
 +$G$11/(1+D869)^5
 +$H$11/(1+D869)^6
 +$I$11/(1+D869)^7
 + ( $I$11*(1+F869)/(D869-F869) )/(1+D869)^7</f>
        <v>434.95652102553839</v>
      </c>
      <c r="H869" s="7">
        <f ca="1">(G869-$C$8)/$C$9</f>
        <v>2.3942024029033151</v>
      </c>
    </row>
    <row r="870" spans="3:8" x14ac:dyDescent="0.35">
      <c r="C870" s="8">
        <f t="shared" ca="1" si="52"/>
        <v>0.63672060920907758</v>
      </c>
      <c r="D870" s="7">
        <f t="shared" ca="1" si="53"/>
        <v>9.3166761309334462E-2</v>
      </c>
      <c r="E870" s="7">
        <f t="shared" ca="1" si="54"/>
        <v>0.65200344108675801</v>
      </c>
      <c r="F870" s="7">
        <f t="shared" ca="1" si="55"/>
        <v>2.1657379801126725E-2</v>
      </c>
      <c r="G870" s="7">
        <f ca="1">$C$11/(1+D870)^1
 +$D$11/(1+D870)^2
 +$E$11/(1+D870)^3
 +$F$11/(1+D870)^4
 +$G$11/(1+D870)^5
 +$H$11/(1+D870)^6
 +$I$11/(1+D870)^7
 + ( $I$11*(1+F870)/(D870-F870) )/(1+D870)^7</f>
        <v>369.66975902502634</v>
      </c>
      <c r="H870" s="7">
        <f ca="1">(G870-$C$8)/$C$9</f>
        <v>2.0251004015435679</v>
      </c>
    </row>
    <row r="871" spans="3:8" x14ac:dyDescent="0.35">
      <c r="C871" s="8">
        <f t="shared" ca="1" si="52"/>
        <v>0.50301466337582212</v>
      </c>
      <c r="D871" s="7">
        <f t="shared" ca="1" si="53"/>
        <v>9.030940727761827E-2</v>
      </c>
      <c r="E871" s="7">
        <f t="shared" ca="1" si="54"/>
        <v>0.50523126786830852</v>
      </c>
      <c r="F871" s="7">
        <f t="shared" ca="1" si="55"/>
        <v>2.0052450230014514E-2</v>
      </c>
      <c r="G871" s="7">
        <f ca="1">$C$11/(1+D871)^1
 +$D$11/(1+D871)^2
 +$E$11/(1+D871)^3
 +$F$11/(1+D871)^4
 +$G$11/(1+D871)^5
 +$H$11/(1+D871)^6
 +$I$11/(1+D871)^7
 + ( $I$11*(1+F871)/(D871-F871) )/(1+D871)^7</f>
        <v>379.45062884763934</v>
      </c>
      <c r="H871" s="7">
        <f ca="1">(G871-$C$8)/$C$9</f>
        <v>2.0803970423317466</v>
      </c>
    </row>
    <row r="872" spans="3:8" x14ac:dyDescent="0.35">
      <c r="C872" s="8">
        <f t="shared" ca="1" si="52"/>
        <v>0.31983595221349537</v>
      </c>
      <c r="D872" s="7">
        <f t="shared" ca="1" si="53"/>
        <v>8.6194612709634841E-2</v>
      </c>
      <c r="E872" s="7">
        <f t="shared" ca="1" si="54"/>
        <v>0.23808688335952477</v>
      </c>
      <c r="F872" s="7">
        <f t="shared" ca="1" si="55"/>
        <v>1.6900534520738589E-2</v>
      </c>
      <c r="G872" s="7">
        <f ca="1">$C$11/(1+D872)^1
 +$D$11/(1+D872)^2
 +$E$11/(1+D872)^3
 +$F$11/(1+D872)^4
 +$G$11/(1+D872)^5
 +$H$11/(1+D872)^6
 +$I$11/(1+D872)^7
 + ( $I$11*(1+F872)/(D872-F872) )/(1+D872)^7</f>
        <v>390.85918829045647</v>
      </c>
      <c r="H872" s="7">
        <f ca="1">(G872-$C$8)/$C$9</f>
        <v>2.1448959084715993</v>
      </c>
    </row>
    <row r="873" spans="3:8" x14ac:dyDescent="0.35">
      <c r="C873" s="8">
        <f t="shared" ca="1" si="52"/>
        <v>0.61672326452285964</v>
      </c>
      <c r="D873" s="7">
        <f t="shared" ca="1" si="53"/>
        <v>9.2709660105360289E-2</v>
      </c>
      <c r="E873" s="7">
        <f t="shared" ca="1" si="54"/>
        <v>0.92466100775683524</v>
      </c>
      <c r="F873" s="7">
        <f t="shared" ca="1" si="55"/>
        <v>2.6118273779794234E-2</v>
      </c>
      <c r="G873" s="7">
        <f ca="1">$C$11/(1+D873)^1
 +$D$11/(1+D873)^2
 +$E$11/(1+D873)^3
 +$F$11/(1+D873)^4
 +$G$11/(1+D873)^5
 +$H$11/(1+D873)^6
 +$I$11/(1+D873)^7
 + ( $I$11*(1+F873)/(D873-F873) )/(1+D873)^7</f>
        <v>389.62111356028493</v>
      </c>
      <c r="H873" s="7">
        <f ca="1">(G873-$C$8)/$C$9</f>
        <v>2.1378963905488746</v>
      </c>
    </row>
    <row r="874" spans="3:8" x14ac:dyDescent="0.35">
      <c r="C874" s="8">
        <f t="shared" ca="1" si="52"/>
        <v>0.12859399790874659</v>
      </c>
      <c r="D874" s="7">
        <f t="shared" ca="1" si="53"/>
        <v>8.0268742780164104E-2</v>
      </c>
      <c r="E874" s="7">
        <f t="shared" ca="1" si="54"/>
        <v>0.60395573073435205</v>
      </c>
      <c r="F874" s="7">
        <f t="shared" ca="1" si="55"/>
        <v>2.1100064390506545E-2</v>
      </c>
      <c r="G874" s="7">
        <f ca="1">$C$11/(1+D874)^1
 +$D$11/(1+D874)^2
 +$E$11/(1+D874)^3
 +$F$11/(1+D874)^4
 +$G$11/(1+D874)^5
 +$H$11/(1+D874)^6
 +$I$11/(1+D874)^7
 + ( $I$11*(1+F874)/(D874-F874) )/(1+D874)^7</f>
        <v>451.31429075067365</v>
      </c>
      <c r="H874" s="7">
        <f ca="1">(G874-$C$8)/$C$9</f>
        <v>2.4866818789612939</v>
      </c>
    </row>
    <row r="875" spans="3:8" x14ac:dyDescent="0.35">
      <c r="C875" s="8">
        <f t="shared" ca="1" si="52"/>
        <v>8.0535378726373952E-2</v>
      </c>
      <c r="D875" s="7">
        <f t="shared" ca="1" si="53"/>
        <v>7.81264389836894E-2</v>
      </c>
      <c r="E875" s="7">
        <f t="shared" ca="1" si="54"/>
        <v>0.57669191670722364</v>
      </c>
      <c r="F875" s="7">
        <f t="shared" ca="1" si="55"/>
        <v>2.0798825256601455E-2</v>
      </c>
      <c r="G875" s="7">
        <f ca="1">$C$11/(1+D875)^1
 +$D$11/(1+D875)^2
 +$E$11/(1+D875)^3
 +$F$11/(1+D875)^4
 +$G$11/(1+D875)^5
 +$H$11/(1+D875)^6
 +$I$11/(1+D875)^7
 + ( $I$11*(1+F875)/(D875-F875) )/(1+D875)^7</f>
        <v>467.04150654537671</v>
      </c>
      <c r="H875" s="7">
        <f ca="1">(G875-$C$8)/$C$9</f>
        <v>2.5755964865749474</v>
      </c>
    </row>
    <row r="876" spans="3:8" x14ac:dyDescent="0.35">
      <c r="C876" s="8">
        <f t="shared" ca="1" si="52"/>
        <v>0.56263016219774586</v>
      </c>
      <c r="D876" s="7">
        <f t="shared" ca="1" si="53"/>
        <v>9.1529794979866672E-2</v>
      </c>
      <c r="E876" s="7">
        <f t="shared" ca="1" si="54"/>
        <v>0.64802193133013264</v>
      </c>
      <c r="F876" s="7">
        <f t="shared" ca="1" si="55"/>
        <v>2.160979060249546E-2</v>
      </c>
      <c r="G876" s="7">
        <f ca="1">$C$11/(1+D876)^1
 +$D$11/(1+D876)^2
 +$E$11/(1+D876)^3
 +$F$11/(1+D876)^4
 +$G$11/(1+D876)^5
 +$H$11/(1+D876)^6
 +$I$11/(1+D876)^7
 + ( $I$11*(1+F876)/(D876-F876) )/(1+D876)^7</f>
        <v>378.51010424582387</v>
      </c>
      <c r="H876" s="7">
        <f ca="1">(G876-$C$8)/$C$9</f>
        <v>2.0750797390650377</v>
      </c>
    </row>
    <row r="877" spans="3:8" x14ac:dyDescent="0.35">
      <c r="C877" s="8">
        <f t="shared" ca="1" si="52"/>
        <v>2.4548368053251557E-2</v>
      </c>
      <c r="D877" s="7">
        <f t="shared" ca="1" si="53"/>
        <v>7.4486609165468537E-2</v>
      </c>
      <c r="E877" s="7">
        <f t="shared" ca="1" si="54"/>
        <v>0.55404039647111669</v>
      </c>
      <c r="F877" s="7">
        <f t="shared" ca="1" si="55"/>
        <v>2.0555852568612844E-2</v>
      </c>
      <c r="G877" s="7">
        <f ca="1">$C$11/(1+D877)^1
 +$D$11/(1+D877)^2
 +$E$11/(1+D877)^3
 +$F$11/(1+D877)^4
 +$G$11/(1+D877)^5
 +$H$11/(1+D877)^6
 +$I$11/(1+D877)^7
 + ( $I$11*(1+F877)/(D877-F877) )/(1+D877)^7</f>
        <v>498.13390294389876</v>
      </c>
      <c r="H877" s="7">
        <f ca="1">(G877-$C$8)/$C$9</f>
        <v>2.7513789175932764</v>
      </c>
    </row>
    <row r="878" spans="3:8" x14ac:dyDescent="0.35">
      <c r="C878" s="8">
        <f t="shared" ca="1" si="52"/>
        <v>0.39893958638711935</v>
      </c>
      <c r="D878" s="7">
        <f t="shared" ca="1" si="53"/>
        <v>8.8086748210704932E-2</v>
      </c>
      <c r="E878" s="7">
        <f t="shared" ca="1" si="54"/>
        <v>0.92350185378654093</v>
      </c>
      <c r="F878" s="7">
        <f t="shared" ca="1" si="55"/>
        <v>2.6088525950144648E-2</v>
      </c>
      <c r="G878" s="7">
        <f ca="1">$C$11/(1+D878)^1
 +$D$11/(1+D878)^2
 +$E$11/(1+D878)^3
 +$F$11/(1+D878)^4
 +$G$11/(1+D878)^5
 +$H$11/(1+D878)^6
 +$I$11/(1+D878)^7
 + ( $I$11*(1+F878)/(D878-F878) )/(1+D878)^7</f>
        <v>419.58336422388089</v>
      </c>
      <c r="H878" s="7">
        <f ca="1">(G878-$C$8)/$C$9</f>
        <v>2.3072894856619226</v>
      </c>
    </row>
    <row r="879" spans="3:8" x14ac:dyDescent="0.35">
      <c r="C879" s="8">
        <f t="shared" ca="1" si="52"/>
        <v>0.83757681685604013</v>
      </c>
      <c r="D879" s="7">
        <f t="shared" ca="1" si="53"/>
        <v>9.874433107930547E-2</v>
      </c>
      <c r="E879" s="7">
        <f t="shared" ca="1" si="54"/>
        <v>0.98996215763398421</v>
      </c>
      <c r="F879" s="7">
        <f t="shared" ca="1" si="55"/>
        <v>2.858311310500691E-2</v>
      </c>
      <c r="G879" s="7">
        <f ca="1">$C$11/(1+D879)^1
 +$D$11/(1+D879)^2
 +$E$11/(1+D879)^3
 +$F$11/(1+D879)^4
 +$G$11/(1+D879)^5
 +$H$11/(1+D879)^6
 +$I$11/(1+D879)^7
 + ( $I$11*(1+F879)/(D879-F879) )/(1+D879)^7</f>
        <v>364.78641533098676</v>
      </c>
      <c r="H879" s="7">
        <f ca="1">(G879-$C$8)/$C$9</f>
        <v>1.9974921717039051</v>
      </c>
    </row>
    <row r="880" spans="3:8" x14ac:dyDescent="0.35">
      <c r="C880" s="8">
        <f t="shared" ca="1" si="52"/>
        <v>0.61154769426135325</v>
      </c>
      <c r="D880" s="7">
        <f t="shared" ca="1" si="53"/>
        <v>9.2593311674067799E-2</v>
      </c>
      <c r="E880" s="7">
        <f t="shared" ca="1" si="54"/>
        <v>6.3913648253883792E-2</v>
      </c>
      <c r="F880" s="7">
        <f t="shared" ca="1" si="55"/>
        <v>1.3575294344634685E-2</v>
      </c>
      <c r="G880" s="7">
        <f ca="1">$C$11/(1+D880)^1
 +$D$11/(1+D880)^2
 +$E$11/(1+D880)^3
 +$F$11/(1+D880)^4
 +$G$11/(1+D880)^5
 +$H$11/(1+D880)^6
 +$I$11/(1+D880)^7
 + ( $I$11*(1+F880)/(D880-F880) )/(1+D880)^7</f>
        <v>346.0415144939372</v>
      </c>
      <c r="H880" s="7">
        <f ca="1">(G880-$C$8)/$C$9</f>
        <v>1.8915169295224852</v>
      </c>
    </row>
    <row r="881" spans="3:8" x14ac:dyDescent="0.35">
      <c r="C881" s="8">
        <f t="shared" ca="1" si="52"/>
        <v>0.82504023417792105</v>
      </c>
      <c r="D881" s="7">
        <f t="shared" ca="1" si="53"/>
        <v>9.8318021685466897E-2</v>
      </c>
      <c r="E881" s="7">
        <f t="shared" ca="1" si="54"/>
        <v>0.7493654544105337</v>
      </c>
      <c r="F881" s="7">
        <f t="shared" ca="1" si="55"/>
        <v>2.2919964045437814E-2</v>
      </c>
      <c r="G881" s="7">
        <f ca="1">$C$11/(1+D881)^1
 +$D$11/(1+D881)^2
 +$E$11/(1+D881)^3
 +$F$11/(1+D881)^4
 +$G$11/(1+D881)^5
 +$H$11/(1+D881)^6
 +$I$11/(1+D881)^7
 + ( $I$11*(1+F881)/(D881-F881) )/(1+D881)^7</f>
        <v>347.73490518526427</v>
      </c>
      <c r="H881" s="7">
        <f ca="1">(G881-$C$8)/$C$9</f>
        <v>1.9010905991930362</v>
      </c>
    </row>
    <row r="882" spans="3:8" x14ac:dyDescent="0.35">
      <c r="C882" s="8">
        <f t="shared" ca="1" si="52"/>
        <v>0.89665167124260536</v>
      </c>
      <c r="D882" s="7">
        <f t="shared" ca="1" si="53"/>
        <v>0.1010215983365207</v>
      </c>
      <c r="E882" s="7">
        <f t="shared" ca="1" si="54"/>
        <v>0.42415929647838346</v>
      </c>
      <c r="F882" s="7">
        <f t="shared" ca="1" si="55"/>
        <v>1.9210421233346316E-2</v>
      </c>
      <c r="G882" s="7">
        <f ca="1">$C$11/(1+D882)^1
 +$D$11/(1+D882)^2
 +$E$11/(1+D882)^3
 +$F$11/(1+D882)^4
 +$G$11/(1+D882)^5
 +$H$11/(1+D882)^6
 +$I$11/(1+D882)^7
 + ( $I$11*(1+F882)/(D882-F882) )/(1+D882)^7</f>
        <v>324.91415427318645</v>
      </c>
      <c r="H882" s="7">
        <f ca="1">(G882-$C$8)/$C$9</f>
        <v>1.7720723330686705</v>
      </c>
    </row>
    <row r="883" spans="3:8" x14ac:dyDescent="0.35">
      <c r="C883" s="8">
        <f t="shared" ca="1" si="52"/>
        <v>0.88871342550778887</v>
      </c>
      <c r="D883" s="7">
        <f t="shared" ca="1" si="53"/>
        <v>0.10068315889885823</v>
      </c>
      <c r="E883" s="7">
        <f t="shared" ca="1" si="54"/>
        <v>0.26159736916721565</v>
      </c>
      <c r="F883" s="7">
        <f t="shared" ca="1" si="55"/>
        <v>1.7233220156572252E-2</v>
      </c>
      <c r="G883" s="7">
        <f ca="1">$C$11/(1+D883)^1
 +$D$11/(1+D883)^2
 +$E$11/(1+D883)^3
 +$F$11/(1+D883)^4
 +$G$11/(1+D883)^5
 +$H$11/(1+D883)^6
 +$I$11/(1+D883)^7
 + ( $I$11*(1+F883)/(D883-F883) )/(1+D883)^7</f>
        <v>321.16906857272028</v>
      </c>
      <c r="H883" s="7">
        <f ca="1">(G883-$C$8)/$C$9</f>
        <v>1.7508993021976496</v>
      </c>
    </row>
    <row r="884" spans="3:8" x14ac:dyDescent="0.35">
      <c r="C884" s="8">
        <f t="shared" ca="1" si="52"/>
        <v>0.27552079197611223</v>
      </c>
      <c r="D884" s="7">
        <f t="shared" ca="1" si="53"/>
        <v>8.5030869882359167E-2</v>
      </c>
      <c r="E884" s="7">
        <f t="shared" ca="1" si="54"/>
        <v>0.21094240876671888</v>
      </c>
      <c r="F884" s="7">
        <f t="shared" ca="1" si="55"/>
        <v>1.6495266103351253E-2</v>
      </c>
      <c r="G884" s="7">
        <f ca="1">$C$11/(1+D884)^1
 +$D$11/(1+D884)^2
 +$E$11/(1+D884)^3
 +$F$11/(1+D884)^4
 +$G$11/(1+D884)^5
 +$H$11/(1+D884)^6
 +$I$11/(1+D884)^7
 + ( $I$11*(1+F884)/(D884-F884) )/(1+D884)^7</f>
        <v>396.15872466525377</v>
      </c>
      <c r="H884" s="7">
        <f ca="1">(G884-$C$8)/$C$9</f>
        <v>2.1748571046203855</v>
      </c>
    </row>
    <row r="885" spans="3:8" x14ac:dyDescent="0.35">
      <c r="C885" s="8">
        <f t="shared" ca="1" si="52"/>
        <v>0.94442929197306369</v>
      </c>
      <c r="D885" s="7">
        <f t="shared" ca="1" si="53"/>
        <v>0.10341629646315918</v>
      </c>
      <c r="E885" s="7">
        <f t="shared" ca="1" si="54"/>
        <v>0.23551410146325313</v>
      </c>
      <c r="F885" s="7">
        <f t="shared" ca="1" si="55"/>
        <v>1.6863149444143747E-2</v>
      </c>
      <c r="G885" s="7">
        <f ca="1">$C$11/(1+D885)^1
 +$D$11/(1+D885)^2
 +$E$11/(1+D885)^3
 +$F$11/(1+D885)^4
 +$G$11/(1+D885)^5
 +$H$11/(1+D885)^6
 +$I$11/(1+D885)^7
 + ( $I$11*(1+F885)/(D885-F885) )/(1+D885)^7</f>
        <v>309.60140153906542</v>
      </c>
      <c r="H885" s="7">
        <f ca="1">(G885-$C$8)/$C$9</f>
        <v>1.6855009132692527</v>
      </c>
    </row>
    <row r="886" spans="3:8" x14ac:dyDescent="0.35">
      <c r="C886" s="8">
        <f t="shared" ca="1" si="52"/>
        <v>0.81864003446066691</v>
      </c>
      <c r="D886" s="7">
        <f t="shared" ca="1" si="53"/>
        <v>9.8106271689639118E-2</v>
      </c>
      <c r="E886" s="7">
        <f t="shared" ca="1" si="54"/>
        <v>0.53191844438386748</v>
      </c>
      <c r="F886" s="7">
        <f t="shared" ca="1" si="55"/>
        <v>2.0324447761330286E-2</v>
      </c>
      <c r="G886" s="7">
        <f ca="1">$C$11/(1+D886)^1
 +$D$11/(1+D886)^2
 +$E$11/(1+D886)^3
 +$F$11/(1+D886)^4
 +$G$11/(1+D886)^5
 +$H$11/(1+D886)^6
 +$I$11/(1+D886)^7
 + ( $I$11*(1+F886)/(D886-F886) )/(1+D886)^7</f>
        <v>340.76913203883396</v>
      </c>
      <c r="H886" s="7">
        <f ca="1">(G886-$C$8)/$C$9</f>
        <v>1.8617092494280525</v>
      </c>
    </row>
    <row r="887" spans="3:8" x14ac:dyDescent="0.35">
      <c r="C887" s="8">
        <f t="shared" ca="1" si="52"/>
        <v>0.96030312130297091</v>
      </c>
      <c r="D887" s="7">
        <f t="shared" ca="1" si="53"/>
        <v>0.10443550852425106</v>
      </c>
      <c r="E887" s="7">
        <f t="shared" ca="1" si="54"/>
        <v>0.64051885247549156</v>
      </c>
      <c r="F887" s="7">
        <f t="shared" ca="1" si="55"/>
        <v>2.1520835565640814E-2</v>
      </c>
      <c r="G887" s="7">
        <f ca="1">$C$11/(1+D887)^1
 +$D$11/(1+D887)^2
 +$E$11/(1+D887)^3
 +$F$11/(1+D887)^4
 +$G$11/(1+D887)^5
 +$H$11/(1+D887)^6
 +$I$11/(1+D887)^7
 + ( $I$11*(1+F887)/(D887-F887) )/(1+D887)^7</f>
        <v>316.96061883690822</v>
      </c>
      <c r="H887" s="7">
        <f ca="1">(G887-$C$8)/$C$9</f>
        <v>1.7271066193855054</v>
      </c>
    </row>
    <row r="888" spans="3:8" x14ac:dyDescent="0.35">
      <c r="C888" s="8">
        <f t="shared" ca="1" si="52"/>
        <v>0.56852589686733013</v>
      </c>
      <c r="D888" s="7">
        <f t="shared" ca="1" si="53"/>
        <v>9.1654706313512385E-2</v>
      </c>
      <c r="E888" s="7">
        <f t="shared" ca="1" si="54"/>
        <v>0.5192654036958666</v>
      </c>
      <c r="F888" s="7">
        <f t="shared" ca="1" si="55"/>
        <v>2.0194546453078947E-2</v>
      </c>
      <c r="G888" s="7">
        <f ca="1">$C$11/(1+D888)^1
 +$D$11/(1+D888)^2
 +$E$11/(1+D888)^3
 +$F$11/(1+D888)^4
 +$G$11/(1+D888)^5
 +$H$11/(1+D888)^6
 +$I$11/(1+D888)^7
 + ( $I$11*(1+F888)/(D888-F888) )/(1+D888)^7</f>
        <v>372.53664388237195</v>
      </c>
      <c r="H888" s="7">
        <f ca="1">(G888-$C$8)/$C$9</f>
        <v>2.0413084796606284</v>
      </c>
    </row>
    <row r="889" spans="3:8" x14ac:dyDescent="0.35">
      <c r="C889" s="8">
        <f t="shared" ca="1" si="52"/>
        <v>0.17008052582341948</v>
      </c>
      <c r="D889" s="7">
        <f t="shared" ca="1" si="53"/>
        <v>8.1809573708445368E-2</v>
      </c>
      <c r="E889" s="7">
        <f t="shared" ca="1" si="54"/>
        <v>0.69661239422240506</v>
      </c>
      <c r="F889" s="7">
        <f t="shared" ca="1" si="55"/>
        <v>2.2210422273606933E-2</v>
      </c>
      <c r="G889" s="7">
        <f ca="1">$C$11/(1+D889)^1
 +$D$11/(1+D889)^2
 +$E$11/(1+D889)^3
 +$F$11/(1+D889)^4
 +$G$11/(1+D889)^5
 +$H$11/(1+D889)^6
 +$I$11/(1+D889)^7
 + ( $I$11*(1+F889)/(D889-F889) )/(1+D889)^7</f>
        <v>445.48217175536251</v>
      </c>
      <c r="H889" s="7">
        <f ca="1">(G889-$C$8)/$C$9</f>
        <v>2.4537097001094668</v>
      </c>
    </row>
    <row r="890" spans="3:8" x14ac:dyDescent="0.35">
      <c r="C890" s="8">
        <f t="shared" ca="1" si="52"/>
        <v>0.63600139527818156</v>
      </c>
      <c r="D890" s="7">
        <f t="shared" ca="1" si="53"/>
        <v>9.315010647858514E-2</v>
      </c>
      <c r="E890" s="7">
        <f t="shared" ca="1" si="54"/>
        <v>0.30422993112284624</v>
      </c>
      <c r="F890" s="7">
        <f t="shared" ca="1" si="55"/>
        <v>1.7800383722905509E-2</v>
      </c>
      <c r="G890" s="7">
        <f ca="1">$C$11/(1+D890)^1
 +$D$11/(1+D890)^2
 +$E$11/(1+D890)^3
 +$F$11/(1+D890)^4
 +$G$11/(1+D890)^5
 +$H$11/(1+D890)^6
 +$I$11/(1+D890)^7
 + ( $I$11*(1+F890)/(D890-F890) )/(1+D890)^7</f>
        <v>356.52134000794774</v>
      </c>
      <c r="H890" s="7">
        <f ca="1">(G890-$C$8)/$C$9</f>
        <v>1.9507651515600843</v>
      </c>
    </row>
    <row r="891" spans="3:8" x14ac:dyDescent="0.35">
      <c r="C891" s="8">
        <f t="shared" ca="1" si="52"/>
        <v>0.81263575587937409</v>
      </c>
      <c r="D891" s="7">
        <f t="shared" ca="1" si="53"/>
        <v>9.791099216585214E-2</v>
      </c>
      <c r="E891" s="7">
        <f t="shared" ca="1" si="54"/>
        <v>0.61411305754614964</v>
      </c>
      <c r="F891" s="7">
        <f t="shared" ca="1" si="55"/>
        <v>2.1214933779943941E-2</v>
      </c>
      <c r="G891" s="7">
        <f ca="1">$C$11/(1+D891)^1
 +$D$11/(1+D891)^2
 +$E$11/(1+D891)^3
 +$F$11/(1+D891)^4
 +$G$11/(1+D891)^5
 +$H$11/(1+D891)^6
 +$I$11/(1+D891)^7
 + ( $I$11*(1+F891)/(D891-F891) )/(1+D891)^7</f>
        <v>344.36146226226811</v>
      </c>
      <c r="H891" s="7">
        <f ca="1">(G891-$C$8)/$C$9</f>
        <v>1.8820186695062646</v>
      </c>
    </row>
    <row r="892" spans="3:8" x14ac:dyDescent="0.35">
      <c r="C892" s="8">
        <f t="shared" ca="1" si="52"/>
        <v>0.72855209278123045</v>
      </c>
      <c r="D892" s="7">
        <f t="shared" ca="1" si="53"/>
        <v>9.544907674301592E-2</v>
      </c>
      <c r="E892" s="7">
        <f t="shared" ca="1" si="54"/>
        <v>0.61247173329814797</v>
      </c>
      <c r="F892" s="7">
        <f t="shared" ca="1" si="55"/>
        <v>2.1196270486869194E-2</v>
      </c>
      <c r="G892" s="7">
        <f ca="1">$C$11/(1+D892)^1
 +$D$11/(1+D892)^2
 +$E$11/(1+D892)^3
 +$F$11/(1+D892)^4
 +$G$11/(1+D892)^5
 +$H$11/(1+D892)^6
 +$I$11/(1+D892)^7
 + ( $I$11*(1+F892)/(D892-F892) )/(1+D892)^7</f>
        <v>356.22677551455286</v>
      </c>
      <c r="H892" s="7">
        <f ca="1">(G892-$C$8)/$C$9</f>
        <v>1.9490998163418862</v>
      </c>
    </row>
    <row r="893" spans="3:8" x14ac:dyDescent="0.35">
      <c r="C893" s="8">
        <f t="shared" ca="1" si="52"/>
        <v>9.3536706808118986E-2</v>
      </c>
      <c r="D893" s="7">
        <f t="shared" ca="1" si="53"/>
        <v>7.8757859303657349E-2</v>
      </c>
      <c r="E893" s="7">
        <f t="shared" ca="1" si="54"/>
        <v>0.87776241185459836</v>
      </c>
      <c r="F893" s="7">
        <f t="shared" ca="1" si="55"/>
        <v>2.5055556893938374E-2</v>
      </c>
      <c r="G893" s="7">
        <f ca="1">$C$11/(1+D893)^1
 +$D$11/(1+D893)^2
 +$E$11/(1+D893)^3
 +$F$11/(1+D893)^4
 +$G$11/(1+D893)^5
 +$H$11/(1+D893)^6
 +$I$11/(1+D893)^7
 + ( $I$11*(1+F893)/(D893-F893) )/(1+D893)^7</f>
        <v>489.14963427502886</v>
      </c>
      <c r="H893" s="7">
        <f ca="1">(G893-$C$8)/$C$9</f>
        <v>2.7005859016001179</v>
      </c>
    </row>
    <row r="894" spans="3:8" x14ac:dyDescent="0.35">
      <c r="C894" s="8">
        <f t="shared" ca="1" si="52"/>
        <v>0.72183673416585747</v>
      </c>
      <c r="D894" s="7">
        <f t="shared" ca="1" si="53"/>
        <v>9.5270188482175638E-2</v>
      </c>
      <c r="E894" s="7">
        <f t="shared" ca="1" si="54"/>
        <v>6.4363641869656929E-3</v>
      </c>
      <c r="F894" s="7">
        <f t="shared" ca="1" si="55"/>
        <v>1.1134580467570784E-2</v>
      </c>
      <c r="G894" s="7">
        <f ca="1">$C$11/(1+D894)^1
 +$D$11/(1+D894)^2
 +$E$11/(1+D894)^3
 +$F$11/(1+D894)^4
 +$G$11/(1+D894)^5
 +$H$11/(1+D894)^6
 +$I$11/(1+D894)^7
 + ( $I$11*(1+F894)/(D894-F894) )/(1+D894)^7</f>
        <v>327.61906538034771</v>
      </c>
      <c r="H894" s="7">
        <f ca="1">(G894-$C$8)/$C$9</f>
        <v>1.7873646844207807</v>
      </c>
    </row>
    <row r="895" spans="3:8" x14ac:dyDescent="0.35">
      <c r="C895" s="8">
        <f t="shared" ca="1" si="52"/>
        <v>0.88687083498271435</v>
      </c>
      <c r="D895" s="7">
        <f t="shared" ca="1" si="53"/>
        <v>0.1006063452951749</v>
      </c>
      <c r="E895" s="7">
        <f t="shared" ca="1" si="54"/>
        <v>0.94904770246620718</v>
      </c>
      <c r="F895" s="7">
        <f t="shared" ca="1" si="55"/>
        <v>2.6807750087045414E-2</v>
      </c>
      <c r="G895" s="7">
        <f ca="1">$C$11/(1+D895)^1
 +$D$11/(1+D895)^2
 +$E$11/(1+D895)^3
 +$F$11/(1+D895)^4
 +$G$11/(1+D895)^5
 +$H$11/(1+D895)^6
 +$I$11/(1+D895)^7
 + ( $I$11*(1+F895)/(D895-F895) )/(1+D895)^7</f>
        <v>349.10174177764361</v>
      </c>
      <c r="H895" s="7">
        <f ca="1">(G895-$C$8)/$C$9</f>
        <v>1.9088180787971709</v>
      </c>
    </row>
    <row r="896" spans="3:8" x14ac:dyDescent="0.35">
      <c r="C896" s="8">
        <f t="shared" ca="1" si="52"/>
        <v>0.20820013824041339</v>
      </c>
      <c r="D896" s="7">
        <f t="shared" ca="1" si="53"/>
        <v>8.3066143782965923E-2</v>
      </c>
      <c r="E896" s="7">
        <f t="shared" ca="1" si="54"/>
        <v>0.75376187317774346</v>
      </c>
      <c r="F896" s="7">
        <f t="shared" ca="1" si="55"/>
        <v>2.2982334764007954E-2</v>
      </c>
      <c r="G896" s="7">
        <f ca="1">$C$11/(1+D896)^1
 +$D$11/(1+D896)^2
 +$E$11/(1+D896)^3
 +$F$11/(1+D896)^4
 +$G$11/(1+D896)^5
 +$H$11/(1+D896)^6
 +$I$11/(1+D896)^7
 + ( $I$11*(1+F896)/(D896-F896) )/(1+D896)^7</f>
        <v>440.08084406626358</v>
      </c>
      <c r="H896" s="7">
        <f ca="1">(G896-$C$8)/$C$9</f>
        <v>2.4231730216319742</v>
      </c>
    </row>
    <row r="897" spans="3:8" x14ac:dyDescent="0.35">
      <c r="C897" s="8">
        <f t="shared" ca="1" si="52"/>
        <v>0.68769623032985561</v>
      </c>
      <c r="D897" s="7">
        <f t="shared" ca="1" si="53"/>
        <v>9.4392407605824902E-2</v>
      </c>
      <c r="E897" s="7">
        <f t="shared" ca="1" si="54"/>
        <v>6.535688098966308E-2</v>
      </c>
      <c r="F897" s="7">
        <f t="shared" ca="1" si="55"/>
        <v>1.3615435824065006E-2</v>
      </c>
      <c r="G897" s="7">
        <f ca="1">$C$11/(1+D897)^1
 +$D$11/(1+D897)^2
 +$E$11/(1+D897)^3
 +$F$11/(1+D897)^4
 +$G$11/(1+D897)^5
 +$H$11/(1+D897)^6
 +$I$11/(1+D897)^7
 + ( $I$11*(1+F897)/(D897-F897) )/(1+D897)^7</f>
        <v>338.04654425070612</v>
      </c>
      <c r="H897" s="7">
        <f ca="1">(G897-$C$8)/$C$9</f>
        <v>1.8463169620686686</v>
      </c>
    </row>
    <row r="898" spans="3:8" x14ac:dyDescent="0.35">
      <c r="C898" s="8">
        <f t="shared" ca="1" si="52"/>
        <v>0.82392459543604002</v>
      </c>
      <c r="D898" s="7">
        <f t="shared" ca="1" si="53"/>
        <v>9.8280835543440442E-2</v>
      </c>
      <c r="E898" s="7">
        <f t="shared" ca="1" si="54"/>
        <v>0.57110219877144652</v>
      </c>
      <c r="F898" s="7">
        <f t="shared" ca="1" si="55"/>
        <v>2.0738274445563035E-2</v>
      </c>
      <c r="G898" s="7">
        <f ca="1">$C$11/(1+D898)^1
 +$D$11/(1+D898)^2
 +$E$11/(1+D898)^3
 +$F$11/(1+D898)^4
 +$G$11/(1+D898)^5
 +$H$11/(1+D898)^6
 +$I$11/(1+D898)^7
 + ( $I$11*(1+F898)/(D898-F898) )/(1+D898)^7</f>
        <v>341.20209082044033</v>
      </c>
      <c r="H898" s="7">
        <f ca="1">(G898-$C$8)/$C$9</f>
        <v>1.8641570037338326</v>
      </c>
    </row>
    <row r="899" spans="3:8" x14ac:dyDescent="0.35">
      <c r="C899" s="8">
        <f t="shared" ca="1" si="52"/>
        <v>0.17999879215649839</v>
      </c>
      <c r="D899" s="7">
        <f t="shared" ca="1" si="53"/>
        <v>8.2149033277110109E-2</v>
      </c>
      <c r="E899" s="7">
        <f t="shared" ca="1" si="54"/>
        <v>0.26945792338633956</v>
      </c>
      <c r="F899" s="7">
        <f t="shared" ca="1" si="55"/>
        <v>1.7341088793719081E-2</v>
      </c>
      <c r="G899" s="7">
        <f ca="1">$C$11/(1+D899)^1
 +$D$11/(1+D899)^2
 +$E$11/(1+D899)^3
 +$F$11/(1+D899)^4
 +$G$11/(1+D899)^5
 +$H$11/(1+D899)^6
 +$I$11/(1+D899)^7
 + ( $I$11*(1+F899)/(D899-F899) )/(1+D899)^7</f>
        <v>418.2416828885996</v>
      </c>
      <c r="H899" s="7">
        <f ca="1">(G899-$C$8)/$C$9</f>
        <v>2.299704222572363</v>
      </c>
    </row>
    <row r="900" spans="3:8" x14ac:dyDescent="0.35">
      <c r="C900" s="8">
        <f t="shared" ca="1" si="52"/>
        <v>0.60419484214942465</v>
      </c>
      <c r="D900" s="7">
        <f t="shared" ca="1" si="53"/>
        <v>9.2429341983765984E-2</v>
      </c>
      <c r="E900" s="7">
        <f t="shared" ca="1" si="54"/>
        <v>0.46004085482886525</v>
      </c>
      <c r="F900" s="7">
        <f t="shared" ca="1" si="55"/>
        <v>1.9592088978203498E-2</v>
      </c>
      <c r="G900" s="7">
        <f ca="1">$C$11/(1+D900)^1
 +$D$11/(1+D900)^2
 +$E$11/(1+D900)^3
 +$F$11/(1+D900)^4
 +$G$11/(1+D900)^5
 +$H$11/(1+D900)^6
 +$I$11/(1+D900)^7
 + ( $I$11*(1+F900)/(D900-F900) )/(1+D900)^7</f>
        <v>366.2448831034327</v>
      </c>
      <c r="H900" s="7">
        <f ca="1">(G900-$C$8)/$C$9</f>
        <v>2.0057376928054764</v>
      </c>
    </row>
    <row r="901" spans="3:8" x14ac:dyDescent="0.35">
      <c r="C901" s="8">
        <f t="shared" ca="1" si="52"/>
        <v>0.24536037161389701</v>
      </c>
      <c r="D901" s="7">
        <f t="shared" ca="1" si="53"/>
        <v>8.4184340122945289E-2</v>
      </c>
      <c r="E901" s="7">
        <f t="shared" ca="1" si="54"/>
        <v>0.25283630357348186</v>
      </c>
      <c r="F901" s="7">
        <f t="shared" ca="1" si="55"/>
        <v>1.7111066074415031E-2</v>
      </c>
      <c r="G901" s="7">
        <f ca="1">$C$11/(1+D901)^1
 +$D$11/(1+D901)^2
 +$E$11/(1+D901)^3
 +$F$11/(1+D901)^4
 +$G$11/(1+D901)^5
 +$H$11/(1+D901)^6
 +$I$11/(1+D901)^7
 + ( $I$11*(1+F901)/(D901-F901) )/(1+D901)^7</f>
        <v>403.97151886658105</v>
      </c>
      <c r="H901" s="7">
        <f ca="1">(G901-$C$8)/$C$9</f>
        <v>2.2190271306342213</v>
      </c>
    </row>
    <row r="902" spans="3:8" x14ac:dyDescent="0.35">
      <c r="C902" s="8">
        <f t="shared" ca="1" si="52"/>
        <v>0.96634569276814408</v>
      </c>
      <c r="D902" s="7">
        <f t="shared" ca="1" si="53"/>
        <v>0.10487648951978747</v>
      </c>
      <c r="E902" s="7">
        <f t="shared" ca="1" si="54"/>
        <v>0.52512878435982158</v>
      </c>
      <c r="F902" s="7">
        <f t="shared" ca="1" si="55"/>
        <v>2.0254527044415153E-2</v>
      </c>
      <c r="G902" s="7">
        <f ca="1">$C$11/(1+D902)^1
 +$D$11/(1+D902)^2
 +$E$11/(1+D902)^3
 +$F$11/(1+D902)^4
 +$G$11/(1+D902)^5
 +$H$11/(1+D902)^6
 +$I$11/(1+D902)^7
 + ( $I$11*(1+F902)/(D902-F902) )/(1+D902)^7</f>
        <v>312.09295576447255</v>
      </c>
      <c r="H902" s="7">
        <f ca="1">(G902-$C$8)/$C$9</f>
        <v>1.6995870407308489</v>
      </c>
    </row>
    <row r="903" spans="3:8" x14ac:dyDescent="0.35">
      <c r="C903" s="8">
        <f t="shared" ca="1" si="52"/>
        <v>0.48395454660397386</v>
      </c>
      <c r="D903" s="7">
        <f t="shared" ca="1" si="53"/>
        <v>8.9920911831923217E-2</v>
      </c>
      <c r="E903" s="7">
        <f t="shared" ca="1" si="54"/>
        <v>0.75816096942849842</v>
      </c>
      <c r="F903" s="7">
        <f t="shared" ca="1" si="55"/>
        <v>2.3045303305369795E-2</v>
      </c>
      <c r="G903" s="7">
        <f ca="1">$C$11/(1+D903)^1
 +$D$11/(1+D903)^2
 +$E$11/(1+D903)^3
 +$F$11/(1+D903)^4
 +$G$11/(1+D903)^5
 +$H$11/(1+D903)^6
 +$I$11/(1+D903)^7
 + ( $I$11*(1+F903)/(D903-F903) )/(1+D903)^7</f>
        <v>393.70533060187392</v>
      </c>
      <c r="H903" s="7">
        <f ca="1">(G903-$C$8)/$C$9</f>
        <v>2.1609867175592146</v>
      </c>
    </row>
    <row r="904" spans="3:8" x14ac:dyDescent="0.35">
      <c r="C904" s="8">
        <f t="shared" ca="1" si="52"/>
        <v>0.67061359698754308</v>
      </c>
      <c r="D904" s="7">
        <f t="shared" ca="1" si="53"/>
        <v>9.3971232288484668E-2</v>
      </c>
      <c r="E904" s="7">
        <f t="shared" ca="1" si="54"/>
        <v>0.24577834671551491</v>
      </c>
      <c r="F904" s="7">
        <f t="shared" ca="1" si="55"/>
        <v>1.7011110421545433E-2</v>
      </c>
      <c r="G904" s="7">
        <f ca="1">$C$11/(1+D904)^1
 +$D$11/(1+D904)^2
 +$E$11/(1+D904)^3
 +$F$11/(1+D904)^4
 +$G$11/(1+D904)^5
 +$H$11/(1+D904)^6
 +$I$11/(1+D904)^7
 + ( $I$11*(1+F904)/(D904-F904) )/(1+D904)^7</f>
        <v>350.01989366107904</v>
      </c>
      <c r="H904" s="7">
        <f ca="1">(G904-$C$8)/$C$9</f>
        <v>1.9140088967722695</v>
      </c>
    </row>
    <row r="905" spans="3:8" x14ac:dyDescent="0.35">
      <c r="C905" s="8">
        <f t="shared" ca="1" si="52"/>
        <v>0.78078473230994905</v>
      </c>
      <c r="D905" s="7">
        <f t="shared" ca="1" si="53"/>
        <v>9.6923765496204961E-2</v>
      </c>
      <c r="E905" s="7">
        <f t="shared" ca="1" si="54"/>
        <v>0.94128714740576791</v>
      </c>
      <c r="F905" s="7">
        <f t="shared" ca="1" si="55"/>
        <v>2.6573256572364014E-2</v>
      </c>
      <c r="G905" s="7">
        <f ca="1">$C$11/(1+D905)^1
 +$D$11/(1+D905)^2
 +$E$11/(1+D905)^3
 +$F$11/(1+D905)^4
 +$G$11/(1+D905)^5
 +$H$11/(1+D905)^6
 +$I$11/(1+D905)^7
 + ( $I$11*(1+F905)/(D905-F905) )/(1+D905)^7</f>
        <v>367.27071290894827</v>
      </c>
      <c r="H905" s="7">
        <f ca="1">(G905-$C$8)/$C$9</f>
        <v>2.0115372733432171</v>
      </c>
    </row>
    <row r="906" spans="3:8" x14ac:dyDescent="0.35">
      <c r="C906" s="8">
        <f t="shared" ca="1" si="52"/>
        <v>0.55300636715658003</v>
      </c>
      <c r="D906" s="7">
        <f t="shared" ca="1" si="53"/>
        <v>9.1327693403923882E-2</v>
      </c>
      <c r="E906" s="7">
        <f t="shared" ca="1" si="54"/>
        <v>0.40213746749729906</v>
      </c>
      <c r="F906" s="7">
        <f t="shared" ca="1" si="55"/>
        <v>1.8968137682900493E-2</v>
      </c>
      <c r="G906" s="7">
        <f ca="1">$C$11/(1+D906)^1
 +$D$11/(1+D906)^2
 +$E$11/(1+D906)^3
 +$F$11/(1+D906)^4
 +$G$11/(1+D906)^5
 +$H$11/(1+D906)^6
 +$I$11/(1+D906)^7
 + ( $I$11*(1+F906)/(D906-F906) )/(1+D906)^7</f>
        <v>369.87309885871457</v>
      </c>
      <c r="H906" s="7">
        <f ca="1">(G906-$C$8)/$C$9</f>
        <v>2.026249993547685</v>
      </c>
    </row>
    <row r="907" spans="3:8" x14ac:dyDescent="0.35">
      <c r="C907" s="8">
        <f t="shared" ca="1" si="52"/>
        <v>0.58905369249840878</v>
      </c>
      <c r="D907" s="7">
        <f t="shared" ca="1" si="53"/>
        <v>9.2096421590887448E-2</v>
      </c>
      <c r="E907" s="7">
        <f t="shared" ca="1" si="54"/>
        <v>0.86502238686101307</v>
      </c>
      <c r="F907" s="7">
        <f t="shared" ca="1" si="55"/>
        <v>2.4804278430497127E-2</v>
      </c>
      <c r="G907" s="7">
        <f ca="1">$C$11/(1+D907)^1
 +$D$11/(1+D907)^2
 +$E$11/(1+D907)^3
 +$F$11/(1+D907)^4
 +$G$11/(1+D907)^5
 +$H$11/(1+D907)^6
 +$I$11/(1+D907)^7
 + ( $I$11*(1+F907)/(D907-F907) )/(1+D907)^7</f>
        <v>387.8674688002119</v>
      </c>
      <c r="H907" s="7">
        <f ca="1">(G907-$C$8)/$C$9</f>
        <v>2.1279820714620752</v>
      </c>
    </row>
    <row r="908" spans="3:8" x14ac:dyDescent="0.35">
      <c r="C908" s="8">
        <f t="shared" ca="1" si="52"/>
        <v>0.82998497559795903</v>
      </c>
      <c r="D908" s="7">
        <f t="shared" ca="1" si="53"/>
        <v>9.8484283824546909E-2</v>
      </c>
      <c r="E908" s="7">
        <f t="shared" ca="1" si="54"/>
        <v>0.77994447809154221</v>
      </c>
      <c r="F908" s="7">
        <f t="shared" ca="1" si="55"/>
        <v>2.3365913447829342E-2</v>
      </c>
      <c r="G908" s="7">
        <f ca="1">$C$11/(1+D908)^1
 +$D$11/(1+D908)^2
 +$E$11/(1+D908)^3
 +$F$11/(1+D908)^4
 +$G$11/(1+D908)^5
 +$H$11/(1+D908)^6
 +$I$11/(1+D908)^7
 + ( $I$11*(1+F908)/(D908-F908) )/(1+D908)^7</f>
        <v>348.34850213698689</v>
      </c>
      <c r="H908" s="7">
        <f ca="1">(G908-$C$8)/$C$9</f>
        <v>1.9045596005030918</v>
      </c>
    </row>
    <row r="909" spans="3:8" x14ac:dyDescent="0.35">
      <c r="C909" s="8">
        <f t="shared" ca="1" si="52"/>
        <v>0.29602749360753289</v>
      </c>
      <c r="D909" s="7">
        <f t="shared" ca="1" si="53"/>
        <v>8.5580197198950242E-2</v>
      </c>
      <c r="E909" s="7">
        <f t="shared" ca="1" si="54"/>
        <v>0.68341279283704015</v>
      </c>
      <c r="F909" s="7">
        <f t="shared" ca="1" si="55"/>
        <v>2.2042774262810438E-2</v>
      </c>
      <c r="G909" s="7">
        <f ca="1">$C$11/(1+D909)^1
 +$D$11/(1+D909)^2
 +$E$11/(1+D909)^3
 +$F$11/(1+D909)^4
 +$G$11/(1+D909)^5
 +$H$11/(1+D909)^6
 +$I$11/(1+D909)^7
 + ( $I$11*(1+F909)/(D909-F909) )/(1+D909)^7</f>
        <v>417.22900682363763</v>
      </c>
      <c r="H909" s="7">
        <f ca="1">(G909-$C$8)/$C$9</f>
        <v>2.2939790073701811</v>
      </c>
    </row>
    <row r="910" spans="3:8" x14ac:dyDescent="0.35">
      <c r="C910" s="8">
        <f t="shared" ca="1" si="52"/>
        <v>0.98644293959584073</v>
      </c>
      <c r="D910" s="7">
        <f t="shared" ca="1" si="53"/>
        <v>0.10674815327617609</v>
      </c>
      <c r="E910" s="7">
        <f t="shared" ca="1" si="54"/>
        <v>0.24282825972696442</v>
      </c>
      <c r="F910" s="7">
        <f t="shared" ca="1" si="55"/>
        <v>1.6968906079535932E-2</v>
      </c>
      <c r="G910" s="7">
        <f ca="1">$C$11/(1+D910)^1
 +$D$11/(1+D910)^2
 +$E$11/(1+D910)^3
 +$F$11/(1+D910)^4
 +$G$11/(1+D910)^5
 +$H$11/(1+D910)^6
 +$I$11/(1+D910)^7
 + ( $I$11*(1+F910)/(D910-F910) )/(1+D910)^7</f>
        <v>297.7516855638014</v>
      </c>
      <c r="H910" s="7">
        <f ca="1">(G910-$C$8)/$C$9</f>
        <v>1.6185079464258332</v>
      </c>
    </row>
    <row r="911" spans="3:8" x14ac:dyDescent="0.35">
      <c r="C911" s="8">
        <f t="shared" ca="1" si="52"/>
        <v>0.39903168316578574</v>
      </c>
      <c r="D911" s="7">
        <f t="shared" ca="1" si="53"/>
        <v>8.808883578884899E-2</v>
      </c>
      <c r="E911" s="7">
        <f t="shared" ca="1" si="54"/>
        <v>0.36914188006204063</v>
      </c>
      <c r="F911" s="7">
        <f t="shared" ca="1" si="55"/>
        <v>1.8592344034802616E-2</v>
      </c>
      <c r="G911" s="7">
        <f ca="1">$C$11/(1+D911)^1
 +$D$11/(1+D911)^2
 +$E$11/(1+D911)^3
 +$F$11/(1+D911)^4
 +$G$11/(1+D911)^5
 +$H$11/(1+D911)^6
 +$I$11/(1+D911)^7
 + ( $I$11*(1+F911)/(D911-F911) )/(1+D911)^7</f>
        <v>386.494007082368</v>
      </c>
      <c r="H911" s="7">
        <f ca="1">(G911-$C$8)/$C$9</f>
        <v>2.1202171363770237</v>
      </c>
    </row>
    <row r="912" spans="3:8" x14ac:dyDescent="0.35">
      <c r="C912" s="8">
        <f t="shared" ca="1" si="52"/>
        <v>0.45218302962331169</v>
      </c>
      <c r="D912" s="7">
        <f t="shared" ca="1" si="53"/>
        <v>8.9255910372950831E-2</v>
      </c>
      <c r="E912" s="7">
        <f t="shared" ca="1" si="54"/>
        <v>0.69954150369472023</v>
      </c>
      <c r="F912" s="7">
        <f t="shared" ca="1" si="55"/>
        <v>2.2248116405604638E-2</v>
      </c>
      <c r="G912" s="7">
        <f ca="1">$C$11/(1+D912)^1
 +$D$11/(1+D912)^2
 +$E$11/(1+D912)^3
 +$F$11/(1+D912)^4
 +$G$11/(1+D912)^5
 +$H$11/(1+D912)^6
 +$I$11/(1+D912)^7
 + ( $I$11*(1+F912)/(D912-F912) )/(1+D912)^7</f>
        <v>394.41746009328676</v>
      </c>
      <c r="H912" s="7">
        <f ca="1">(G912-$C$8)/$C$9</f>
        <v>2.1650127775513726</v>
      </c>
    </row>
    <row r="913" spans="3:8" x14ac:dyDescent="0.35">
      <c r="C913" s="8">
        <f t="shared" ref="C913:C976" ca="1" si="56">RAND()</f>
        <v>0.66841366262061408</v>
      </c>
      <c r="D913" s="7">
        <f t="shared" ref="D913:D976" ca="1" si="57">IF(C913&lt;(0.0905-0.07)/(0.11-0.07),
 0.07+SQRT(C913*(0.11-0.07)*(0.0905-0.07)),
 0.11-SQRT((1-C913)*(0.11-0.07)*(0.11-0.0905))
)</f>
        <v>9.3917794207388064E-2</v>
      </c>
      <c r="E913" s="7">
        <f t="shared" ref="E913:E976" ca="1" si="58">RAND()</f>
        <v>0.23063036695128547</v>
      </c>
      <c r="F913" s="7">
        <f t="shared" ref="F913:F976" ca="1" si="59">MIN(
 IF(E913&lt;(0.02-0.01)/(0.03-0.01),
   0.01+SQRT(E913*(0.03-0.01)*(0.02-0.01)),
   0.03-SQRT((1-E913)*(0.03-0.01)*(0.03-0.02))
 ),
 D913-0.005
)</f>
        <v>1.6791617877226096E-2</v>
      </c>
      <c r="G913" s="7">
        <f ca="1">$C$11/(1+D913)^1
 +$D$11/(1+D913)^2
 +$E$11/(1+D913)^3
 +$F$11/(1+D913)^4
 +$G$11/(1+D913)^5
 +$H$11/(1+D913)^6
 +$I$11/(1+D913)^7
 + ( $I$11*(1+F913)/(D913-F913) )/(1+D913)^7</f>
        <v>349.59356004787332</v>
      </c>
      <c r="H913" s="7">
        <f ca="1">(G913-$C$8)/$C$9</f>
        <v>1.9115985981901475</v>
      </c>
    </row>
    <row r="914" spans="3:8" x14ac:dyDescent="0.35">
      <c r="C914" s="8">
        <f t="shared" ca="1" si="56"/>
        <v>0.91389582926004276</v>
      </c>
      <c r="D914" s="7">
        <f t="shared" ca="1" si="57"/>
        <v>0.10180480304219804</v>
      </c>
      <c r="E914" s="7">
        <f t="shared" ca="1" si="58"/>
        <v>4.0590459497415687E-2</v>
      </c>
      <c r="F914" s="7">
        <f t="shared" ca="1" si="59"/>
        <v>1.2849226544078786E-2</v>
      </c>
      <c r="G914" s="7">
        <f ca="1">$C$11/(1+D914)^1
 +$D$11/(1+D914)^2
 +$E$11/(1+D914)^3
 +$F$11/(1+D914)^4
 +$G$11/(1+D914)^5
 +$H$11/(1+D914)^6
 +$I$11/(1+D914)^7
 + ( $I$11*(1+F914)/(D914-F914) )/(1+D914)^7</f>
        <v>306.4168241321147</v>
      </c>
      <c r="H914" s="7">
        <f ca="1">(G914-$C$8)/$C$9</f>
        <v>1.6674967443018696</v>
      </c>
    </row>
    <row r="915" spans="3:8" x14ac:dyDescent="0.35">
      <c r="C915" s="8">
        <f t="shared" ca="1" si="56"/>
        <v>0.42310525390964504</v>
      </c>
      <c r="D915" s="7">
        <f t="shared" ca="1" si="57"/>
        <v>8.8626494791181426E-2</v>
      </c>
      <c r="E915" s="7">
        <f t="shared" ca="1" si="58"/>
        <v>0.39435487282671877</v>
      </c>
      <c r="F915" s="7">
        <f t="shared" ca="1" si="59"/>
        <v>1.8880933203517733E-2</v>
      </c>
      <c r="G915" s="7">
        <f ca="1">$C$11/(1+D915)^1
 +$D$11/(1+D915)^2
 +$E$11/(1+D915)^3
 +$F$11/(1+D915)^4
 +$G$11/(1+D915)^5
 +$H$11/(1+D915)^6
 +$I$11/(1+D915)^7
 + ( $I$11*(1+F915)/(D915-F915) )/(1+D915)^7</f>
        <v>384.51767636108002</v>
      </c>
      <c r="H915" s="7">
        <f ca="1">(G915-$C$8)/$C$9</f>
        <v>2.1090438509785163</v>
      </c>
    </row>
    <row r="916" spans="3:8" x14ac:dyDescent="0.35">
      <c r="C916" s="8">
        <f t="shared" ca="1" si="56"/>
        <v>0.98262464605761912</v>
      </c>
      <c r="D916" s="7">
        <f t="shared" ca="1" si="57"/>
        <v>0.10631859047713282</v>
      </c>
      <c r="E916" s="7">
        <f t="shared" ca="1" si="58"/>
        <v>0.6663021054605911</v>
      </c>
      <c r="F916" s="7">
        <f t="shared" ca="1" si="59"/>
        <v>2.1830570466190323E-2</v>
      </c>
      <c r="G916" s="7">
        <f ca="1">$C$11/(1+D916)^1
 +$D$11/(1+D916)^2
 +$E$11/(1+D916)^3
 +$F$11/(1+D916)^4
 +$G$11/(1+D916)^5
 +$H$11/(1+D916)^6
 +$I$11/(1+D916)^7
 + ( $I$11*(1+F916)/(D916-F916) )/(1+D916)^7</f>
        <v>310.34202518574375</v>
      </c>
      <c r="H916" s="7">
        <f ca="1">(G916-$C$8)/$C$9</f>
        <v>1.6896880664051546</v>
      </c>
    </row>
    <row r="917" spans="3:8" x14ac:dyDescent="0.35">
      <c r="C917" s="8">
        <f t="shared" ca="1" si="56"/>
        <v>0.70878282859022979</v>
      </c>
      <c r="D917" s="7">
        <f t="shared" ca="1" si="57"/>
        <v>9.4928523838070114E-2</v>
      </c>
      <c r="E917" s="7">
        <f t="shared" ca="1" si="58"/>
        <v>0.78710533452878173</v>
      </c>
      <c r="F917" s="7">
        <f t="shared" ca="1" si="59"/>
        <v>2.3474746511112102E-2</v>
      </c>
      <c r="G917" s="7">
        <f ca="1">$C$11/(1+D917)^1
 +$D$11/(1+D917)^2
 +$E$11/(1+D917)^3
 +$F$11/(1+D917)^4
 +$G$11/(1+D917)^5
 +$H$11/(1+D917)^6
 +$I$11/(1+D917)^7
 + ( $I$11*(1+F917)/(D917-F917) )/(1+D917)^7</f>
        <v>366.7689606555391</v>
      </c>
      <c r="H917" s="7">
        <f ca="1">(G917-$C$8)/$C$9</f>
        <v>2.008700591675368</v>
      </c>
    </row>
    <row r="918" spans="3:8" x14ac:dyDescent="0.35">
      <c r="C918" s="8">
        <f t="shared" ca="1" si="56"/>
        <v>0.37385754178281261</v>
      </c>
      <c r="D918" s="7">
        <f t="shared" ca="1" si="57"/>
        <v>8.750894583525537E-2</v>
      </c>
      <c r="E918" s="7">
        <f t="shared" ca="1" si="58"/>
        <v>0.1776435608118333</v>
      </c>
      <c r="F918" s="7">
        <f t="shared" ca="1" si="59"/>
        <v>1.5960596628053828E-2</v>
      </c>
      <c r="G918" s="7">
        <f ca="1">$C$11/(1+D918)^1
 +$D$11/(1+D918)^2
 +$E$11/(1+D918)^3
 +$F$11/(1+D918)^4
 +$G$11/(1+D918)^5
 +$H$11/(1+D918)^6
 +$I$11/(1+D918)^7
 + ( $I$11*(1+F918)/(D918-F918) )/(1+D918)^7</f>
        <v>379.70853394303145</v>
      </c>
      <c r="H918" s="7">
        <f ca="1">(G918-$C$8)/$C$9</f>
        <v>2.0818551217946148</v>
      </c>
    </row>
    <row r="919" spans="3:8" x14ac:dyDescent="0.35">
      <c r="C919" s="8">
        <f t="shared" ca="1" si="56"/>
        <v>0.13225293140822703</v>
      </c>
      <c r="D919" s="7">
        <f t="shared" ca="1" si="57"/>
        <v>8.0413808321394539E-2</v>
      </c>
      <c r="E919" s="7">
        <f t="shared" ca="1" si="58"/>
        <v>0.33321136947206975</v>
      </c>
      <c r="F919" s="7">
        <f t="shared" ca="1" si="59"/>
        <v>1.8163471926479196E-2</v>
      </c>
      <c r="G919" s="7">
        <f ca="1">$C$11/(1+D919)^1
 +$D$11/(1+D919)^2
 +$E$11/(1+D919)^3
 +$F$11/(1+D919)^4
 +$G$11/(1+D919)^5
 +$H$11/(1+D919)^6
 +$I$11/(1+D919)^7
 + ( $I$11*(1+F919)/(D919-F919) )/(1+D919)^7</f>
        <v>434.39379025355788</v>
      </c>
      <c r="H919" s="7">
        <f ca="1">(G919-$C$8)/$C$9</f>
        <v>2.3910209761055961</v>
      </c>
    </row>
    <row r="920" spans="3:8" x14ac:dyDescent="0.35">
      <c r="C920" s="8">
        <f t="shared" ca="1" si="56"/>
        <v>0.42244455340498499</v>
      </c>
      <c r="D920" s="7">
        <f t="shared" ca="1" si="57"/>
        <v>8.8611945996915201E-2</v>
      </c>
      <c r="E920" s="7">
        <f t="shared" ca="1" si="58"/>
        <v>0.78366011804585556</v>
      </c>
      <c r="F920" s="7">
        <f t="shared" ca="1" si="59"/>
        <v>2.342216020331683E-2</v>
      </c>
      <c r="G920" s="7">
        <f ca="1">$C$11/(1+D920)^1
 +$D$11/(1+D920)^2
 +$E$11/(1+D920)^3
 +$F$11/(1+D920)^4
 +$G$11/(1+D920)^5
 +$H$11/(1+D920)^6
 +$I$11/(1+D920)^7
 + ( $I$11*(1+F920)/(D920-F920) )/(1+D920)^7</f>
        <v>403.53913907072331</v>
      </c>
      <c r="H920" s="7">
        <f ca="1">(G920-$C$8)/$C$9</f>
        <v>2.216582649653569</v>
      </c>
    </row>
    <row r="921" spans="3:8" x14ac:dyDescent="0.35">
      <c r="C921" s="8">
        <f t="shared" ca="1" si="56"/>
        <v>0.57904800008968516</v>
      </c>
      <c r="D921" s="7">
        <f t="shared" ca="1" si="57"/>
        <v>9.1879774837766354E-2</v>
      </c>
      <c r="E921" s="7">
        <f t="shared" ca="1" si="58"/>
        <v>0.15414087451003677</v>
      </c>
      <c r="F921" s="7">
        <f t="shared" ca="1" si="59"/>
        <v>1.5552312572433882E-2</v>
      </c>
      <c r="G921" s="7">
        <f ca="1">$C$11/(1+D921)^1
 +$D$11/(1+D921)^2
 +$E$11/(1+D921)^3
 +$F$11/(1+D921)^4
 +$G$11/(1+D921)^5
 +$H$11/(1+D921)^6
 +$I$11/(1+D921)^7
 + ( $I$11*(1+F921)/(D921-F921) )/(1+D921)^7</f>
        <v>355.5200883952765</v>
      </c>
      <c r="H921" s="7">
        <f ca="1">(G921-$C$8)/$C$9</f>
        <v>1.9451045250750594</v>
      </c>
    </row>
    <row r="922" spans="3:8" x14ac:dyDescent="0.35">
      <c r="C922" s="8">
        <f t="shared" ca="1" si="56"/>
        <v>0.74562984685801392</v>
      </c>
      <c r="D922" s="7">
        <f t="shared" ca="1" si="57"/>
        <v>9.5914236994370905E-2</v>
      </c>
      <c r="E922" s="7">
        <f t="shared" ca="1" si="58"/>
        <v>9.5790200280155724E-2</v>
      </c>
      <c r="F922" s="7">
        <f t="shared" ca="1" si="59"/>
        <v>1.437698983960794E-2</v>
      </c>
      <c r="G922" s="7">
        <f ca="1">$C$11/(1+D922)^1
 +$D$11/(1+D922)^2
 +$E$11/(1+D922)^3
 +$F$11/(1+D922)^4
 +$G$11/(1+D922)^5
 +$H$11/(1+D922)^6
 +$I$11/(1+D922)^7
 + ( $I$11*(1+F922)/(D922-F922) )/(1+D922)^7</f>
        <v>333.52910717523758</v>
      </c>
      <c r="H922" s="7">
        <f ca="1">(G922-$C$8)/$C$9</f>
        <v>1.8207774037496469</v>
      </c>
    </row>
    <row r="923" spans="3:8" x14ac:dyDescent="0.35">
      <c r="C923" s="8">
        <f t="shared" ca="1" si="56"/>
        <v>0.89072254895669611</v>
      </c>
      <c r="D923" s="7">
        <f t="shared" ca="1" si="57"/>
        <v>0.10076764321455367</v>
      </c>
      <c r="E923" s="7">
        <f t="shared" ca="1" si="58"/>
        <v>0.30572582887635502</v>
      </c>
      <c r="F923" s="7">
        <f t="shared" ca="1" si="59"/>
        <v>1.7819537439981409E-2</v>
      </c>
      <c r="G923" s="7">
        <f ca="1">$C$11/(1+D923)^1
 +$D$11/(1+D923)^2
 +$E$11/(1+D923)^3
 +$F$11/(1+D923)^4
 +$G$11/(1+D923)^5
 +$H$11/(1+D923)^6
 +$I$11/(1+D923)^7
 + ( $I$11*(1+F923)/(D923-F923) )/(1+D923)^7</f>
        <v>322.3283930024204</v>
      </c>
      <c r="H923" s="7">
        <f ca="1">(G923-$C$8)/$C$9</f>
        <v>1.7574536013253075</v>
      </c>
    </row>
    <row r="924" spans="3:8" x14ac:dyDescent="0.35">
      <c r="C924" s="8">
        <f t="shared" ca="1" si="56"/>
        <v>0.60660519907689137</v>
      </c>
      <c r="D924" s="7">
        <f t="shared" ca="1" si="57"/>
        <v>9.2482924196087279E-2</v>
      </c>
      <c r="E924" s="7">
        <f t="shared" ca="1" si="58"/>
        <v>0.61778280198071955</v>
      </c>
      <c r="F924" s="7">
        <f t="shared" ca="1" si="59"/>
        <v>2.1256806098235263E-2</v>
      </c>
      <c r="G924" s="7">
        <f ca="1">$C$11/(1+D924)^1
 +$D$11/(1+D924)^2
 +$E$11/(1+D924)^3
 +$F$11/(1+D924)^4
 +$G$11/(1+D924)^5
 +$H$11/(1+D924)^6
 +$I$11/(1+D924)^7
 + ( $I$11*(1+F924)/(D924-F924) )/(1+D924)^7</f>
        <v>371.91409738867696</v>
      </c>
      <c r="H924" s="7">
        <f ca="1">(G924-$C$8)/$C$9</f>
        <v>2.0377888816637095</v>
      </c>
    </row>
    <row r="925" spans="3:8" x14ac:dyDescent="0.35">
      <c r="C925" s="8">
        <f t="shared" ca="1" si="56"/>
        <v>0.28690896781967679</v>
      </c>
      <c r="D925" s="7">
        <f t="shared" ca="1" si="57"/>
        <v>8.5338362155462852E-2</v>
      </c>
      <c r="E925" s="7">
        <f t="shared" ca="1" si="58"/>
        <v>0.23857898032676705</v>
      </c>
      <c r="F925" s="7">
        <f t="shared" ca="1" si="59"/>
        <v>1.6907662127330303E-2</v>
      </c>
      <c r="G925" s="7">
        <f ca="1">$C$11/(1+D925)^1
 +$D$11/(1+D925)^2
 +$E$11/(1+D925)^3
 +$F$11/(1+D925)^4
 +$G$11/(1+D925)^5
 +$H$11/(1+D925)^6
 +$I$11/(1+D925)^7
 + ( $I$11*(1+F925)/(D925-F925) )/(1+D925)^7</f>
        <v>395.99933848581804</v>
      </c>
      <c r="H925" s="7">
        <f ca="1">(G925-$C$8)/$C$9</f>
        <v>2.1739560068171531</v>
      </c>
    </row>
    <row r="926" spans="3:8" x14ac:dyDescent="0.35">
      <c r="C926" s="8">
        <f t="shared" ca="1" si="56"/>
        <v>0.47865559354551601</v>
      </c>
      <c r="D926" s="7">
        <f t="shared" ca="1" si="57"/>
        <v>8.9811551850052615E-2</v>
      </c>
      <c r="E926" s="7">
        <f t="shared" ca="1" si="58"/>
        <v>0.53407765448112199</v>
      </c>
      <c r="F926" s="7">
        <f t="shared" ca="1" si="59"/>
        <v>2.0346789699598605E-2</v>
      </c>
      <c r="G926" s="7">
        <f ca="1">$C$11/(1+D926)^1
 +$D$11/(1+D926)^2
 +$E$11/(1+D926)^3
 +$F$11/(1+D926)^4
 +$G$11/(1+D926)^5
 +$H$11/(1+D926)^6
 +$I$11/(1+D926)^7
 + ( $I$11*(1+F926)/(D926-F926) )/(1+D926)^7</f>
        <v>383.41789557979354</v>
      </c>
      <c r="H926" s="7">
        <f ca="1">(G926-$C$8)/$C$9</f>
        <v>2.1028261848699317</v>
      </c>
    </row>
    <row r="927" spans="3:8" x14ac:dyDescent="0.35">
      <c r="C927" s="8">
        <f t="shared" ca="1" si="56"/>
        <v>0.96828472796928455</v>
      </c>
      <c r="D927" s="7">
        <f t="shared" ca="1" si="57"/>
        <v>0.10502627783406049</v>
      </c>
      <c r="E927" s="7">
        <f t="shared" ca="1" si="58"/>
        <v>0.57513498651598072</v>
      </c>
      <c r="F927" s="7">
        <f t="shared" ca="1" si="59"/>
        <v>2.0781919793319011E-2</v>
      </c>
      <c r="G927" s="7">
        <f ca="1">$C$11/(1+D927)^1
 +$D$11/(1+D927)^2
 +$E$11/(1+D927)^3
 +$F$11/(1+D927)^4
 +$G$11/(1+D927)^5
 +$H$11/(1+D927)^6
 +$I$11/(1+D927)^7
 + ( $I$11*(1+F927)/(D927-F927) )/(1+D927)^7</f>
        <v>312.79463473111394</v>
      </c>
      <c r="H927" s="7">
        <f ca="1">(G927-$C$8)/$C$9</f>
        <v>1.7035540181541946</v>
      </c>
    </row>
    <row r="928" spans="3:8" x14ac:dyDescent="0.35">
      <c r="C928" s="8">
        <f t="shared" ca="1" si="56"/>
        <v>0.96868372686104853</v>
      </c>
      <c r="D928" s="7">
        <f t="shared" ca="1" si="57"/>
        <v>0.10505766319962084</v>
      </c>
      <c r="E928" s="7">
        <f t="shared" ca="1" si="58"/>
        <v>6.2309746759664386E-2</v>
      </c>
      <c r="F928" s="7">
        <f t="shared" ca="1" si="59"/>
        <v>1.3530148630289222E-2</v>
      </c>
      <c r="G928" s="7">
        <f ca="1">$C$11/(1+D928)^1
 +$D$11/(1+D928)^2
 +$E$11/(1+D928)^3
 +$F$11/(1+D928)^4
 +$G$11/(1+D928)^5
 +$H$11/(1+D928)^6
 +$I$11/(1+D928)^7
 + ( $I$11*(1+F928)/(D928-F928) )/(1+D928)^7</f>
        <v>296.38417351450903</v>
      </c>
      <c r="H928" s="7">
        <f ca="1">(G928-$C$8)/$C$9</f>
        <v>1.6107766480919776</v>
      </c>
    </row>
    <row r="929" spans="3:8" x14ac:dyDescent="0.35">
      <c r="C929" s="8">
        <f t="shared" ca="1" si="56"/>
        <v>8.4359056814422462E-2</v>
      </c>
      <c r="D929" s="7">
        <f t="shared" ca="1" si="57"/>
        <v>7.8317116482761712E-2</v>
      </c>
      <c r="E929" s="7">
        <f t="shared" ca="1" si="58"/>
        <v>0.61486862899919192</v>
      </c>
      <c r="F929" s="7">
        <f t="shared" ca="1" si="59"/>
        <v>2.1223538628800238E-2</v>
      </c>
      <c r="G929" s="7">
        <f ca="1">$C$11/(1+D929)^1
 +$D$11/(1+D929)^2
 +$E$11/(1+D929)^3
 +$F$11/(1+D929)^4
 +$G$11/(1+D929)^5
 +$H$11/(1+D929)^6
 +$I$11/(1+D929)^7
 + ( $I$11*(1+F929)/(D929-F929) )/(1+D929)^7</f>
        <v>468.03305321749764</v>
      </c>
      <c r="H929" s="7">
        <f ca="1">(G929-$C$8)/$C$9</f>
        <v>2.5812022456891546</v>
      </c>
    </row>
    <row r="930" spans="3:8" x14ac:dyDescent="0.35">
      <c r="C930" s="8">
        <f t="shared" ca="1" si="56"/>
        <v>0.78432403051717148</v>
      </c>
      <c r="D930" s="7">
        <f t="shared" ca="1" si="57"/>
        <v>9.7029754967749987E-2</v>
      </c>
      <c r="E930" s="7">
        <f t="shared" ca="1" si="58"/>
        <v>0.8817122397073488</v>
      </c>
      <c r="F930" s="7">
        <f t="shared" ca="1" si="59"/>
        <v>2.51360970344249E-2</v>
      </c>
      <c r="G930" s="7">
        <f ca="1">$C$11/(1+D930)^1
 +$D$11/(1+D930)^2
 +$E$11/(1+D930)^3
 +$F$11/(1+D930)^4
 +$G$11/(1+D930)^5
 +$H$11/(1+D930)^6
 +$I$11/(1+D930)^7
 + ( $I$11*(1+F930)/(D930-F930) )/(1+D930)^7</f>
        <v>361.56254366725022</v>
      </c>
      <c r="H930" s="7">
        <f ca="1">(G930-$C$8)/$C$9</f>
        <v>1.9792658506741871</v>
      </c>
    </row>
    <row r="931" spans="3:8" x14ac:dyDescent="0.35">
      <c r="C931" s="8">
        <f t="shared" ca="1" si="56"/>
        <v>9.8161570609255122E-2</v>
      </c>
      <c r="D931" s="7">
        <f t="shared" ca="1" si="57"/>
        <v>7.897176057970727E-2</v>
      </c>
      <c r="E931" s="7">
        <f t="shared" ca="1" si="58"/>
        <v>0.5345862691550668</v>
      </c>
      <c r="F931" s="7">
        <f t="shared" ca="1" si="59"/>
        <v>2.0352060003866801E-2</v>
      </c>
      <c r="G931" s="7">
        <f ca="1">$C$11/(1+D931)^1
 +$D$11/(1+D931)^2
 +$E$11/(1+D931)^3
 +$F$11/(1+D931)^4
 +$G$11/(1+D931)^5
 +$H$11/(1+D931)^6
 +$I$11/(1+D931)^7
 + ( $I$11*(1+F931)/(D931-F931) )/(1+D931)^7</f>
        <v>457.39140384402299</v>
      </c>
      <c r="H931" s="7">
        <f ca="1">(G931-$C$8)/$C$9</f>
        <v>2.5210391443013509</v>
      </c>
    </row>
    <row r="932" spans="3:8" x14ac:dyDescent="0.35">
      <c r="C932" s="8">
        <f t="shared" ca="1" si="56"/>
        <v>0.56983460159782251</v>
      </c>
      <c r="D932" s="7">
        <f t="shared" ca="1" si="57"/>
        <v>9.168254901047368E-2</v>
      </c>
      <c r="E932" s="7">
        <f t="shared" ca="1" si="58"/>
        <v>0.15368092112313103</v>
      </c>
      <c r="F932" s="7">
        <f t="shared" ca="1" si="59"/>
        <v>1.5544022386735664E-2</v>
      </c>
      <c r="G932" s="7">
        <f ca="1">$C$11/(1+D932)^1
 +$D$11/(1+D932)^2
 +$E$11/(1+D932)^3
 +$F$11/(1+D932)^4
 +$G$11/(1+D932)^5
 +$H$11/(1+D932)^6
 +$I$11/(1+D932)^7
 + ( $I$11*(1+F932)/(D932-F932) )/(1+D932)^7</f>
        <v>356.46010263895965</v>
      </c>
      <c r="H932" s="7">
        <f ca="1">(G932-$C$8)/$C$9</f>
        <v>1.9504189430063299</v>
      </c>
    </row>
    <row r="933" spans="3:8" x14ac:dyDescent="0.35">
      <c r="C933" s="8">
        <f t="shared" ca="1" si="56"/>
        <v>0.13928015568643271</v>
      </c>
      <c r="D933" s="7">
        <f t="shared" ca="1" si="57"/>
        <v>8.0686895136702463E-2</v>
      </c>
      <c r="E933" s="7">
        <f t="shared" ca="1" si="58"/>
        <v>0.81356918131577527</v>
      </c>
      <c r="F933" s="7">
        <f t="shared" ca="1" si="59"/>
        <v>2.3893760262088871E-2</v>
      </c>
      <c r="G933" s="7">
        <f ca="1">$C$11/(1+D933)^1
 +$D$11/(1+D933)^2
 +$E$11/(1+D933)^3
 +$F$11/(1+D933)^4
 +$G$11/(1+D933)^5
 +$H$11/(1+D933)^6
 +$I$11/(1+D933)^7
 + ( $I$11*(1+F933)/(D933-F933) )/(1+D933)^7</f>
        <v>464.381900162188</v>
      </c>
      <c r="H933" s="7">
        <f ca="1">(G933-$C$8)/$C$9</f>
        <v>2.5605602677645183</v>
      </c>
    </row>
    <row r="934" spans="3:8" x14ac:dyDescent="0.35">
      <c r="C934" s="8">
        <f t="shared" ca="1" si="56"/>
        <v>0.56266922675710973</v>
      </c>
      <c r="D934" s="7">
        <f t="shared" ca="1" si="57"/>
        <v>9.1530619849885198E-2</v>
      </c>
      <c r="E934" s="7">
        <f t="shared" ca="1" si="58"/>
        <v>0.21262049783878534</v>
      </c>
      <c r="F934" s="7">
        <f t="shared" ca="1" si="59"/>
        <v>1.652105049572207E-2</v>
      </c>
      <c r="G934" s="7">
        <f ca="1">$C$11/(1+D934)^1
 +$D$11/(1+D934)^2
 +$E$11/(1+D934)^3
 +$F$11/(1+D934)^4
 +$G$11/(1+D934)^5
 +$H$11/(1+D934)^6
 +$I$11/(1+D934)^7
 + ( $I$11*(1+F934)/(D934-F934) )/(1+D934)^7</f>
        <v>360.40577779046288</v>
      </c>
      <c r="H934" s="7">
        <f ca="1">(G934-$C$8)/$C$9</f>
        <v>1.9727260164544484</v>
      </c>
    </row>
    <row r="935" spans="3:8" x14ac:dyDescent="0.35">
      <c r="C935" s="8">
        <f t="shared" ca="1" si="56"/>
        <v>0.40275353688998139</v>
      </c>
      <c r="D935" s="7">
        <f t="shared" ca="1" si="57"/>
        <v>8.8172999208985414E-2</v>
      </c>
      <c r="E935" s="7">
        <f t="shared" ca="1" si="58"/>
        <v>0.39392280101269594</v>
      </c>
      <c r="F935" s="7">
        <f t="shared" ca="1" si="59"/>
        <v>1.8876066707868931E-2</v>
      </c>
      <c r="G935" s="7">
        <f ca="1">$C$11/(1+D935)^1
 +$D$11/(1+D935)^2
 +$E$11/(1+D935)^3
 +$F$11/(1+D935)^4
 +$G$11/(1+D935)^5
 +$H$11/(1+D935)^6
 +$I$11/(1+D935)^7
 + ( $I$11*(1+F935)/(D935-F935) )/(1+D935)^7</f>
        <v>387.12431069253347</v>
      </c>
      <c r="H935" s="7">
        <f ca="1">(G935-$C$8)/$C$9</f>
        <v>2.1237805896230975</v>
      </c>
    </row>
    <row r="936" spans="3:8" x14ac:dyDescent="0.35">
      <c r="C936" s="8">
        <f t="shared" ca="1" si="56"/>
        <v>0.42068063221029783</v>
      </c>
      <c r="D936" s="7">
        <f t="shared" ca="1" si="57"/>
        <v>8.8573048172350288E-2</v>
      </c>
      <c r="E936" s="7">
        <f t="shared" ca="1" si="58"/>
        <v>0.4415523007511104</v>
      </c>
      <c r="F936" s="7">
        <f t="shared" ca="1" si="59"/>
        <v>1.939736453215592E-2</v>
      </c>
      <c r="G936" s="7">
        <f ca="1">$C$11/(1+D936)^1
 +$D$11/(1+D936)^2
 +$E$11/(1+D936)^3
 +$F$11/(1+D936)^4
 +$G$11/(1+D936)^5
 +$H$11/(1+D936)^6
 +$I$11/(1+D936)^7
 + ( $I$11*(1+F936)/(D936-F936) )/(1+D936)^7</f>
        <v>386.85645303402589</v>
      </c>
      <c r="H936" s="7">
        <f ca="1">(G936-$C$8)/$C$9</f>
        <v>2.1222662428427514</v>
      </c>
    </row>
    <row r="937" spans="3:8" x14ac:dyDescent="0.35">
      <c r="C937" s="8">
        <f t="shared" ca="1" si="56"/>
        <v>0.46629024788493045</v>
      </c>
      <c r="D937" s="7">
        <f t="shared" ca="1" si="57"/>
        <v>8.9553976661171583E-2</v>
      </c>
      <c r="E937" s="7">
        <f t="shared" ca="1" si="58"/>
        <v>0.26664828686729503</v>
      </c>
      <c r="F937" s="7">
        <f t="shared" ca="1" si="59"/>
        <v>1.7302715753297469E-2</v>
      </c>
      <c r="G937" s="7">
        <f ca="1">$C$11/(1+D937)^1
 +$D$11/(1+D937)^2
 +$E$11/(1+D937)^3
 +$F$11/(1+D937)^4
 +$G$11/(1+D937)^5
 +$H$11/(1+D937)^6
 +$I$11/(1+D937)^7
 + ( $I$11*(1+F937)/(D937-F937) )/(1+D937)^7</f>
        <v>373.42414568492512</v>
      </c>
      <c r="H937" s="7">
        <f ca="1">(G937-$C$8)/$C$9</f>
        <v>2.0463260158577854</v>
      </c>
    </row>
    <row r="938" spans="3:8" x14ac:dyDescent="0.35">
      <c r="C938" s="8">
        <f t="shared" ca="1" si="56"/>
        <v>0.80237712589863297</v>
      </c>
      <c r="D938" s="7">
        <f t="shared" ca="1" si="57"/>
        <v>9.7584451611021514E-2</v>
      </c>
      <c r="E938" s="7">
        <f t="shared" ca="1" si="58"/>
        <v>2.5112348599954926E-3</v>
      </c>
      <c r="F938" s="7">
        <f t="shared" ca="1" si="59"/>
        <v>1.0708693849274212E-2</v>
      </c>
      <c r="G938" s="7">
        <f ca="1">$C$11/(1+D938)^1
 +$D$11/(1+D938)^2
 +$E$11/(1+D938)^3
 +$F$11/(1+D938)^4
 +$G$11/(1+D938)^5
 +$H$11/(1+D938)^6
 +$I$11/(1+D938)^7
 + ( $I$11*(1+F938)/(D938-F938) )/(1+D938)^7</f>
        <v>317.32295806653286</v>
      </c>
      <c r="H938" s="7">
        <f ca="1">(G938-$C$8)/$C$9</f>
        <v>1.7291551224928361</v>
      </c>
    </row>
    <row r="939" spans="3:8" x14ac:dyDescent="0.35">
      <c r="C939" s="8">
        <f t="shared" ca="1" si="56"/>
        <v>0.19756231033721905</v>
      </c>
      <c r="D939" s="7">
        <f t="shared" ca="1" si="57"/>
        <v>8.272796505638351E-2</v>
      </c>
      <c r="E939" s="7">
        <f t="shared" ca="1" si="58"/>
        <v>0.74177903768579412</v>
      </c>
      <c r="F939" s="7">
        <f t="shared" ca="1" si="59"/>
        <v>2.2813610610129646E-2</v>
      </c>
      <c r="G939" s="7">
        <f ca="1">$C$11/(1+D939)^1
 +$D$11/(1+D939)^2
 +$E$11/(1+D939)^3
 +$F$11/(1+D939)^4
 +$G$11/(1+D939)^5
 +$H$11/(1+D939)^6
 +$I$11/(1+D939)^7
 + ( $I$11*(1+F939)/(D939-F939) )/(1+D939)^7</f>
        <v>441.73726829494689</v>
      </c>
      <c r="H939" s="7">
        <f ca="1">(G939-$C$8)/$C$9</f>
        <v>2.4325376995417622</v>
      </c>
    </row>
    <row r="940" spans="3:8" x14ac:dyDescent="0.35">
      <c r="C940" s="8">
        <f t="shared" ca="1" si="56"/>
        <v>0.43599776001040969</v>
      </c>
      <c r="D940" s="7">
        <f t="shared" ca="1" si="57"/>
        <v>8.8908150708319839E-2</v>
      </c>
      <c r="E940" s="7">
        <f t="shared" ca="1" si="58"/>
        <v>3.5411337776404372E-2</v>
      </c>
      <c r="F940" s="7">
        <f t="shared" ca="1" si="59"/>
        <v>1.2661253004748116E-2</v>
      </c>
      <c r="G940" s="7">
        <f ca="1">$C$11/(1+D940)^1
 +$D$11/(1+D940)^2
 +$E$11/(1+D940)^3
 +$F$11/(1+D940)^4
 +$G$11/(1+D940)^5
 +$H$11/(1+D940)^6
 +$I$11/(1+D940)^7
 + ( $I$11*(1+F940)/(D940-F940) )/(1+D940)^7</f>
        <v>360.8579741365063</v>
      </c>
      <c r="H940" s="7">
        <f ca="1">(G940-$C$8)/$C$9</f>
        <v>1.9752825313009175</v>
      </c>
    </row>
    <row r="941" spans="3:8" x14ac:dyDescent="0.35">
      <c r="C941" s="8">
        <f t="shared" ca="1" si="56"/>
        <v>7.9753144408973853E-3</v>
      </c>
      <c r="D941" s="7">
        <f t="shared" ca="1" si="57"/>
        <v>7.2557295024344257E-2</v>
      </c>
      <c r="E941" s="7">
        <f t="shared" ca="1" si="58"/>
        <v>0.3325728039189797</v>
      </c>
      <c r="F941" s="7">
        <f t="shared" ca="1" si="59"/>
        <v>1.8155645945220768E-2</v>
      </c>
      <c r="G941" s="7">
        <f ca="1">$C$11/(1+D941)^1
 +$D$11/(1+D941)^2
 +$E$11/(1+D941)^3
 +$F$11/(1+D941)^4
 +$G$11/(1+D941)^5
 +$H$11/(1+D941)^6
 +$I$11/(1+D941)^7
 + ( $I$11*(1+F941)/(D941-F941) )/(1+D941)^7</f>
        <v>499.67272827933937</v>
      </c>
      <c r="H941" s="7">
        <f ca="1">(G941-$C$8)/$C$9</f>
        <v>2.7600787442296437</v>
      </c>
    </row>
    <row r="942" spans="3:8" x14ac:dyDescent="0.35">
      <c r="C942" s="8">
        <f t="shared" ca="1" si="56"/>
        <v>0.62563431097611211</v>
      </c>
      <c r="D942" s="7">
        <f t="shared" ca="1" si="57"/>
        <v>9.2911839261095641E-2</v>
      </c>
      <c r="E942" s="7">
        <f t="shared" ca="1" si="58"/>
        <v>0.39864985556519339</v>
      </c>
      <c r="F942" s="7">
        <f t="shared" ca="1" si="59"/>
        <v>1.8929164076946885E-2</v>
      </c>
      <c r="G942" s="7">
        <f ca="1">$C$11/(1+D942)^1
 +$D$11/(1+D942)^2
 +$E$11/(1+D942)^3
 +$F$11/(1+D942)^4
 +$G$11/(1+D942)^5
 +$H$11/(1+D942)^6
 +$I$11/(1+D942)^7
 + ( $I$11*(1+F942)/(D942-F942) )/(1+D942)^7</f>
        <v>361.46600594889503</v>
      </c>
      <c r="H942" s="7">
        <f ca="1">(G942-$C$8)/$C$9</f>
        <v>1.9787200698151006</v>
      </c>
    </row>
    <row r="943" spans="3:8" x14ac:dyDescent="0.35">
      <c r="C943" s="8">
        <f t="shared" ca="1" si="56"/>
        <v>0.99266126178146696</v>
      </c>
      <c r="D943" s="7">
        <f t="shared" ca="1" si="57"/>
        <v>0.10760746665426461</v>
      </c>
      <c r="E943" s="7">
        <f t="shared" ca="1" si="58"/>
        <v>0.96690904248490428</v>
      </c>
      <c r="F943" s="7">
        <f t="shared" ca="1" si="59"/>
        <v>2.7427415404108323E-2</v>
      </c>
      <c r="G943" s="7">
        <f ca="1">$C$11/(1+D943)^1
 +$D$11/(1+D943)^2
 +$E$11/(1+D943)^3
 +$F$11/(1+D943)^4
 +$G$11/(1+D943)^5
 +$H$11/(1+D943)^6
 +$I$11/(1+D943)^7
 + ( $I$11*(1+F943)/(D943-F943) )/(1+D943)^7</f>
        <v>319.36844222594073</v>
      </c>
      <c r="H943" s="7">
        <f ca="1">(G943-$C$8)/$C$9</f>
        <v>1.7407193703411392</v>
      </c>
    </row>
    <row r="944" spans="3:8" x14ac:dyDescent="0.35">
      <c r="C944" s="8">
        <f t="shared" ca="1" si="56"/>
        <v>0.16166817531775357</v>
      </c>
      <c r="D944" s="7">
        <f t="shared" ca="1" si="57"/>
        <v>8.151381360629735E-2</v>
      </c>
      <c r="E944" s="7">
        <f t="shared" ca="1" si="58"/>
        <v>0.63568105960316446</v>
      </c>
      <c r="F944" s="7">
        <f t="shared" ca="1" si="59"/>
        <v>2.1463971176280676E-2</v>
      </c>
      <c r="G944" s="7">
        <f ca="1">$C$11/(1+D944)^1
 +$D$11/(1+D944)^2
 +$E$11/(1+D944)^3
 +$F$11/(1+D944)^4
 +$G$11/(1+D944)^5
 +$H$11/(1+D944)^6
 +$I$11/(1+D944)^7
 + ( $I$11*(1+F944)/(D944-F944) )/(1+D944)^7</f>
        <v>443.65119003897348</v>
      </c>
      <c r="H944" s="7">
        <f ca="1">(G944-$C$8)/$C$9</f>
        <v>2.4433581526400578</v>
      </c>
    </row>
    <row r="945" spans="3:8" x14ac:dyDescent="0.35">
      <c r="C945" s="8">
        <f t="shared" ca="1" si="56"/>
        <v>0.24979712101529428</v>
      </c>
      <c r="D945" s="7">
        <f t="shared" ca="1" si="57"/>
        <v>8.4312010314157179E-2</v>
      </c>
      <c r="E945" s="7">
        <f t="shared" ca="1" si="58"/>
        <v>0.59225308508146046</v>
      </c>
      <c r="F945" s="7">
        <f t="shared" ca="1" si="59"/>
        <v>2.0969530301047021E-2</v>
      </c>
      <c r="G945" s="7">
        <f ca="1">$C$11/(1+D945)^1
 +$D$11/(1+D945)^2
 +$E$11/(1+D945)^3
 +$F$11/(1+D945)^4
 +$G$11/(1+D945)^5
 +$H$11/(1+D945)^6
 +$I$11/(1+D945)^7
 + ( $I$11*(1+F945)/(D945-F945) )/(1+D945)^7</f>
        <v>420.76660975463028</v>
      </c>
      <c r="H945" s="7">
        <f ca="1">(G945-$C$8)/$C$9</f>
        <v>2.3139790239406959</v>
      </c>
    </row>
    <row r="946" spans="3:8" x14ac:dyDescent="0.35">
      <c r="C946" s="8">
        <f t="shared" ca="1" si="56"/>
        <v>0.3967936719058951</v>
      </c>
      <c r="D946" s="7">
        <f t="shared" ca="1" si="57"/>
        <v>8.8038037891157508E-2</v>
      </c>
      <c r="E946" s="7">
        <f t="shared" ca="1" si="58"/>
        <v>0.62456089773328682</v>
      </c>
      <c r="F946" s="7">
        <f t="shared" ca="1" si="59"/>
        <v>2.1334677129307724E-2</v>
      </c>
      <c r="G946" s="7">
        <f ca="1">$C$11/(1+D946)^1
 +$D$11/(1+D946)^2
 +$E$11/(1+D946)^3
 +$F$11/(1+D946)^4
 +$G$11/(1+D946)^5
 +$H$11/(1+D946)^6
 +$I$11/(1+D946)^7
 + ( $I$11*(1+F946)/(D946-F946) )/(1+D946)^7</f>
        <v>398.04705505417712</v>
      </c>
      <c r="H946" s="7">
        <f ca="1">(G946-$C$8)/$C$9</f>
        <v>2.1855328757020414</v>
      </c>
    </row>
    <row r="947" spans="3:8" x14ac:dyDescent="0.35">
      <c r="C947" s="8">
        <f t="shared" ca="1" si="56"/>
        <v>0.84949351796875228</v>
      </c>
      <c r="D947" s="7">
        <f t="shared" ca="1" si="57"/>
        <v>9.9165100093476954E-2</v>
      </c>
      <c r="E947" s="7">
        <f t="shared" ca="1" si="58"/>
        <v>0.73114677094963243</v>
      </c>
      <c r="F947" s="7">
        <f t="shared" ca="1" si="59"/>
        <v>2.2667152953315232E-2</v>
      </c>
      <c r="G947" s="7">
        <f ca="1">$C$11/(1+D947)^1
 +$D$11/(1+D947)^2
 +$E$11/(1+D947)^3
 +$F$11/(1+D947)^4
 +$G$11/(1+D947)^5
 +$H$11/(1+D947)^6
 +$I$11/(1+D947)^7
 + ( $I$11*(1+F947)/(D947-F947) )/(1+D947)^7</f>
        <v>342.93445735611635</v>
      </c>
      <c r="H947" s="7">
        <f ca="1">(G947-$C$8)/$C$9</f>
        <v>1.8739510253059495</v>
      </c>
    </row>
    <row r="948" spans="3:8" x14ac:dyDescent="0.35">
      <c r="C948" s="8">
        <f t="shared" ca="1" si="56"/>
        <v>0.84057209461624283</v>
      </c>
      <c r="D948" s="7">
        <f t="shared" ca="1" si="57"/>
        <v>9.8848598016422748E-2</v>
      </c>
      <c r="E948" s="7">
        <f t="shared" ca="1" si="58"/>
        <v>0.32866923000474979</v>
      </c>
      <c r="F948" s="7">
        <f t="shared" ca="1" si="59"/>
        <v>1.8107641210669718E-2</v>
      </c>
      <c r="G948" s="7">
        <f ca="1">$C$11/(1+D948)^1
 +$D$11/(1+D948)^2
 +$E$11/(1+D948)^3
 +$F$11/(1+D948)^4
 +$G$11/(1+D948)^5
 +$H$11/(1+D948)^6
 +$I$11/(1+D948)^7
 + ( $I$11*(1+F948)/(D948-F948) )/(1+D948)^7</f>
        <v>331.13538407434783</v>
      </c>
      <c r="H948" s="7">
        <f ca="1">(G948-$C$8)/$C$9</f>
        <v>1.8072443694841012</v>
      </c>
    </row>
    <row r="949" spans="3:8" x14ac:dyDescent="0.35">
      <c r="C949" s="8">
        <f t="shared" ca="1" si="56"/>
        <v>6.812583583486842E-2</v>
      </c>
      <c r="D949" s="7">
        <f t="shared" ca="1" si="57"/>
        <v>7.7474167872385008E-2</v>
      </c>
      <c r="E949" s="7">
        <f t="shared" ca="1" si="58"/>
        <v>1.7454756027652896E-2</v>
      </c>
      <c r="F949" s="7">
        <f t="shared" ca="1" si="59"/>
        <v>1.1868408736205914E-2</v>
      </c>
      <c r="G949" s="7">
        <f ca="1">$C$11/(1+D949)^1
 +$D$11/(1+D949)^2
 +$E$11/(1+D949)^3
 +$F$11/(1+D949)^4
 +$G$11/(1+D949)^5
 +$H$11/(1+D949)^6
 +$I$11/(1+D949)^7
 + ( $I$11*(1+F949)/(D949-F949) )/(1+D949)^7</f>
        <v>424.18266477077054</v>
      </c>
      <c r="H949" s="7">
        <f ca="1">(G949-$C$8)/$C$9</f>
        <v>2.3332918632449715</v>
      </c>
    </row>
    <row r="950" spans="3:8" x14ac:dyDescent="0.35">
      <c r="C950" s="8">
        <f t="shared" ca="1" si="56"/>
        <v>0.28294371068421054</v>
      </c>
      <c r="D950" s="7">
        <f t="shared" ca="1" si="57"/>
        <v>8.5232000615843365E-2</v>
      </c>
      <c r="E950" s="7">
        <f t="shared" ca="1" si="58"/>
        <v>0.16987437018766804</v>
      </c>
      <c r="F950" s="7">
        <f t="shared" ca="1" si="59"/>
        <v>1.5828796963142017E-2</v>
      </c>
      <c r="G950" s="7">
        <f ca="1">$C$11/(1+D950)^1
 +$D$11/(1+D950)^2
 +$E$11/(1+D950)^3
 +$F$11/(1+D950)^4
 +$G$11/(1+D950)^5
 +$H$11/(1+D950)^6
 +$I$11/(1+D950)^7
 + ( $I$11*(1+F950)/(D950-F950) )/(1+D950)^7</f>
        <v>392.24913963763083</v>
      </c>
      <c r="H950" s="7">
        <f ca="1">(G950-$C$8)/$C$9</f>
        <v>2.1527540685076367</v>
      </c>
    </row>
    <row r="951" spans="3:8" x14ac:dyDescent="0.35">
      <c r="C951" s="8">
        <f t="shared" ca="1" si="56"/>
        <v>0.7022643594535618</v>
      </c>
      <c r="D951" s="7">
        <f t="shared" ca="1" si="57"/>
        <v>9.4760780872163372E-2</v>
      </c>
      <c r="E951" s="7">
        <f t="shared" ca="1" si="58"/>
        <v>0.47099888905222642</v>
      </c>
      <c r="F951" s="7">
        <f t="shared" ca="1" si="59"/>
        <v>1.9705657000453153E-2</v>
      </c>
      <c r="G951" s="7">
        <f ca="1">$C$11/(1+D951)^1
 +$D$11/(1+D951)^2
 +$E$11/(1+D951)^3
 +$F$11/(1+D951)^4
 +$G$11/(1+D951)^5
 +$H$11/(1+D951)^6
 +$I$11/(1+D951)^7
 + ( $I$11*(1+F951)/(D951-F951) )/(1+D951)^7</f>
        <v>354.75613054048199</v>
      </c>
      <c r="H951" s="7">
        <f ca="1">(G951-$C$8)/$C$9</f>
        <v>1.9407854508168361</v>
      </c>
    </row>
    <row r="952" spans="3:8" x14ac:dyDescent="0.35">
      <c r="C952" s="8">
        <f t="shared" ca="1" si="56"/>
        <v>0.56886420904978108</v>
      </c>
      <c r="D952" s="7">
        <f t="shared" ca="1" si="57"/>
        <v>9.1661899854642223E-2</v>
      </c>
      <c r="E952" s="7">
        <f t="shared" ca="1" si="58"/>
        <v>0.78651745407376017</v>
      </c>
      <c r="F952" s="7">
        <f t="shared" ca="1" si="59"/>
        <v>2.3465743409901325E-2</v>
      </c>
      <c r="G952" s="7">
        <f ca="1">$C$11/(1+D952)^1
 +$D$11/(1+D952)^2
 +$E$11/(1+D952)^3
 +$F$11/(1+D952)^4
 +$G$11/(1+D952)^5
 +$H$11/(1+D952)^6
 +$I$11/(1+D952)^7
 + ( $I$11*(1+F952)/(D952-F952) )/(1+D952)^7</f>
        <v>385.00904100772777</v>
      </c>
      <c r="H952" s="7">
        <f ca="1">(G952-$C$8)/$C$9</f>
        <v>2.1118218057876965</v>
      </c>
    </row>
    <row r="953" spans="3:8" x14ac:dyDescent="0.35">
      <c r="C953" s="8">
        <f t="shared" ca="1" si="56"/>
        <v>0.75613015246667548</v>
      </c>
      <c r="D953" s="7">
        <f t="shared" ca="1" si="57"/>
        <v>9.6208028383295119E-2</v>
      </c>
      <c r="E953" s="7">
        <f t="shared" ca="1" si="58"/>
        <v>4.4178138812739465E-2</v>
      </c>
      <c r="F953" s="7">
        <f t="shared" ca="1" si="59"/>
        <v>1.2972478387229737E-2</v>
      </c>
      <c r="G953" s="7">
        <f ca="1">$C$11/(1+D953)^1
 +$D$11/(1+D953)^2
 +$E$11/(1+D953)^3
 +$F$11/(1+D953)^4
 +$G$11/(1+D953)^5
 +$H$11/(1+D953)^6
 +$I$11/(1+D953)^7
 + ( $I$11*(1+F953)/(D953-F953) )/(1+D953)^7</f>
        <v>328.51897399331926</v>
      </c>
      <c r="H953" s="7">
        <f ca="1">(G953-$C$8)/$C$9</f>
        <v>1.7924523631463096</v>
      </c>
    </row>
    <row r="954" spans="3:8" x14ac:dyDescent="0.35">
      <c r="C954" s="8">
        <f t="shared" ca="1" si="56"/>
        <v>0.50962758592608859</v>
      </c>
      <c r="D954" s="7">
        <f t="shared" ca="1" si="57"/>
        <v>9.044247099690722E-2</v>
      </c>
      <c r="E954" s="7">
        <f t="shared" ca="1" si="58"/>
        <v>3.7798403166981909E-2</v>
      </c>
      <c r="F954" s="7">
        <f t="shared" ca="1" si="59"/>
        <v>1.2749487340104766E-2</v>
      </c>
      <c r="G954" s="7">
        <f ca="1">$C$11/(1+D954)^1
 +$D$11/(1+D954)^2
 +$E$11/(1+D954)^3
 +$F$11/(1+D954)^4
 +$G$11/(1+D954)^5
 +$H$11/(1+D954)^6
 +$I$11/(1+D954)^7
 + ( $I$11*(1+F954)/(D954-F954) )/(1+D954)^7</f>
        <v>353.64235667596779</v>
      </c>
      <c r="H954" s="7">
        <f ca="1">(G954-$C$8)/$C$9</f>
        <v>1.9344886741065568</v>
      </c>
    </row>
    <row r="955" spans="3:8" x14ac:dyDescent="0.35">
      <c r="C955" s="8">
        <f t="shared" ca="1" si="56"/>
        <v>0.29944479228842447</v>
      </c>
      <c r="D955" s="7">
        <f t="shared" ca="1" si="57"/>
        <v>8.5669866932316568E-2</v>
      </c>
      <c r="E955" s="7">
        <f t="shared" ca="1" si="58"/>
        <v>0.92990376000412012</v>
      </c>
      <c r="F955" s="7">
        <f t="shared" ca="1" si="59"/>
        <v>2.6255771374611856E-2</v>
      </c>
      <c r="G955" s="7">
        <f ca="1">$C$11/(1+D955)^1
 +$D$11/(1+D955)^2
 +$E$11/(1+D955)^3
 +$F$11/(1+D955)^4
 +$G$11/(1+D955)^5
 +$H$11/(1+D955)^6
 +$I$11/(1+D955)^7
 + ( $I$11*(1+F955)/(D955-F955) )/(1+D955)^7</f>
        <v>438.09076080195848</v>
      </c>
      <c r="H955" s="7">
        <f ca="1">(G955-$C$8)/$C$9</f>
        <v>2.4119219855379832</v>
      </c>
    </row>
    <row r="956" spans="3:8" x14ac:dyDescent="0.35">
      <c r="C956" s="8">
        <f t="shared" ca="1" si="56"/>
        <v>4.4036058720515303E-2</v>
      </c>
      <c r="D956" s="7">
        <f t="shared" ca="1" si="57"/>
        <v>7.6009123742345683E-2</v>
      </c>
      <c r="E956" s="7">
        <f t="shared" ca="1" si="58"/>
        <v>0.98617704867498512</v>
      </c>
      <c r="F956" s="7">
        <f t="shared" ca="1" si="59"/>
        <v>2.8337294293928422E-2</v>
      </c>
      <c r="G956" s="7">
        <f ca="1">$C$11/(1+D956)^1
 +$D$11/(1+D956)^2
 +$E$11/(1+D956)^3
 +$F$11/(1+D956)^4
 +$G$11/(1+D956)^5
 +$H$11/(1+D956)^6
 +$I$11/(1+D956)^7
 + ( $I$11*(1+F956)/(D956-F956) )/(1+D956)^7</f>
        <v>543.82465082847239</v>
      </c>
      <c r="H956" s="7">
        <f ca="1">(G956-$C$8)/$C$9</f>
        <v>3.0096938649280438</v>
      </c>
    </row>
    <row r="957" spans="3:8" x14ac:dyDescent="0.35">
      <c r="C957" s="8">
        <f t="shared" ca="1" si="56"/>
        <v>2.0148342444450407E-3</v>
      </c>
      <c r="D957" s="7">
        <f t="shared" ca="1" si="57"/>
        <v>7.1285365349013641E-2</v>
      </c>
      <c r="E957" s="7">
        <f t="shared" ca="1" si="58"/>
        <v>0.47973366136778539</v>
      </c>
      <c r="F957" s="7">
        <f t="shared" ca="1" si="59"/>
        <v>1.9795240286667657E-2</v>
      </c>
      <c r="G957" s="7">
        <f ca="1">$C$11/(1+D957)^1
 +$D$11/(1+D957)^2
 +$E$11/(1+D957)^3
 +$F$11/(1+D957)^4
 +$G$11/(1+D957)^5
 +$H$11/(1+D957)^6
 +$I$11/(1+D957)^7
 + ( $I$11*(1+F957)/(D957-F957) )/(1+D957)^7</f>
        <v>524.58339099080467</v>
      </c>
      <c r="H957" s="7">
        <f ca="1">(G957-$C$8)/$C$9</f>
        <v>2.9009124321054087</v>
      </c>
    </row>
    <row r="958" spans="3:8" x14ac:dyDescent="0.35">
      <c r="C958" s="8">
        <f t="shared" ca="1" si="56"/>
        <v>0.82348218738737422</v>
      </c>
      <c r="D958" s="7">
        <f t="shared" ca="1" si="57"/>
        <v>9.8266121960841418E-2</v>
      </c>
      <c r="E958" s="7">
        <f t="shared" ca="1" si="58"/>
        <v>0.48557584257931408</v>
      </c>
      <c r="F958" s="7">
        <f t="shared" ca="1" si="59"/>
        <v>1.9854702862890532E-2</v>
      </c>
      <c r="G958" s="7">
        <f ca="1">$C$11/(1+D958)^1
 +$D$11/(1+D958)^2
 +$E$11/(1+D958)^3
 +$F$11/(1+D958)^4
 +$G$11/(1+D958)^5
 +$H$11/(1+D958)^6
 +$I$11/(1+D958)^7
 + ( $I$11*(1+F958)/(D958-F958) )/(1+D958)^7</f>
        <v>338.65663982633595</v>
      </c>
      <c r="H958" s="7">
        <f ca="1">(G958-$C$8)/$C$9</f>
        <v>1.8497661681724102</v>
      </c>
    </row>
    <row r="959" spans="3:8" x14ac:dyDescent="0.35">
      <c r="C959" s="8">
        <f t="shared" ca="1" si="56"/>
        <v>0.2676475810507597</v>
      </c>
      <c r="D959" s="7">
        <f t="shared" ca="1" si="57"/>
        <v>8.4814554210695073E-2</v>
      </c>
      <c r="E959" s="7">
        <f t="shared" ca="1" si="58"/>
        <v>0.87089079884938847</v>
      </c>
      <c r="F959" s="7">
        <f t="shared" ca="1" si="59"/>
        <v>2.4918480519556939E-2</v>
      </c>
      <c r="G959" s="7">
        <f ca="1">$C$11/(1+D959)^1
 +$D$11/(1+D959)^2
 +$E$11/(1+D959)^3
 +$F$11/(1+D959)^4
 +$G$11/(1+D959)^5
 +$H$11/(1+D959)^6
 +$I$11/(1+D959)^7
 + ( $I$11*(1+F959)/(D959-F959) )/(1+D959)^7</f>
        <v>437.31720521668569</v>
      </c>
      <c r="H959" s="7">
        <f ca="1">(G959-$C$8)/$C$9</f>
        <v>2.4075486500264907</v>
      </c>
    </row>
    <row r="960" spans="3:8" x14ac:dyDescent="0.35">
      <c r="C960" s="8">
        <f t="shared" ca="1" si="56"/>
        <v>0.49192913783160874</v>
      </c>
      <c r="D960" s="7">
        <f t="shared" ca="1" si="57"/>
        <v>9.0084369370779835E-2</v>
      </c>
      <c r="E960" s="7">
        <f t="shared" ca="1" si="58"/>
        <v>0.45581124293859543</v>
      </c>
      <c r="F960" s="7">
        <f t="shared" ca="1" si="59"/>
        <v>1.9547892363643356E-2</v>
      </c>
      <c r="G960" s="7">
        <f ca="1">$C$11/(1+D960)^1
 +$D$11/(1+D960)^2
 +$E$11/(1+D960)^3
 +$F$11/(1+D960)^4
 +$G$11/(1+D960)^5
 +$H$11/(1+D960)^6
 +$I$11/(1+D960)^7
 + ( $I$11*(1+F960)/(D960-F960) )/(1+D960)^7</f>
        <v>378.80123101535935</v>
      </c>
      <c r="H960" s="7">
        <f ca="1">(G960-$C$8)/$C$9</f>
        <v>2.0767256389380333</v>
      </c>
    </row>
    <row r="961" spans="3:8" x14ac:dyDescent="0.35">
      <c r="C961" s="8">
        <f t="shared" ca="1" si="56"/>
        <v>0.81806418755440591</v>
      </c>
      <c r="D961" s="7">
        <f t="shared" ca="1" si="57"/>
        <v>9.8087404409300069E-2</v>
      </c>
      <c r="E961" s="7">
        <f t="shared" ca="1" si="58"/>
        <v>0.441163648920048</v>
      </c>
      <c r="F961" s="7">
        <f t="shared" ca="1" si="59"/>
        <v>1.9393227868204285E-2</v>
      </c>
      <c r="G961" s="7">
        <f ca="1">$C$11/(1+D961)^1
 +$D$11/(1+D961)^2
 +$E$11/(1+D961)^3
 +$F$11/(1+D961)^4
 +$G$11/(1+D961)^5
 +$H$11/(1+D961)^6
 +$I$11/(1+D961)^7
 + ( $I$11*(1+F961)/(D961-F961) )/(1+D961)^7</f>
        <v>338.11705503799067</v>
      </c>
      <c r="H961" s="7">
        <f ca="1">(G961-$C$8)/$C$9</f>
        <v>1.8467155983604175</v>
      </c>
    </row>
    <row r="962" spans="3:8" x14ac:dyDescent="0.35">
      <c r="C962" s="8">
        <f t="shared" ca="1" si="56"/>
        <v>0.2907841089387283</v>
      </c>
      <c r="D962" s="7">
        <f t="shared" ca="1" si="57"/>
        <v>8.5441598664962037E-2</v>
      </c>
      <c r="E962" s="7">
        <f t="shared" ca="1" si="58"/>
        <v>0.57494590979708537</v>
      </c>
      <c r="F962" s="7">
        <f t="shared" ca="1" si="59"/>
        <v>2.0779868870749021E-2</v>
      </c>
      <c r="G962" s="7">
        <f ca="1">$C$11/(1+D962)^1
 +$D$11/(1+D962)^2
 +$E$11/(1+D962)^3
 +$F$11/(1+D962)^4
 +$G$11/(1+D962)^5
 +$H$11/(1+D962)^6
 +$I$11/(1+D962)^7
 + ( $I$11*(1+F962)/(D962-F962) )/(1+D962)^7</f>
        <v>412.23267135907497</v>
      </c>
      <c r="H962" s="7">
        <f ca="1">(G962-$C$8)/$C$9</f>
        <v>2.2657319728577283</v>
      </c>
    </row>
    <row r="963" spans="3:8" x14ac:dyDescent="0.35">
      <c r="C963" s="8">
        <f t="shared" ca="1" si="56"/>
        <v>0.53971826949056079</v>
      </c>
      <c r="D963" s="7">
        <f t="shared" ca="1" si="57"/>
        <v>9.1052183508452414E-2</v>
      </c>
      <c r="E963" s="7">
        <f t="shared" ca="1" si="58"/>
        <v>0.73137550335361035</v>
      </c>
      <c r="F963" s="7">
        <f t="shared" ca="1" si="59"/>
        <v>2.2670272902128079E-2</v>
      </c>
      <c r="G963" s="7">
        <f ca="1">$C$11/(1+D963)^1
 +$D$11/(1+D963)^2
 +$E$11/(1+D963)^3
 +$F$11/(1+D963)^4
 +$G$11/(1+D963)^5
 +$H$11/(1+D963)^6
 +$I$11/(1+D963)^7
 + ( $I$11*(1+F963)/(D963-F963) )/(1+D963)^7</f>
        <v>385.39716517744591</v>
      </c>
      <c r="H963" s="7">
        <f ca="1">(G963-$C$8)/$C$9</f>
        <v>2.1140160853541716</v>
      </c>
    </row>
    <row r="964" spans="3:8" x14ac:dyDescent="0.35">
      <c r="C964" s="8">
        <f t="shared" ca="1" si="56"/>
        <v>0.56345157856168782</v>
      </c>
      <c r="D964" s="7">
        <f t="shared" ca="1" si="57"/>
        <v>9.1547147409631116E-2</v>
      </c>
      <c r="E964" s="7">
        <f t="shared" ca="1" si="58"/>
        <v>0.19585163142584505</v>
      </c>
      <c r="F964" s="7">
        <f t="shared" ca="1" si="59"/>
        <v>1.6258620158243271E-2</v>
      </c>
      <c r="G964" s="7">
        <f ca="1">$C$11/(1+D964)^1
 +$D$11/(1+D964)^2
 +$E$11/(1+D964)^3
 +$F$11/(1+D964)^4
 +$G$11/(1+D964)^5
 +$H$11/(1+D964)^6
 +$I$11/(1+D964)^7
 + ( $I$11*(1+F964)/(D964-F964) )/(1+D964)^7</f>
        <v>359.45597586377039</v>
      </c>
      <c r="H964" s="7">
        <f ca="1">(G964-$C$8)/$C$9</f>
        <v>1.967356263363695</v>
      </c>
    </row>
    <row r="965" spans="3:8" x14ac:dyDescent="0.35">
      <c r="C965" s="8">
        <f t="shared" ca="1" si="56"/>
        <v>0.70261761786275478</v>
      </c>
      <c r="D965" s="7">
        <f t="shared" ca="1" si="57"/>
        <v>9.4769824095991162E-2</v>
      </c>
      <c r="E965" s="7">
        <f t="shared" ca="1" si="58"/>
        <v>0.85804599573344231</v>
      </c>
      <c r="F965" s="7">
        <f t="shared" ca="1" si="59"/>
        <v>2.4671698126671918E-2</v>
      </c>
      <c r="G965" s="7">
        <f ca="1">$C$11/(1+D965)^1
 +$D$11/(1+D965)^2
 +$E$11/(1+D965)^3
 +$F$11/(1+D965)^4
 +$G$11/(1+D965)^5
 +$H$11/(1+D965)^6
 +$I$11/(1+D965)^7
 + ( $I$11*(1+F965)/(D965-F965) )/(1+D965)^7</f>
        <v>372.00699462387263</v>
      </c>
      <c r="H965" s="7">
        <f ca="1">(G965-$C$8)/$C$9</f>
        <v>2.0383140808676652</v>
      </c>
    </row>
    <row r="966" spans="3:8" x14ac:dyDescent="0.35">
      <c r="C966" s="8">
        <f t="shared" ca="1" si="56"/>
        <v>0.34253171519721792</v>
      </c>
      <c r="D966" s="7">
        <f t="shared" ca="1" si="57"/>
        <v>8.6759355788983028E-2</v>
      </c>
      <c r="E966" s="7">
        <f t="shared" ca="1" si="58"/>
        <v>2.7571352311338448E-2</v>
      </c>
      <c r="F966" s="7">
        <f t="shared" ca="1" si="59"/>
        <v>1.234824838172364E-2</v>
      </c>
      <c r="G966" s="7">
        <f ca="1">$C$11/(1+D966)^1
 +$D$11/(1+D966)^2
 +$E$11/(1+D966)^3
 +$F$11/(1+D966)^4
 +$G$11/(1+D966)^5
 +$H$11/(1+D966)^6
 +$I$11/(1+D966)^7
 + ( $I$11*(1+F966)/(D966-F966) )/(1+D966)^7</f>
        <v>370.78598728451817</v>
      </c>
      <c r="H966" s="7">
        <f ca="1">(G966-$C$8)/$C$9</f>
        <v>2.0314110542996278</v>
      </c>
    </row>
    <row r="967" spans="3:8" x14ac:dyDescent="0.35">
      <c r="C967" s="8">
        <f t="shared" ca="1" si="56"/>
        <v>0.81148521818834451</v>
      </c>
      <c r="D967" s="7">
        <f t="shared" ca="1" si="57"/>
        <v>9.7873931807337916E-2</v>
      </c>
      <c r="E967" s="7">
        <f t="shared" ca="1" si="58"/>
        <v>0.86033587205277018</v>
      </c>
      <c r="F967" s="7">
        <f t="shared" ca="1" si="59"/>
        <v>2.4714848574596375E-2</v>
      </c>
      <c r="G967" s="7">
        <f ca="1">$C$11/(1+D967)^1
 +$D$11/(1+D967)^2
 +$E$11/(1+D967)^3
 +$F$11/(1+D967)^4
 +$G$11/(1+D967)^5
 +$H$11/(1+D967)^6
 +$I$11/(1+D967)^7
 + ( $I$11*(1+F967)/(D967-F967) )/(1+D967)^7</f>
        <v>355.77902177621888</v>
      </c>
      <c r="H967" s="7">
        <f ca="1">(G967-$C$8)/$C$9</f>
        <v>1.9465684180021419</v>
      </c>
    </row>
    <row r="968" spans="3:8" x14ac:dyDescent="0.35">
      <c r="C968" s="8">
        <f t="shared" ca="1" si="56"/>
        <v>1.1840120006582078E-2</v>
      </c>
      <c r="D968" s="7">
        <f t="shared" ca="1" si="57"/>
        <v>7.3115910525897262E-2</v>
      </c>
      <c r="E968" s="7">
        <f t="shared" ca="1" si="58"/>
        <v>0.63746989490952599</v>
      </c>
      <c r="F968" s="7">
        <f t="shared" ca="1" si="59"/>
        <v>2.148495325802055E-2</v>
      </c>
      <c r="G968" s="7">
        <f ca="1">$C$11/(1+D968)^1
 +$D$11/(1+D968)^2
 +$E$11/(1+D968)^3
 +$F$11/(1+D968)^4
 +$G$11/(1+D968)^5
 +$H$11/(1+D968)^6
 +$I$11/(1+D968)^7
 + ( $I$11*(1+F968)/(D968-F968) )/(1+D968)^7</f>
        <v>518.6475312069033</v>
      </c>
      <c r="H968" s="7">
        <f ca="1">(G968-$C$8)/$C$9</f>
        <v>2.8673537494736729</v>
      </c>
    </row>
    <row r="969" spans="3:8" x14ac:dyDescent="0.35">
      <c r="C969" s="8">
        <f t="shared" ca="1" si="56"/>
        <v>0.20979931323966761</v>
      </c>
      <c r="D969" s="7">
        <f t="shared" ca="1" si="57"/>
        <v>8.3116227996513609E-2</v>
      </c>
      <c r="E969" s="7">
        <f t="shared" ca="1" si="58"/>
        <v>0.97448281957117222</v>
      </c>
      <c r="F969" s="7">
        <f t="shared" ca="1" si="59"/>
        <v>2.774092140779353E-2</v>
      </c>
      <c r="G969" s="7">
        <f ca="1">$C$11/(1+D969)^1
 +$D$11/(1+D969)^2
 +$E$11/(1+D969)^3
 +$F$11/(1+D969)^4
 +$G$11/(1+D969)^5
 +$H$11/(1+D969)^6
 +$I$11/(1+D969)^7
 + ( $I$11*(1+F969)/(D969-F969) )/(1+D969)^7</f>
        <v>467.62619523578098</v>
      </c>
      <c r="H969" s="7">
        <f ca="1">(G969-$C$8)/$C$9</f>
        <v>2.5789020535718055</v>
      </c>
    </row>
    <row r="970" spans="3:8" x14ac:dyDescent="0.35">
      <c r="C970" s="8">
        <f t="shared" ca="1" si="56"/>
        <v>0.49432009400227861</v>
      </c>
      <c r="D970" s="7">
        <f t="shared" ca="1" si="57"/>
        <v>9.0133118910935492E-2</v>
      </c>
      <c r="E970" s="7">
        <f t="shared" ca="1" si="58"/>
        <v>0.99641798523263059</v>
      </c>
      <c r="F970" s="7">
        <f t="shared" ca="1" si="59"/>
        <v>2.9153594096503407E-2</v>
      </c>
      <c r="G970" s="7">
        <f ca="1">$C$11/(1+D970)^1
 +$D$11/(1+D970)^2
 +$E$11/(1+D970)^3
 +$F$11/(1+D970)^4
 +$G$11/(1+D970)^5
 +$H$11/(1+D970)^6
 +$I$11/(1+D970)^7
 + ( $I$11*(1+F970)/(D970-F970) )/(1+D970)^7</f>
        <v>420.48040016548919</v>
      </c>
      <c r="H970" s="7">
        <f ca="1">(G970-$C$8)/$C$9</f>
        <v>2.3123609235950315</v>
      </c>
    </row>
    <row r="971" spans="3:8" x14ac:dyDescent="0.35">
      <c r="C971" s="8">
        <f t="shared" ca="1" si="56"/>
        <v>0.71799555535217829</v>
      </c>
      <c r="D971" s="7">
        <f t="shared" ca="1" si="57"/>
        <v>9.5168834610007857E-2</v>
      </c>
      <c r="E971" s="7">
        <f t="shared" ca="1" si="58"/>
        <v>0.36645552371503376</v>
      </c>
      <c r="F971" s="7">
        <f t="shared" ca="1" si="59"/>
        <v>1.8561022412247663E-2</v>
      </c>
      <c r="G971" s="7">
        <f ca="1">$C$11/(1+D971)^1
 +$D$11/(1+D971)^2
 +$E$11/(1+D971)^3
 +$F$11/(1+D971)^4
 +$G$11/(1+D971)^5
 +$H$11/(1+D971)^6
 +$I$11/(1+D971)^7
 + ( $I$11*(1+F971)/(D971-F971) )/(1+D971)^7</f>
        <v>349.13123086494176</v>
      </c>
      <c r="H971" s="7">
        <f ca="1">(G971-$C$8)/$C$9</f>
        <v>1.9089847968393359</v>
      </c>
    </row>
    <row r="972" spans="3:8" x14ac:dyDescent="0.35">
      <c r="C972" s="8">
        <f t="shared" ca="1" si="56"/>
        <v>0.37960355738899365</v>
      </c>
      <c r="D972" s="7">
        <f t="shared" ca="1" si="57"/>
        <v>8.7642984924863901E-2</v>
      </c>
      <c r="E972" s="7">
        <f t="shared" ca="1" si="58"/>
        <v>0.61675159732953555</v>
      </c>
      <c r="F972" s="7">
        <f t="shared" ca="1" si="59"/>
        <v>2.1245019672546779E-2</v>
      </c>
      <c r="G972" s="7">
        <f ca="1">$C$11/(1+D972)^1
 +$D$11/(1+D972)^2
 +$E$11/(1+D972)^3
 +$F$11/(1+D972)^4
 +$G$11/(1+D972)^5
 +$H$11/(1+D972)^6
 +$I$11/(1+D972)^7
 + ( $I$11*(1+F972)/(D972-F972) )/(1+D972)^7</f>
        <v>400.12499009667033</v>
      </c>
      <c r="H972" s="7">
        <f ca="1">(G972-$C$8)/$C$9</f>
        <v>2.197280586254355</v>
      </c>
    </row>
    <row r="973" spans="3:8" x14ac:dyDescent="0.35">
      <c r="C973" s="8">
        <f t="shared" ca="1" si="56"/>
        <v>0.58592521619675297</v>
      </c>
      <c r="D973" s="7">
        <f t="shared" ca="1" si="57"/>
        <v>9.2028402092008271E-2</v>
      </c>
      <c r="E973" s="7">
        <f t="shared" ca="1" si="58"/>
        <v>0.42615575471955092</v>
      </c>
      <c r="F973" s="7">
        <f t="shared" ca="1" si="59"/>
        <v>1.9232071866266541E-2</v>
      </c>
      <c r="G973" s="7">
        <f ca="1">$C$11/(1+D973)^1
 +$D$11/(1+D973)^2
 +$E$11/(1+D973)^3
 +$F$11/(1+D973)^4
 +$G$11/(1+D973)^5
 +$H$11/(1+D973)^6
 +$I$11/(1+D973)^7
 + ( $I$11*(1+F973)/(D973-F973) )/(1+D973)^7</f>
        <v>367.0913941189051</v>
      </c>
      <c r="H973" s="7">
        <f ca="1">(G973-$C$8)/$C$9</f>
        <v>2.0105234855207206</v>
      </c>
    </row>
    <row r="974" spans="3:8" x14ac:dyDescent="0.35">
      <c r="C974" s="8">
        <f t="shared" ca="1" si="56"/>
        <v>0.95026842189180671</v>
      </c>
      <c r="D974" s="7">
        <f t="shared" ca="1" si="57"/>
        <v>0.10377178750166705</v>
      </c>
      <c r="E974" s="7">
        <f t="shared" ca="1" si="58"/>
        <v>0.93324806872073041</v>
      </c>
      <c r="F974" s="7">
        <f t="shared" ca="1" si="59"/>
        <v>2.6346181961857718E-2</v>
      </c>
      <c r="G974" s="7">
        <f ca="1">$C$11/(1+D974)^1
 +$D$11/(1+D974)^2
 +$E$11/(1+D974)^3
 +$F$11/(1+D974)^4
 +$G$11/(1+D974)^5
 +$H$11/(1+D974)^6
 +$I$11/(1+D974)^7
 + ( $I$11*(1+F974)/(D974-F974) )/(1+D974)^7</f>
        <v>332.85653423603628</v>
      </c>
      <c r="H974" s="7">
        <f ca="1">(G974-$C$8)/$C$9</f>
        <v>1.8169749787202412</v>
      </c>
    </row>
    <row r="975" spans="3:8" x14ac:dyDescent="0.35">
      <c r="C975" s="8">
        <f t="shared" ca="1" si="56"/>
        <v>0.94122588184243872</v>
      </c>
      <c r="D975" s="7">
        <f t="shared" ca="1" si="57"/>
        <v>0.1032291941275135</v>
      </c>
      <c r="E975" s="7">
        <f t="shared" ca="1" si="58"/>
        <v>0.23670132999241456</v>
      </c>
      <c r="F975" s="7">
        <f t="shared" ca="1" si="59"/>
        <v>1.6880426294822358E-2</v>
      </c>
      <c r="G975" s="7">
        <f ca="1">$C$11/(1+D975)^1
 +$D$11/(1+D975)^2
 +$E$11/(1+D975)^3
 +$F$11/(1+D975)^4
 +$G$11/(1+D975)^5
 +$H$11/(1+D975)^6
 +$I$11/(1+D975)^7
 + ( $I$11*(1+F975)/(D975-F975) )/(1+D975)^7</f>
        <v>310.34791015621306</v>
      </c>
      <c r="H975" s="7">
        <f ca="1">(G975-$C$8)/$C$9</f>
        <v>1.68972133738248</v>
      </c>
    </row>
    <row r="976" spans="3:8" x14ac:dyDescent="0.35">
      <c r="C976" s="8">
        <f t="shared" ca="1" si="56"/>
        <v>0.38889469866856996</v>
      </c>
      <c r="D976" s="7">
        <f t="shared" ca="1" si="57"/>
        <v>8.7857593704310427E-2</v>
      </c>
      <c r="E976" s="7">
        <f t="shared" ca="1" si="58"/>
        <v>0.77608475407493427</v>
      </c>
      <c r="F976" s="7">
        <f t="shared" ca="1" si="59"/>
        <v>2.3307986163716252E-2</v>
      </c>
      <c r="G976" s="7">
        <f ca="1">$C$11/(1+D976)^1
 +$D$11/(1+D976)^2
 +$E$11/(1+D976)^3
 +$F$11/(1+D976)^4
 +$G$11/(1+D976)^5
 +$H$11/(1+D976)^6
 +$I$11/(1+D976)^7
 + ( $I$11*(1+F976)/(D976-F976) )/(1+D976)^7</f>
        <v>407.91755398877268</v>
      </c>
      <c r="H976" s="7">
        <f ca="1">(G976-$C$8)/$C$9</f>
        <v>2.24133623919478</v>
      </c>
    </row>
    <row r="977" spans="3:8" x14ac:dyDescent="0.35">
      <c r="C977" s="8">
        <f t="shared" ref="C977:C1040" ca="1" si="60">RAND()</f>
        <v>0.73888128998463887</v>
      </c>
      <c r="D977" s="7">
        <f t="shared" ref="D977:D1040" ca="1" si="61">IF(C977&lt;(0.0905-0.07)/(0.11-0.07),
 0.07+SQRT(C977*(0.11-0.07)*(0.0905-0.07)),
 0.11-SQRT((1-C977)*(0.11-0.07)*(0.11-0.0905))
)</f>
        <v>9.5728609254456601E-2</v>
      </c>
      <c r="E977" s="7">
        <f t="shared" ref="E977:E1040" ca="1" si="62">RAND()</f>
        <v>0.51520730563728312</v>
      </c>
      <c r="F977" s="7">
        <f t="shared" ref="F977:F1040" ca="1" si="63">MIN(
 IF(E977&lt;(0.02-0.01)/(0.03-0.01),
   0.01+SQRT(E977*(0.03-0.01)*(0.02-0.01)),
   0.03-SQRT((1-E977)*(0.03-0.01)*(0.03-0.02))
 ),
 D977-0.005
)</f>
        <v>2.0153247293013633E-2</v>
      </c>
      <c r="G977" s="7">
        <f ca="1">$C$11/(1+D977)^1
 +$D$11/(1+D977)^2
 +$E$11/(1+D977)^3
 +$F$11/(1+D977)^4
 +$G$11/(1+D977)^5
 +$H$11/(1+D977)^6
 +$I$11/(1+D977)^7
 + ( $I$11*(1+F977)/(D977-F977) )/(1+D977)^7</f>
        <v>351.45754840603558</v>
      </c>
      <c r="H977" s="7">
        <f ca="1">(G977-$C$8)/$C$9</f>
        <v>1.9221367503733353</v>
      </c>
    </row>
    <row r="978" spans="3:8" x14ac:dyDescent="0.35">
      <c r="C978" s="8">
        <f t="shared" ca="1" si="60"/>
        <v>0.20469014299985389</v>
      </c>
      <c r="D978" s="7">
        <f t="shared" ca="1" si="61"/>
        <v>8.2955536162578544E-2</v>
      </c>
      <c r="E978" s="7">
        <f t="shared" ca="1" si="62"/>
        <v>0.81467251975278077</v>
      </c>
      <c r="F978" s="7">
        <f t="shared" ca="1" si="63"/>
        <v>2.3911856108020782E-2</v>
      </c>
      <c r="G978" s="7">
        <f ca="1">$C$11/(1+D978)^1
 +$D$11/(1+D978)^2
 +$E$11/(1+D978)^3
 +$F$11/(1+D978)^4
 +$G$11/(1+D978)^5
 +$H$11/(1+D978)^6
 +$I$11/(1+D978)^7
 + ( $I$11*(1+F978)/(D978-F978) )/(1+D978)^7</f>
        <v>446.05539113479904</v>
      </c>
      <c r="H978" s="7">
        <f ca="1">(G978-$C$8)/$C$9</f>
        <v>2.4569504247783751</v>
      </c>
    </row>
    <row r="979" spans="3:8" x14ac:dyDescent="0.35">
      <c r="C979" s="8">
        <f t="shared" ca="1" si="60"/>
        <v>0.67280170778813908</v>
      </c>
      <c r="D979" s="7">
        <f t="shared" ca="1" si="61"/>
        <v>9.4024560477869432E-2</v>
      </c>
      <c r="E979" s="7">
        <f t="shared" ca="1" si="62"/>
        <v>0.8328782476576766</v>
      </c>
      <c r="F979" s="7">
        <f t="shared" ca="1" si="63"/>
        <v>2.4218620366342938E-2</v>
      </c>
      <c r="G979" s="7">
        <f ca="1">$C$11/(1+D979)^1
 +$D$11/(1+D979)^2
 +$E$11/(1+D979)^3
 +$F$11/(1+D979)^4
 +$G$11/(1+D979)^5
 +$H$11/(1+D979)^6
 +$I$11/(1+D979)^7
 + ( $I$11*(1+F979)/(D979-F979) )/(1+D979)^7</f>
        <v>374.43546003202914</v>
      </c>
      <c r="H979" s="7">
        <f ca="1">(G979-$C$8)/$C$9</f>
        <v>2.0520435325193866</v>
      </c>
    </row>
    <row r="980" spans="3:8" x14ac:dyDescent="0.35">
      <c r="C980" s="8">
        <f t="shared" ca="1" si="60"/>
        <v>0.58847737233177688</v>
      </c>
      <c r="D980" s="7">
        <f t="shared" ca="1" si="61"/>
        <v>9.2083871802724399E-2</v>
      </c>
      <c r="E980" s="7">
        <f t="shared" ca="1" si="62"/>
        <v>0.43489542318359253</v>
      </c>
      <c r="F980" s="7">
        <f t="shared" ca="1" si="63"/>
        <v>1.9326257804538671E-2</v>
      </c>
      <c r="G980" s="7">
        <f ca="1">$C$11/(1+D980)^1
 +$D$11/(1+D980)^2
 +$E$11/(1+D980)^3
 +$F$11/(1+D980)^4
 +$G$11/(1+D980)^5
 +$H$11/(1+D980)^6
 +$I$11/(1+D980)^7
 + ( $I$11*(1+F980)/(D980-F980) )/(1+D980)^7</f>
        <v>367.12994484197088</v>
      </c>
      <c r="H980" s="7">
        <f ca="1">(G980-$C$8)/$C$9</f>
        <v>2.0107414339776732</v>
      </c>
    </row>
    <row r="981" spans="3:8" x14ac:dyDescent="0.35">
      <c r="C981" s="8">
        <f t="shared" ca="1" si="60"/>
        <v>0.36331689199609274</v>
      </c>
      <c r="D981" s="7">
        <f t="shared" ca="1" si="61"/>
        <v>8.726035490471723E-2</v>
      </c>
      <c r="E981" s="7">
        <f t="shared" ca="1" si="62"/>
        <v>0.25891923515888049</v>
      </c>
      <c r="F981" s="7">
        <f t="shared" ca="1" si="63"/>
        <v>1.7196099431759967E-2</v>
      </c>
      <c r="G981" s="7">
        <f ca="1">$C$11/(1+D981)^1
 +$D$11/(1+D981)^2
 +$E$11/(1+D981)^3
 +$F$11/(1+D981)^4
 +$G$11/(1+D981)^5
 +$H$11/(1+D981)^6
 +$I$11/(1+D981)^7
 + ( $I$11*(1+F981)/(D981-F981) )/(1+D981)^7</f>
        <v>385.81802856299873</v>
      </c>
      <c r="H981" s="7">
        <f ca="1">(G981-$C$8)/$C$9</f>
        <v>2.1163954577283963</v>
      </c>
    </row>
    <row r="982" spans="3:8" x14ac:dyDescent="0.35">
      <c r="C982" s="8">
        <f t="shared" ca="1" si="60"/>
        <v>0.83030957198083111</v>
      </c>
      <c r="D982" s="7">
        <f t="shared" ca="1" si="61"/>
        <v>9.8495282104503742E-2</v>
      </c>
      <c r="E982" s="7">
        <f t="shared" ca="1" si="62"/>
        <v>0.14679613768421096</v>
      </c>
      <c r="F982" s="7">
        <f t="shared" ca="1" si="63"/>
        <v>1.5418415592850201E-2</v>
      </c>
      <c r="G982" s="7">
        <f ca="1">$C$11/(1+D982)^1
 +$D$11/(1+D982)^2
 +$E$11/(1+D982)^3
 +$F$11/(1+D982)^4
 +$G$11/(1+D982)^5
 +$H$11/(1+D982)^6
 +$I$11/(1+D982)^7
 + ( $I$11*(1+F982)/(D982-F982) )/(1+D982)^7</f>
        <v>325.43147279598389</v>
      </c>
      <c r="H982" s="7">
        <f ca="1">(G982-$C$8)/$C$9</f>
        <v>1.774997019425508</v>
      </c>
    </row>
    <row r="983" spans="3:8" x14ac:dyDescent="0.35">
      <c r="C983" s="8">
        <f t="shared" ca="1" si="60"/>
        <v>0.79620886353517828</v>
      </c>
      <c r="D983" s="7">
        <f t="shared" ca="1" si="61"/>
        <v>9.7392181535152056E-2</v>
      </c>
      <c r="E983" s="7">
        <f t="shared" ca="1" si="62"/>
        <v>0.12321676541129856</v>
      </c>
      <c r="F983" s="7">
        <f t="shared" ca="1" si="63"/>
        <v>1.4964207195742308E-2</v>
      </c>
      <c r="G983" s="7">
        <f ca="1">$C$11/(1+D983)^1
 +$D$11/(1+D983)^2
 +$E$11/(1+D983)^3
 +$F$11/(1+D983)^4
 +$G$11/(1+D983)^5
 +$H$11/(1+D983)^6
 +$I$11/(1+D983)^7
 + ( $I$11*(1+F983)/(D983-F983) )/(1+D983)^7</f>
        <v>328.82748533696417</v>
      </c>
      <c r="H983" s="7">
        <f ca="1">(G983-$C$8)/$C$9</f>
        <v>1.7941965475857313</v>
      </c>
    </row>
    <row r="984" spans="3:8" x14ac:dyDescent="0.35">
      <c r="C984" s="8">
        <f t="shared" ca="1" si="60"/>
        <v>0.75764634900152195</v>
      </c>
      <c r="D984" s="7">
        <f t="shared" ca="1" si="61"/>
        <v>9.6250969205838074E-2</v>
      </c>
      <c r="E984" s="7">
        <f t="shared" ca="1" si="62"/>
        <v>0.50218698015595076</v>
      </c>
      <c r="F984" s="7">
        <f t="shared" ca="1" si="63"/>
        <v>2.0021893768414276E-2</v>
      </c>
      <c r="G984" s="7">
        <f ca="1">$C$11/(1+D984)^1
 +$D$11/(1+D984)^2
 +$E$11/(1+D984)^3
 +$F$11/(1+D984)^4
 +$G$11/(1+D984)^5
 +$H$11/(1+D984)^6
 +$I$11/(1+D984)^7
 + ( $I$11*(1+F984)/(D984-F984) )/(1+D984)^7</f>
        <v>348.52569766945464</v>
      </c>
      <c r="H984" s="7">
        <f ca="1">(G984-$C$8)/$C$9</f>
        <v>1.9055613843818104</v>
      </c>
    </row>
    <row r="985" spans="3:8" x14ac:dyDescent="0.35">
      <c r="C985" s="8">
        <f t="shared" ca="1" si="60"/>
        <v>0.43813892573235491</v>
      </c>
      <c r="D985" s="7">
        <f t="shared" ca="1" si="61"/>
        <v>8.8954522391781102E-2</v>
      </c>
      <c r="E985" s="7">
        <f t="shared" ca="1" si="62"/>
        <v>0.17263127505357923</v>
      </c>
      <c r="F985" s="7">
        <f t="shared" ca="1" si="63"/>
        <v>1.5875904612118533E-2</v>
      </c>
      <c r="G985" s="7">
        <f ca="1">$C$11/(1+D985)^1
 +$D$11/(1+D985)^2
 +$E$11/(1+D985)^3
 +$F$11/(1+D985)^4
 +$G$11/(1+D985)^5
 +$H$11/(1+D985)^6
 +$I$11/(1+D985)^7
 + ( $I$11*(1+F985)/(D985-F985) )/(1+D985)^7</f>
        <v>371.53649593336911</v>
      </c>
      <c r="H985" s="7">
        <f ca="1">(G985-$C$8)/$C$9</f>
        <v>2.03565409279381</v>
      </c>
    </row>
    <row r="986" spans="3:8" x14ac:dyDescent="0.35">
      <c r="C986" s="8">
        <f t="shared" ca="1" si="60"/>
        <v>0.75612117035217041</v>
      </c>
      <c r="D986" s="7">
        <f t="shared" ca="1" si="61"/>
        <v>9.6207774395504292E-2</v>
      </c>
      <c r="E986" s="7">
        <f t="shared" ca="1" si="62"/>
        <v>0.4896902636098569</v>
      </c>
      <c r="F986" s="7">
        <f t="shared" ca="1" si="63"/>
        <v>1.9896365631986893E-2</v>
      </c>
      <c r="G986" s="7">
        <f ca="1">$C$11/(1+D986)^1
 +$D$11/(1+D986)^2
 +$E$11/(1+D986)^3
 +$F$11/(1+D986)^4
 +$G$11/(1+D986)^5
 +$H$11/(1+D986)^6
 +$I$11/(1+D986)^7
 + ( $I$11*(1+F986)/(D986-F986) )/(1+D986)^7</f>
        <v>348.33964092398395</v>
      </c>
      <c r="H986" s="7">
        <f ca="1">(G986-$C$8)/$C$9</f>
        <v>1.9045095031885115</v>
      </c>
    </row>
    <row r="987" spans="3:8" x14ac:dyDescent="0.35">
      <c r="C987" s="8">
        <f t="shared" ca="1" si="60"/>
        <v>4.0483693043434354E-2</v>
      </c>
      <c r="D987" s="7">
        <f t="shared" ca="1" si="61"/>
        <v>7.5761651525007065E-2</v>
      </c>
      <c r="E987" s="7">
        <f t="shared" ca="1" si="62"/>
        <v>0.70485750262385649</v>
      </c>
      <c r="F987" s="7">
        <f t="shared" ca="1" si="63"/>
        <v>2.2316999318285291E-2</v>
      </c>
      <c r="G987" s="7">
        <f ca="1">$C$11/(1+D987)^1
 +$D$11/(1+D987)^2
 +$E$11/(1+D987)^3
 +$F$11/(1+D987)^4
 +$G$11/(1+D987)^5
 +$H$11/(1+D987)^6
 +$I$11/(1+D987)^7
 + ( $I$11*(1+F987)/(D987-F987) )/(1+D987)^7</f>
        <v>498.38403414009883</v>
      </c>
      <c r="H987" s="7">
        <f ca="1">(G987-$C$8)/$C$9</f>
        <v>2.7527930469250275</v>
      </c>
    </row>
    <row r="988" spans="3:8" x14ac:dyDescent="0.35">
      <c r="C988" s="8">
        <f t="shared" ca="1" si="60"/>
        <v>0.36804543387693689</v>
      </c>
      <c r="D988" s="7">
        <f t="shared" ca="1" si="61"/>
        <v>8.7372312908161887E-2</v>
      </c>
      <c r="E988" s="7">
        <f t="shared" ca="1" si="62"/>
        <v>0.78549475985028983</v>
      </c>
      <c r="F988" s="7">
        <f t="shared" ca="1" si="63"/>
        <v>2.3450110838346801E-2</v>
      </c>
      <c r="G988" s="7">
        <f ca="1">$C$11/(1+D988)^1
 +$D$11/(1+D988)^2
 +$E$11/(1+D988)^3
 +$F$11/(1+D988)^4
 +$G$11/(1+D988)^5
 +$H$11/(1+D988)^6
 +$I$11/(1+D988)^7
 + ( $I$11*(1+F988)/(D988-F988) )/(1+D988)^7</f>
        <v>411.78485917084578</v>
      </c>
      <c r="H988" s="7">
        <f ca="1">(G988-$C$8)/$C$9</f>
        <v>2.2632002440685537</v>
      </c>
    </row>
    <row r="989" spans="3:8" x14ac:dyDescent="0.35">
      <c r="C989" s="8">
        <f t="shared" ca="1" si="60"/>
        <v>0.93493305013210282</v>
      </c>
      <c r="D989" s="7">
        <f t="shared" ca="1" si="61"/>
        <v>0.10287594070090936</v>
      </c>
      <c r="E989" s="7">
        <f t="shared" ca="1" si="62"/>
        <v>0.66771615198510836</v>
      </c>
      <c r="F989" s="7">
        <f t="shared" ca="1" si="63"/>
        <v>2.1847897841478045E-2</v>
      </c>
      <c r="G989" s="7">
        <f ca="1">$C$11/(1+D989)^1
 +$D$11/(1+D989)^2
 +$E$11/(1+D989)^3
 +$F$11/(1+D989)^4
 +$G$11/(1+D989)^5
 +$H$11/(1+D989)^6
 +$I$11/(1+D989)^7
 + ( $I$11*(1+F989)/(D989-F989) )/(1+D989)^7</f>
        <v>324.18833041098179</v>
      </c>
      <c r="H989" s="7">
        <f ca="1">(G989-$C$8)/$C$9</f>
        <v>1.7679688512606386</v>
      </c>
    </row>
    <row r="990" spans="3:8" x14ac:dyDescent="0.35">
      <c r="C990" s="8">
        <f t="shared" ca="1" si="60"/>
        <v>0.11219714821900417</v>
      </c>
      <c r="D990" s="7">
        <f t="shared" ca="1" si="61"/>
        <v>7.9591749659972552E-2</v>
      </c>
      <c r="E990" s="7">
        <f t="shared" ca="1" si="62"/>
        <v>0.62948544559135289</v>
      </c>
      <c r="F990" s="7">
        <f t="shared" ca="1" si="63"/>
        <v>2.1391695237636538E-2</v>
      </c>
      <c r="G990" s="7">
        <f ca="1">$C$11/(1+D990)^1
 +$D$11/(1+D990)^2
 +$E$11/(1+D990)^3
 +$F$11/(1+D990)^4
 +$G$11/(1+D990)^5
 +$H$11/(1+D990)^6
 +$I$11/(1+D990)^7
 + ( $I$11*(1+F990)/(D990-F990) )/(1+D990)^7</f>
        <v>458.43655091703886</v>
      </c>
      <c r="H990" s="7">
        <f ca="1">(G990-$C$8)/$C$9</f>
        <v>2.526947935985068</v>
      </c>
    </row>
    <row r="991" spans="3:8" x14ac:dyDescent="0.35">
      <c r="C991" s="8">
        <f t="shared" ca="1" si="60"/>
        <v>0.60672976039982329</v>
      </c>
      <c r="D991" s="7">
        <f t="shared" ca="1" si="61"/>
        <v>9.2485697647689824E-2</v>
      </c>
      <c r="E991" s="7">
        <f t="shared" ca="1" si="62"/>
        <v>0.35304259513094183</v>
      </c>
      <c r="F991" s="7">
        <f t="shared" ca="1" si="63"/>
        <v>1.840288754096997E-2</v>
      </c>
      <c r="G991" s="7">
        <f ca="1">$C$11/(1+D991)^1
 +$D$11/(1+D991)^2
 +$E$11/(1+D991)^3
 +$F$11/(1+D991)^4
 +$G$11/(1+D991)^5
 +$H$11/(1+D991)^6
 +$I$11/(1+D991)^7
 + ( $I$11*(1+F991)/(D991-F991) )/(1+D991)^7</f>
        <v>361.86273081877329</v>
      </c>
      <c r="H991" s="7">
        <f ca="1">(G991-$C$8)/$C$9</f>
        <v>1.9809629738736616</v>
      </c>
    </row>
    <row r="992" spans="3:8" x14ac:dyDescent="0.35">
      <c r="C992" s="8">
        <f t="shared" ca="1" si="60"/>
        <v>0.7857523592993928</v>
      </c>
      <c r="D992" s="7">
        <f t="shared" ca="1" si="61"/>
        <v>9.7072774476072848E-2</v>
      </c>
      <c r="E992" s="7">
        <f t="shared" ca="1" si="62"/>
        <v>0.66240467860800412</v>
      </c>
      <c r="F992" s="7">
        <f t="shared" ca="1" si="63"/>
        <v>2.178300150429616E-2</v>
      </c>
      <c r="G992" s="7">
        <f ca="1">$C$11/(1+D992)^1
 +$D$11/(1+D992)^2
 +$E$11/(1+D992)^3
 +$F$11/(1+D992)^4
 +$G$11/(1+D992)^5
 +$H$11/(1+D992)^6
 +$I$11/(1+D992)^7
 + ( $I$11*(1+F992)/(D992-F992) )/(1+D992)^7</f>
        <v>350.13469875539886</v>
      </c>
      <c r="H992" s="7">
        <f ca="1">(G992-$C$8)/$C$9</f>
        <v>1.9146579531625896</v>
      </c>
    </row>
    <row r="993" spans="3:8" x14ac:dyDescent="0.35">
      <c r="C993" s="8">
        <f t="shared" ca="1" si="60"/>
        <v>0.85019843859621447</v>
      </c>
      <c r="D993" s="7">
        <f t="shared" ca="1" si="61"/>
        <v>9.9190503346827261E-2</v>
      </c>
      <c r="E993" s="7">
        <f t="shared" ca="1" si="62"/>
        <v>0.40125113603434037</v>
      </c>
      <c r="F993" s="7">
        <f t="shared" ca="1" si="63"/>
        <v>1.8958249115026221E-2</v>
      </c>
      <c r="G993" s="7">
        <f ca="1">$C$11/(1+D993)^1
 +$D$11/(1+D993)^2
 +$E$11/(1+D993)^3
 +$F$11/(1+D993)^4
 +$G$11/(1+D993)^5
 +$H$11/(1+D993)^6
 +$I$11/(1+D993)^7
 + ( $I$11*(1+F993)/(D993-F993) )/(1+D993)^7</f>
        <v>332.0097842269181</v>
      </c>
      <c r="H993" s="7">
        <f ca="1">(G993-$C$8)/$C$9</f>
        <v>1.8121878348423681</v>
      </c>
    </row>
    <row r="994" spans="3:8" x14ac:dyDescent="0.35">
      <c r="C994" s="8">
        <f t="shared" ca="1" si="60"/>
        <v>0.61826414369643878</v>
      </c>
      <c r="D994" s="7">
        <f t="shared" ca="1" si="61"/>
        <v>9.2744451097783717E-2</v>
      </c>
      <c r="E994" s="7">
        <f t="shared" ca="1" si="62"/>
        <v>0.11224654431642411</v>
      </c>
      <c r="F994" s="7">
        <f t="shared" ca="1" si="63"/>
        <v>1.4738070162342978E-2</v>
      </c>
      <c r="G994" s="7">
        <f ca="1">$C$11/(1+D994)^1
 +$D$11/(1+D994)^2
 +$E$11/(1+D994)^3
 +$F$11/(1+D994)^4
 +$G$11/(1+D994)^5
 +$H$11/(1+D994)^6
 +$I$11/(1+D994)^7
 + ( $I$11*(1+F994)/(D994-F994) )/(1+D994)^7</f>
        <v>348.83504436314558</v>
      </c>
      <c r="H994" s="7">
        <f ca="1">(G994-$C$8)/$C$9</f>
        <v>1.9073102915148439</v>
      </c>
    </row>
    <row r="995" spans="3:8" x14ac:dyDescent="0.35">
      <c r="C995" s="8">
        <f t="shared" ca="1" si="60"/>
        <v>0.83756363643262643</v>
      </c>
      <c r="D995" s="7">
        <f t="shared" ca="1" si="61"/>
        <v>9.8743874397353618E-2</v>
      </c>
      <c r="E995" s="7">
        <f t="shared" ca="1" si="62"/>
        <v>0.13839213066123313</v>
      </c>
      <c r="F995" s="7">
        <f t="shared" ca="1" si="63"/>
        <v>1.5261028999373281E-2</v>
      </c>
      <c r="G995" s="7">
        <f ca="1">$C$11/(1+D995)^1
 +$D$11/(1+D995)^2
 +$E$11/(1+D995)^3
 +$F$11/(1+D995)^4
 +$G$11/(1+D995)^5
 +$H$11/(1+D995)^6
 +$I$11/(1+D995)^7
 + ( $I$11*(1+F995)/(D995-F995) )/(1+D995)^7</f>
        <v>324.00380324999253</v>
      </c>
      <c r="H995" s="7">
        <f ca="1">(G995-$C$8)/$C$9</f>
        <v>1.7669256176503421</v>
      </c>
    </row>
    <row r="996" spans="3:8" x14ac:dyDescent="0.35">
      <c r="C996" s="8">
        <f t="shared" ca="1" si="60"/>
        <v>0.43850719895525492</v>
      </c>
      <c r="D996" s="7">
        <f t="shared" ca="1" si="61"/>
        <v>8.8962486734163029E-2</v>
      </c>
      <c r="E996" s="7">
        <f t="shared" ca="1" si="62"/>
        <v>0.19918302141904387</v>
      </c>
      <c r="F996" s="7">
        <f t="shared" ca="1" si="63"/>
        <v>1.6311624536029433E-2</v>
      </c>
      <c r="G996" s="7">
        <f ca="1">$C$11/(1+D996)^1
 +$D$11/(1+D996)^2
 +$E$11/(1+D996)^3
 +$F$11/(1+D996)^4
 +$G$11/(1+D996)^5
 +$H$11/(1+D996)^6
 +$I$11/(1+D996)^7
 + ( $I$11*(1+F996)/(D996-F996) )/(1+D996)^7</f>
        <v>373.04664500093691</v>
      </c>
      <c r="H996" s="7">
        <f ca="1">(G996-$C$8)/$C$9</f>
        <v>2.0441917967036232</v>
      </c>
    </row>
    <row r="997" spans="3:8" x14ac:dyDescent="0.35">
      <c r="C997" s="8">
        <f t="shared" ca="1" si="60"/>
        <v>0.37501546466680657</v>
      </c>
      <c r="D997" s="7">
        <f t="shared" ca="1" si="61"/>
        <v>8.7536039490910753E-2</v>
      </c>
      <c r="E997" s="7">
        <f t="shared" ca="1" si="62"/>
        <v>0.65146304661062726</v>
      </c>
      <c r="F997" s="7">
        <f t="shared" ca="1" si="63"/>
        <v>2.1650904798849485E-2</v>
      </c>
      <c r="G997" s="7">
        <f ca="1">$C$11/(1+D997)^1
 +$D$11/(1+D997)^2
 +$E$11/(1+D997)^3
 +$F$11/(1+D997)^4
 +$G$11/(1+D997)^5
 +$H$11/(1+D997)^6
 +$I$11/(1+D997)^7
 + ( $I$11*(1+F997)/(D997-F997) )/(1+D997)^7</f>
        <v>402.5683245244735</v>
      </c>
      <c r="H997" s="7">
        <f ca="1">(G997-$C$8)/$C$9</f>
        <v>2.2110941006584888</v>
      </c>
    </row>
    <row r="998" spans="3:8" x14ac:dyDescent="0.35">
      <c r="C998" s="8">
        <f t="shared" ca="1" si="60"/>
        <v>0.31579936139289511</v>
      </c>
      <c r="D998" s="7">
        <f t="shared" ca="1" si="61"/>
        <v>8.6092093597235075E-2</v>
      </c>
      <c r="E998" s="7">
        <f t="shared" ca="1" si="62"/>
        <v>1.8266636737886865E-2</v>
      </c>
      <c r="F998" s="7">
        <f t="shared" ca="1" si="63"/>
        <v>1.191136792574778E-2</v>
      </c>
      <c r="G998" s="7">
        <f ca="1">$C$11/(1+D998)^1
 +$D$11/(1+D998)^2
 +$E$11/(1+D998)^3
 +$F$11/(1+D998)^4
 +$G$11/(1+D998)^5
 +$H$11/(1+D998)^6
 +$I$11/(1+D998)^7
 + ( $I$11*(1+F998)/(D998-F998) )/(1+D998)^7</f>
        <v>372.7798141926574</v>
      </c>
      <c r="H998" s="7">
        <f ca="1">(G998-$C$8)/$C$9</f>
        <v>2.0426832552728253</v>
      </c>
    </row>
    <row r="999" spans="3:8" x14ac:dyDescent="0.35">
      <c r="C999" s="8">
        <f t="shared" ca="1" si="60"/>
        <v>0.61002697922261984</v>
      </c>
      <c r="D999" s="7">
        <f t="shared" ca="1" si="61"/>
        <v>9.2559273059692831E-2</v>
      </c>
      <c r="E999" s="7">
        <f t="shared" ca="1" si="62"/>
        <v>0.63366349232619534</v>
      </c>
      <c r="F999" s="7">
        <f t="shared" ca="1" si="63"/>
        <v>2.1440367908913321E-2</v>
      </c>
      <c r="G999" s="7">
        <f ca="1">$C$11/(1+D999)^1
 +$D$11/(1+D999)^2
 +$E$11/(1+D999)^3
 +$F$11/(1+D999)^4
 +$G$11/(1+D999)^5
 +$H$11/(1+D999)^6
 +$I$11/(1+D999)^7
 + ( $I$11*(1+F999)/(D999-F999) )/(1+D999)^7</f>
        <v>372.17066618608806</v>
      </c>
      <c r="H999" s="7">
        <f ca="1">(G999-$C$8)/$C$9</f>
        <v>2.0392394062985528</v>
      </c>
    </row>
    <row r="1000" spans="3:8" x14ac:dyDescent="0.35">
      <c r="C1000" s="8">
        <f t="shared" ca="1" si="60"/>
        <v>0.78275228592541879</v>
      </c>
      <c r="D1000" s="7">
        <f t="shared" ca="1" si="61"/>
        <v>9.6982580248829137E-2</v>
      </c>
      <c r="E1000" s="7">
        <f t="shared" ca="1" si="62"/>
        <v>0.26736232698871865</v>
      </c>
      <c r="F1000" s="7">
        <f t="shared" ca="1" si="63"/>
        <v>1.7312486950261431E-2</v>
      </c>
      <c r="G1000" s="7">
        <f ca="1">$C$11/(1+D1000)^1
 +$D$11/(1+D1000)^2
 +$E$11/(1+D1000)^3
 +$F$11/(1+D1000)^4
 +$G$11/(1+D1000)^5
 +$H$11/(1+D1000)^6
 +$I$11/(1+D1000)^7
 + ( $I$11*(1+F1000)/(D1000-F1000) )/(1+D1000)^7</f>
        <v>337.06294610111337</v>
      </c>
      <c r="H1000" s="7">
        <f ca="1">(G1000-$C$8)/$C$9</f>
        <v>1.840756140327416</v>
      </c>
    </row>
    <row r="1001" spans="3:8" x14ac:dyDescent="0.35">
      <c r="C1001" s="8">
        <f t="shared" ca="1" si="60"/>
        <v>0.46694522860765852</v>
      </c>
      <c r="D1001" s="7">
        <f t="shared" ca="1" si="61"/>
        <v>8.9567705216971147E-2</v>
      </c>
      <c r="E1001" s="7">
        <f t="shared" ca="1" si="62"/>
        <v>0.35222572293540033</v>
      </c>
      <c r="F1001" s="7">
        <f t="shared" ca="1" si="63"/>
        <v>1.8393160583896871E-2</v>
      </c>
      <c r="G1001" s="7">
        <f ca="1">$C$11/(1+D1001)^1
 +$D$11/(1+D1001)^2
 +$E$11/(1+D1001)^3
 +$F$11/(1+D1001)^4
 +$G$11/(1+D1001)^5
 +$H$11/(1+D1001)^6
 +$I$11/(1+D1001)^7
 + ( $I$11*(1+F1001)/(D1001-F1001) )/(1+D1001)^7</f>
        <v>377.347777727611</v>
      </c>
      <c r="H1001" s="7">
        <f ca="1">(G1001-$C$8)/$C$9</f>
        <v>2.0685084674785785</v>
      </c>
    </row>
    <row r="1002" spans="3:8" x14ac:dyDescent="0.35">
      <c r="C1002" s="8">
        <f t="shared" ca="1" si="60"/>
        <v>0.97190094133518878</v>
      </c>
      <c r="D1002" s="7">
        <f t="shared" ca="1" si="61"/>
        <v>0.10531841204733343</v>
      </c>
      <c r="E1002" s="7">
        <f t="shared" ca="1" si="62"/>
        <v>0.21446655559896521</v>
      </c>
      <c r="F1002" s="7">
        <f t="shared" ca="1" si="63"/>
        <v>1.6549298521200042E-2</v>
      </c>
      <c r="G1002" s="7">
        <f ca="1">$C$11/(1+D1002)^1
 +$D$11/(1+D1002)^2
 +$E$11/(1+D1002)^3
 +$F$11/(1+D1002)^4
 +$G$11/(1+D1002)^5
 +$H$11/(1+D1002)^6
 +$I$11/(1+D1002)^7
 + ( $I$11*(1+F1002)/(D1002-F1002) )/(1+D1002)^7</f>
        <v>301.90402605340461</v>
      </c>
      <c r="H1002" s="7">
        <f ca="1">(G1002-$C$8)/$C$9</f>
        <v>1.6419834127849648</v>
      </c>
    </row>
    <row r="1003" spans="3:8" x14ac:dyDescent="0.35">
      <c r="C1003" s="8">
        <f t="shared" ca="1" si="60"/>
        <v>0.27374709288763699</v>
      </c>
      <c r="D1003" s="7">
        <f t="shared" ca="1" si="61"/>
        <v>8.4982410225589958E-2</v>
      </c>
      <c r="E1003" s="7">
        <f t="shared" ca="1" si="62"/>
        <v>4.6179745311120013E-2</v>
      </c>
      <c r="F1003" s="7">
        <f t="shared" ca="1" si="63"/>
        <v>1.3039070427322145E-2</v>
      </c>
      <c r="G1003" s="7">
        <f ca="1">$C$11/(1+D1003)^1
 +$D$11/(1+D1003)^2
 +$E$11/(1+D1003)^3
 +$F$11/(1+D1003)^4
 +$G$11/(1+D1003)^5
 +$H$11/(1+D1003)^6
 +$I$11/(1+D1003)^7
 + ( $I$11*(1+F1003)/(D1003-F1003) )/(1+D1003)^7</f>
        <v>382.88534658992921</v>
      </c>
      <c r="H1003" s="7">
        <f ca="1">(G1003-$C$8)/$C$9</f>
        <v>2.099815392299464</v>
      </c>
    </row>
    <row r="1004" spans="3:8" x14ac:dyDescent="0.35">
      <c r="C1004" s="8">
        <f t="shared" ca="1" si="60"/>
        <v>0.58493634138011341</v>
      </c>
      <c r="D1004" s="7">
        <f t="shared" ca="1" si="61"/>
        <v>9.2006955407060442E-2</v>
      </c>
      <c r="E1004" s="7">
        <f t="shared" ca="1" si="62"/>
        <v>0.60589141620672726</v>
      </c>
      <c r="F1004" s="7">
        <f t="shared" ca="1" si="63"/>
        <v>2.1121840463324926E-2</v>
      </c>
      <c r="G1004" s="7">
        <f ca="1">$C$11/(1+D1004)^1
 +$D$11/(1+D1004)^2
 +$E$11/(1+D1004)^3
 +$F$11/(1+D1004)^4
 +$G$11/(1+D1004)^5
 +$H$11/(1+D1004)^6
 +$I$11/(1+D1004)^7
 + ( $I$11*(1+F1004)/(D1004-F1004) )/(1+D1004)^7</f>
        <v>374.02021477560533</v>
      </c>
      <c r="H1004" s="7">
        <f ca="1">(G1004-$C$8)/$C$9</f>
        <v>2.0496959225215137</v>
      </c>
    </row>
    <row r="1005" spans="3:8" x14ac:dyDescent="0.35">
      <c r="C1005" s="8">
        <f t="shared" ca="1" si="60"/>
        <v>0.73448092320018388</v>
      </c>
      <c r="D1005" s="7">
        <f t="shared" ca="1" si="61"/>
        <v>9.5608861063006284E-2</v>
      </c>
      <c r="E1005" s="7">
        <f t="shared" ca="1" si="62"/>
        <v>0.42422974688681658</v>
      </c>
      <c r="F1005" s="7">
        <f t="shared" ca="1" si="63"/>
        <v>1.9211186100463032E-2</v>
      </c>
      <c r="G1005" s="7">
        <f ca="1">$C$11/(1+D1005)^1
 +$D$11/(1+D1005)^2
 +$E$11/(1+D1005)^3
 +$F$11/(1+D1005)^4
 +$G$11/(1+D1005)^5
 +$H$11/(1+D1005)^6
 +$I$11/(1+D1005)^7
 + ( $I$11*(1+F1005)/(D1005-F1005) )/(1+D1005)^7</f>
        <v>349.05917299313722</v>
      </c>
      <c r="H1005" s="7">
        <f ca="1">(G1005-$C$8)/$C$9</f>
        <v>1.9085774140272342</v>
      </c>
    </row>
    <row r="1006" spans="3:8" x14ac:dyDescent="0.35">
      <c r="C1006" s="8">
        <f t="shared" ca="1" si="60"/>
        <v>0.49886888182813371</v>
      </c>
      <c r="D1006" s="7">
        <f t="shared" ca="1" si="61"/>
        <v>9.022554036605869E-2</v>
      </c>
      <c r="E1006" s="7">
        <f t="shared" ca="1" si="62"/>
        <v>0.193877149122479</v>
      </c>
      <c r="F1006" s="7">
        <f t="shared" ca="1" si="63"/>
        <v>1.622699203664946E-2</v>
      </c>
      <c r="G1006" s="7">
        <f ca="1">$C$11/(1+D1006)^1
 +$D$11/(1+D1006)^2
 +$E$11/(1+D1006)^3
 +$F$11/(1+D1006)^4
 +$G$11/(1+D1006)^5
 +$H$11/(1+D1006)^6
 +$I$11/(1+D1006)^7
 + ( $I$11*(1+F1006)/(D1006-F1006) )/(1+D1006)^7</f>
        <v>366.08167761926654</v>
      </c>
      <c r="H1006" s="7">
        <f ca="1">(G1006-$C$8)/$C$9</f>
        <v>2.0048150023703446</v>
      </c>
    </row>
    <row r="1007" spans="3:8" x14ac:dyDescent="0.35">
      <c r="C1007" s="8">
        <f t="shared" ca="1" si="60"/>
        <v>0.28647740092269747</v>
      </c>
      <c r="D1007" s="7">
        <f t="shared" ca="1" si="61"/>
        <v>8.5326821873976749E-2</v>
      </c>
      <c r="E1007" s="7">
        <f t="shared" ca="1" si="62"/>
        <v>0.13697005033298759</v>
      </c>
      <c r="F1007" s="7">
        <f t="shared" ca="1" si="63"/>
        <v>1.5233928741069897E-2</v>
      </c>
      <c r="G1007" s="7">
        <f ca="1">$C$11/(1+D1007)^1
 +$D$11/(1+D1007)^2
 +$E$11/(1+D1007)^3
 +$F$11/(1+D1007)^4
 +$G$11/(1+D1007)^5
 +$H$11/(1+D1007)^6
 +$I$11/(1+D1007)^7
 + ( $I$11*(1+F1007)/(D1007-F1007) )/(1+D1007)^7</f>
        <v>389.33204679960261</v>
      </c>
      <c r="H1007" s="7">
        <f ca="1">(G1007-$C$8)/$C$9</f>
        <v>2.1362621370398158</v>
      </c>
    </row>
    <row r="1008" spans="3:8" x14ac:dyDescent="0.35">
      <c r="C1008" s="8">
        <f t="shared" ca="1" si="60"/>
        <v>0.59196425984033052</v>
      </c>
      <c r="D1008" s="7">
        <f t="shared" ca="1" si="61"/>
        <v>9.215993617375369E-2</v>
      </c>
      <c r="E1008" s="7">
        <f t="shared" ca="1" si="62"/>
        <v>0.25259778008416378</v>
      </c>
      <c r="F1008" s="7">
        <f t="shared" ca="1" si="63"/>
        <v>1.7107711025135502E-2</v>
      </c>
      <c r="G1008" s="7">
        <f ca="1">$C$11/(1+D1008)^1
 +$D$11/(1+D1008)^2
 +$E$11/(1+D1008)^3
 +$F$11/(1+D1008)^4
 +$G$11/(1+D1008)^5
 +$H$11/(1+D1008)^6
 +$I$11/(1+D1008)^7
 + ( $I$11*(1+F1008)/(D1008-F1008) )/(1+D1008)^7</f>
        <v>359.18462287578222</v>
      </c>
      <c r="H1008" s="7">
        <f ca="1">(G1008-$C$8)/$C$9</f>
        <v>1.9658221555618622</v>
      </c>
    </row>
    <row r="1009" spans="3:8" x14ac:dyDescent="0.35">
      <c r="C1009" s="8">
        <f t="shared" ca="1" si="60"/>
        <v>0.64915583807273436</v>
      </c>
      <c r="D1009" s="7">
        <f t="shared" ca="1" si="61"/>
        <v>9.3457374866628112E-2</v>
      </c>
      <c r="E1009" s="7">
        <f t="shared" ca="1" si="62"/>
        <v>0.35782996803655598</v>
      </c>
      <c r="F1009" s="7">
        <f t="shared" ca="1" si="63"/>
        <v>1.8459668646425294E-2</v>
      </c>
      <c r="G1009" s="7">
        <f ca="1">$C$11/(1+D1009)^1
 +$D$11/(1+D1009)^2
 +$E$11/(1+D1009)^3
 +$F$11/(1+D1009)^4
 +$G$11/(1+D1009)^5
 +$H$11/(1+D1009)^6
 +$I$11/(1+D1009)^7
 + ( $I$11*(1+F1009)/(D1009-F1009) )/(1+D1009)^7</f>
        <v>357.15021024408185</v>
      </c>
      <c r="H1009" s="7">
        <f ca="1">(G1009-$C$8)/$C$9</f>
        <v>1.954320501153787</v>
      </c>
    </row>
    <row r="1010" spans="3:8" x14ac:dyDescent="0.35">
      <c r="C1010" s="8">
        <f t="shared" ca="1" si="60"/>
        <v>0.40924148958139928</v>
      </c>
      <c r="D1010" s="7">
        <f t="shared" ca="1" si="61"/>
        <v>8.8318788755175584E-2</v>
      </c>
      <c r="E1010" s="7">
        <f t="shared" ca="1" si="62"/>
        <v>0.36916896853374925</v>
      </c>
      <c r="F1010" s="7">
        <f t="shared" ca="1" si="63"/>
        <v>1.8592659291904332E-2</v>
      </c>
      <c r="G1010" s="7">
        <f ca="1">$C$11/(1+D1010)^1
 +$D$11/(1+D1010)^2
 +$E$11/(1+D1010)^3
 +$F$11/(1+D1010)^4
 +$G$11/(1+D1010)^5
 +$H$11/(1+D1010)^6
 +$I$11/(1+D1010)^7
 + ( $I$11*(1+F1010)/(D1010-F1010) )/(1+D1010)^7</f>
        <v>385.16511838653264</v>
      </c>
      <c r="H1010" s="7">
        <f ca="1">(G1010-$C$8)/$C$9</f>
        <v>2.1127041971197005</v>
      </c>
    </row>
    <row r="1011" spans="3:8" x14ac:dyDescent="0.35">
      <c r="C1011" s="8">
        <f t="shared" ca="1" si="60"/>
        <v>0.18336862009242005</v>
      </c>
      <c r="D1011" s="7">
        <f t="shared" ca="1" si="61"/>
        <v>8.2262229343630158E-2</v>
      </c>
      <c r="E1011" s="7">
        <f t="shared" ca="1" si="62"/>
        <v>0.92769404001159728</v>
      </c>
      <c r="F1011" s="7">
        <f t="shared" ca="1" si="63"/>
        <v>2.6197212601567037E-2</v>
      </c>
      <c r="G1011" s="7">
        <f ca="1">$C$11/(1+D1011)^1
 +$D$11/(1+D1011)^2
 +$E$11/(1+D1011)^3
 +$F$11/(1+D1011)^4
 +$G$11/(1+D1011)^5
 +$H$11/(1+D1011)^6
 +$I$11/(1+D1011)^7
 + ( $I$11*(1+F1011)/(D1011-F1011) )/(1+D1011)^7</f>
        <v>465.25308121293705</v>
      </c>
      <c r="H1011" s="7">
        <f ca="1">(G1011-$C$8)/$C$9</f>
        <v>2.5654855337683009</v>
      </c>
    </row>
    <row r="1012" spans="3:8" x14ac:dyDescent="0.35">
      <c r="C1012" s="8">
        <f t="shared" ca="1" si="60"/>
        <v>0.16589457481146952</v>
      </c>
      <c r="D1012" s="7">
        <f t="shared" ca="1" si="61"/>
        <v>8.1663342203048189E-2</v>
      </c>
      <c r="E1012" s="7">
        <f t="shared" ca="1" si="62"/>
        <v>0.90211368723936169</v>
      </c>
      <c r="F1012" s="7">
        <f t="shared" ca="1" si="63"/>
        <v>2.5575379953925122E-2</v>
      </c>
      <c r="G1012" s="7">
        <f ca="1">$C$11/(1+D1012)^1
 +$D$11/(1+D1012)^2
 +$E$11/(1+D1012)^3
 +$F$11/(1+D1012)^4
 +$G$11/(1+D1012)^5
 +$H$11/(1+D1012)^6
 +$I$11/(1+D1012)^7
 + ( $I$11*(1+F1012)/(D1012-F1012) )/(1+D1012)^7</f>
        <v>466.49573827323081</v>
      </c>
      <c r="H1012" s="7">
        <f ca="1">(G1012-$C$8)/$C$9</f>
        <v>2.5725109581254566</v>
      </c>
    </row>
    <row r="1013" spans="3:8" x14ac:dyDescent="0.35">
      <c r="C1013" s="8">
        <f t="shared" ca="1" si="60"/>
        <v>0.60144171639177879</v>
      </c>
      <c r="D1013" s="7">
        <f t="shared" ca="1" si="61"/>
        <v>9.2368339238335706E-2</v>
      </c>
      <c r="E1013" s="7">
        <f t="shared" ca="1" si="62"/>
        <v>0.51321900978355794</v>
      </c>
      <c r="F1013" s="7">
        <f t="shared" ca="1" si="63"/>
        <v>2.0133075552975568E-2</v>
      </c>
      <c r="G1013" s="7">
        <f ca="1">$C$11/(1+D1013)^1
 +$D$11/(1+D1013)^2
 +$E$11/(1+D1013)^3
 +$F$11/(1+D1013)^4
 +$G$11/(1+D1013)^5
 +$H$11/(1+D1013)^6
 +$I$11/(1+D1013)^7
 + ( $I$11*(1+F1013)/(D1013-F1013) )/(1+D1013)^7</f>
        <v>368.47629099156075</v>
      </c>
      <c r="H1013" s="7">
        <f ca="1">(G1013-$C$8)/$C$9</f>
        <v>2.0183530698301713</v>
      </c>
    </row>
    <row r="1014" spans="3:8" x14ac:dyDescent="0.35">
      <c r="C1014" s="8">
        <f t="shared" ca="1" si="60"/>
        <v>0.51847399505601632</v>
      </c>
      <c r="D1014" s="7">
        <f t="shared" ca="1" si="61"/>
        <v>9.0619848198316214E-2</v>
      </c>
      <c r="E1014" s="7">
        <f t="shared" ca="1" si="62"/>
        <v>8.0346512397197034E-2</v>
      </c>
      <c r="F1014" s="7">
        <f t="shared" ca="1" si="63"/>
        <v>1.4008653449656058E-2</v>
      </c>
      <c r="G1014" s="7">
        <f ca="1">$C$11/(1+D1014)^1
 +$D$11/(1+D1014)^2
 +$E$11/(1+D1014)^3
 +$F$11/(1+D1014)^4
 +$G$11/(1+D1014)^5
 +$H$11/(1+D1014)^6
 +$I$11/(1+D1014)^7
 + ( $I$11*(1+F1014)/(D1014-F1014) )/(1+D1014)^7</f>
        <v>356.75128247922817</v>
      </c>
      <c r="H1014" s="7">
        <f ca="1">(G1014-$C$8)/$C$9</f>
        <v>1.9520651429173912</v>
      </c>
    </row>
    <row r="1015" spans="3:8" x14ac:dyDescent="0.35">
      <c r="C1015" s="8">
        <f t="shared" ca="1" si="60"/>
        <v>8.2660758068807683E-2</v>
      </c>
      <c r="D1015" s="7">
        <f t="shared" ca="1" si="61"/>
        <v>7.8232971615183819E-2</v>
      </c>
      <c r="E1015" s="7">
        <f t="shared" ca="1" si="62"/>
        <v>9.8464125507107592E-2</v>
      </c>
      <c r="F1015" s="7">
        <f t="shared" ca="1" si="63"/>
        <v>1.4437659867702967E-2</v>
      </c>
      <c r="G1015" s="7">
        <f ca="1">$C$11/(1+D1015)^1
 +$D$11/(1+D1015)^2
 +$E$11/(1+D1015)^3
 +$F$11/(1+D1015)^4
 +$G$11/(1+D1015)^5
 +$H$11/(1+D1015)^6
 +$I$11/(1+D1015)^7
 + ( $I$11*(1+F1015)/(D1015-F1015) )/(1+D1015)^7</f>
        <v>431.28612269669105</v>
      </c>
      <c r="H1015" s="7">
        <f ca="1">(G1015-$C$8)/$C$9</f>
        <v>2.3734516208542007</v>
      </c>
    </row>
    <row r="1016" spans="3:8" x14ac:dyDescent="0.35">
      <c r="C1016" s="8">
        <f t="shared" ca="1" si="60"/>
        <v>0.13960303439950539</v>
      </c>
      <c r="D1016" s="7">
        <f t="shared" ca="1" si="61"/>
        <v>8.0699275125334174E-2</v>
      </c>
      <c r="E1016" s="7">
        <f t="shared" ca="1" si="62"/>
        <v>0.94956336857214874</v>
      </c>
      <c r="F1016" s="7">
        <f t="shared" ca="1" si="63"/>
        <v>2.6823944854765545E-2</v>
      </c>
      <c r="G1016" s="7">
        <f ca="1">$C$11/(1+D1016)^1
 +$D$11/(1+D1016)^2
 +$E$11/(1+D1016)^3
 +$F$11/(1+D1016)^4
 +$G$11/(1+D1016)^5
 +$H$11/(1+D1016)^6
 +$I$11/(1+D1016)^7
 + ( $I$11*(1+F1016)/(D1016-F1016) )/(1+D1016)^7</f>
        <v>483.23935256234233</v>
      </c>
      <c r="H1016" s="7">
        <f ca="1">(G1016-$C$8)/$C$9</f>
        <v>2.667171825883889</v>
      </c>
    </row>
    <row r="1017" spans="3:8" x14ac:dyDescent="0.35">
      <c r="C1017" s="8">
        <f t="shared" ca="1" si="60"/>
        <v>0.30364074717376011</v>
      </c>
      <c r="D1017" s="7">
        <f t="shared" ca="1" si="61"/>
        <v>8.5779271614446706E-2</v>
      </c>
      <c r="E1017" s="7">
        <f t="shared" ca="1" si="62"/>
        <v>0.11067508595508913</v>
      </c>
      <c r="F1017" s="7">
        <f t="shared" ca="1" si="63"/>
        <v>1.4704786625450491E-2</v>
      </c>
      <c r="G1017" s="7">
        <f ca="1">$C$11/(1+D1017)^1
 +$D$11/(1+D1017)^2
 +$E$11/(1+D1017)^3
 +$F$11/(1+D1017)^4
 +$G$11/(1+D1017)^5
 +$H$11/(1+D1017)^6
 +$I$11/(1+D1017)^7
 + ( $I$11*(1+F1017)/(D1017-F1017) )/(1+D1017)^7</f>
        <v>384.68587223622148</v>
      </c>
      <c r="H1017" s="7">
        <f ca="1">(G1017-$C$8)/$C$9</f>
        <v>2.1099947548406912</v>
      </c>
    </row>
    <row r="1018" spans="3:8" x14ac:dyDescent="0.35">
      <c r="C1018" s="8">
        <f t="shared" ca="1" si="60"/>
        <v>0.67785217879172222</v>
      </c>
      <c r="D1018" s="7">
        <f t="shared" ca="1" si="61"/>
        <v>9.4148334455254973E-2</v>
      </c>
      <c r="E1018" s="7">
        <f t="shared" ca="1" si="62"/>
        <v>0.7843411481807121</v>
      </c>
      <c r="F1018" s="7">
        <f t="shared" ca="1" si="63"/>
        <v>2.3432521765254372E-2</v>
      </c>
      <c r="G1018" s="7">
        <f ca="1">$C$11/(1+D1018)^1
 +$D$11/(1+D1018)^2
 +$E$11/(1+D1018)^3
 +$F$11/(1+D1018)^4
 +$G$11/(1+D1018)^5
 +$H$11/(1+D1018)^6
 +$I$11/(1+D1018)^7
 + ( $I$11*(1+F1018)/(D1018-F1018) )/(1+D1018)^7</f>
        <v>370.8241258636495</v>
      </c>
      <c r="H1018" s="7">
        <f ca="1">(G1018-$C$8)/$C$9</f>
        <v>2.0316266726800625</v>
      </c>
    </row>
    <row r="1019" spans="3:8" x14ac:dyDescent="0.35">
      <c r="C1019" s="8">
        <f t="shared" ca="1" si="60"/>
        <v>0.75766265751243889</v>
      </c>
      <c r="D1019" s="7">
        <f t="shared" ca="1" si="61"/>
        <v>9.6251431814901686E-2</v>
      </c>
      <c r="E1019" s="7">
        <f t="shared" ca="1" si="62"/>
        <v>0.40313816517513434</v>
      </c>
      <c r="F1019" s="7">
        <f t="shared" ca="1" si="63"/>
        <v>1.8979289116351408E-2</v>
      </c>
      <c r="G1019" s="7">
        <f ca="1">$C$11/(1+D1019)^1
 +$D$11/(1+D1019)^2
 +$E$11/(1+D1019)^3
 +$F$11/(1+D1019)^4
 +$G$11/(1+D1019)^5
 +$H$11/(1+D1019)^6
 +$I$11/(1+D1019)^7
 + ( $I$11*(1+F1019)/(D1019-F1019) )/(1+D1019)^7</f>
        <v>345.30603771654944</v>
      </c>
      <c r="H1019" s="7">
        <f ca="1">(G1019-$C$8)/$C$9</f>
        <v>1.8873588744716725</v>
      </c>
    </row>
    <row r="1020" spans="3:8" x14ac:dyDescent="0.35">
      <c r="C1020" s="8">
        <f t="shared" ca="1" si="60"/>
        <v>0.36043024793041822</v>
      </c>
      <c r="D1020" s="7">
        <f t="shared" ca="1" si="61"/>
        <v>8.7191649231616583E-2</v>
      </c>
      <c r="E1020" s="7">
        <f t="shared" ca="1" si="62"/>
        <v>7.1295798524467213E-2</v>
      </c>
      <c r="F1020" s="7">
        <f t="shared" ca="1" si="63"/>
        <v>1.3776130255286944E-2</v>
      </c>
      <c r="G1020" s="7">
        <f ca="1">$C$11/(1+D1020)^1
 +$D$11/(1+D1020)^2
 +$E$11/(1+D1020)^3
 +$F$11/(1+D1020)^4
 +$G$11/(1+D1020)^5
 +$H$11/(1+D1020)^6
 +$I$11/(1+D1020)^7
 + ( $I$11*(1+F1020)/(D1020-F1020) )/(1+D1020)^7</f>
        <v>373.49852143539158</v>
      </c>
      <c r="H1020" s="7">
        <f ca="1">(G1020-$C$8)/$C$9</f>
        <v>2.0467465029137921</v>
      </c>
    </row>
    <row r="1021" spans="3:8" x14ac:dyDescent="0.35">
      <c r="C1021" s="8">
        <f t="shared" ca="1" si="60"/>
        <v>0.25009309779396671</v>
      </c>
      <c r="D1021" s="7">
        <f t="shared" ca="1" si="61"/>
        <v>8.4320486730242547E-2</v>
      </c>
      <c r="E1021" s="7">
        <f t="shared" ca="1" si="62"/>
        <v>0.42807807255880193</v>
      </c>
      <c r="F1021" s="7">
        <f t="shared" ca="1" si="63"/>
        <v>1.9252870609262854E-2</v>
      </c>
      <c r="G1021" s="7">
        <f ca="1">$C$11/(1+D1021)^1
 +$D$11/(1+D1021)^2
 +$E$11/(1+D1021)^3
 +$F$11/(1+D1021)^4
 +$G$11/(1+D1021)^5
 +$H$11/(1+D1021)^6
 +$I$11/(1+D1021)^7
 + ( $I$11*(1+F1021)/(D1021-F1021) )/(1+D1021)^7</f>
        <v>412.62426091343434</v>
      </c>
      <c r="H1021" s="7">
        <f ca="1">(G1021-$C$8)/$C$9</f>
        <v>2.267945844151031</v>
      </c>
    </row>
    <row r="1022" spans="3:8" x14ac:dyDescent="0.35">
      <c r="C1022" s="8">
        <f t="shared" ca="1" si="60"/>
        <v>0.671038652032662</v>
      </c>
      <c r="D1022" s="7">
        <f t="shared" ca="1" si="61"/>
        <v>9.3981577748900369E-2</v>
      </c>
      <c r="E1022" s="7">
        <f t="shared" ca="1" si="62"/>
        <v>0.97406985117950518</v>
      </c>
      <c r="F1022" s="7">
        <f t="shared" ca="1" si="63"/>
        <v>2.7722714386797527E-2</v>
      </c>
      <c r="G1022" s="7">
        <f ca="1">$C$11/(1+D1022)^1
 +$D$11/(1+D1022)^2
 +$E$11/(1+D1022)^3
 +$F$11/(1+D1022)^4
 +$G$11/(1+D1022)^5
 +$H$11/(1+D1022)^6
 +$I$11/(1+D1022)^7
 + ( $I$11*(1+F1022)/(D1022-F1022) )/(1+D1022)^7</f>
        <v>388.62735548278698</v>
      </c>
      <c r="H1022" s="7">
        <f ca="1">(G1022-$C$8)/$C$9</f>
        <v>2.1322781291428479</v>
      </c>
    </row>
    <row r="1023" spans="3:8" x14ac:dyDescent="0.35">
      <c r="C1023" s="8">
        <f t="shared" ca="1" si="60"/>
        <v>0.95336978624275392</v>
      </c>
      <c r="D1023" s="7">
        <f t="shared" ca="1" si="61"/>
        <v>0.10396911559299535</v>
      </c>
      <c r="E1023" s="7">
        <f t="shared" ca="1" si="62"/>
        <v>0.79090767034569309</v>
      </c>
      <c r="F1023" s="7">
        <f t="shared" ca="1" si="63"/>
        <v>2.3533280125839579E-2</v>
      </c>
      <c r="G1023" s="7">
        <f ca="1">$C$11/(1+D1023)^1
 +$D$11/(1+D1023)^2
 +$E$11/(1+D1023)^3
 +$F$11/(1+D1023)^4
 +$G$11/(1+D1023)^5
 +$H$11/(1+D1023)^6
 +$I$11/(1+D1023)^7
 + ( $I$11*(1+F1023)/(D1023-F1023) )/(1+D1023)^7</f>
        <v>324.12525566163447</v>
      </c>
      <c r="H1023" s="7">
        <f ca="1">(G1023-$C$8)/$C$9</f>
        <v>1.7676122549843649</v>
      </c>
    </row>
    <row r="1024" spans="3:8" x14ac:dyDescent="0.35">
      <c r="C1024" s="8">
        <f t="shared" ca="1" si="60"/>
        <v>0.47711098650907235</v>
      </c>
      <c r="D1024" s="7">
        <f t="shared" ca="1" si="61"/>
        <v>8.9779560382815371E-2</v>
      </c>
      <c r="E1024" s="7">
        <f t="shared" ca="1" si="62"/>
        <v>0.23041259064827491</v>
      </c>
      <c r="F1024" s="7">
        <f t="shared" ca="1" si="63"/>
        <v>1.678841057462312E-2</v>
      </c>
      <c r="G1024" s="7">
        <f ca="1">$C$11/(1+D1024)^1
 +$D$11/(1+D1024)^2
 +$E$11/(1+D1024)^3
 +$F$11/(1+D1024)^4
 +$G$11/(1+D1024)^5
 +$H$11/(1+D1024)^6
 +$I$11/(1+D1024)^7
 + ( $I$11*(1+F1024)/(D1024-F1024) )/(1+D1024)^7</f>
        <v>370.37729223814608</v>
      </c>
      <c r="H1024" s="7">
        <f ca="1">(G1024-$C$8)/$C$9</f>
        <v>2.029100476244607</v>
      </c>
    </row>
    <row r="1025" spans="3:8" x14ac:dyDescent="0.35">
      <c r="C1025" s="8">
        <f t="shared" ca="1" si="60"/>
        <v>0.92989433797097365</v>
      </c>
      <c r="D1025" s="7">
        <f t="shared" ca="1" si="61"/>
        <v>0.10260524399438084</v>
      </c>
      <c r="E1025" s="7">
        <f t="shared" ca="1" si="62"/>
        <v>0.19539733603382747</v>
      </c>
      <c r="F1025" s="7">
        <f t="shared" ca="1" si="63"/>
        <v>1.6251357229175555E-2</v>
      </c>
      <c r="G1025" s="7">
        <f ca="1">$C$11/(1+D1025)^1
 +$D$11/(1+D1025)^2
 +$E$11/(1+D1025)^3
 +$F$11/(1+D1025)^4
 +$G$11/(1+D1025)^5
 +$H$11/(1+D1025)^6
 +$I$11/(1+D1025)^7
 + ( $I$11*(1+F1025)/(D1025-F1025) )/(1+D1025)^7</f>
        <v>311.2333349990646</v>
      </c>
      <c r="H1025" s="7">
        <f ca="1">(G1025-$C$8)/$C$9</f>
        <v>1.6947271313832235</v>
      </c>
    </row>
    <row r="1026" spans="3:8" x14ac:dyDescent="0.35">
      <c r="C1026" s="8">
        <f t="shared" ca="1" si="60"/>
        <v>0.66558404589666231</v>
      </c>
      <c r="D1026" s="7">
        <f t="shared" ca="1" si="61"/>
        <v>9.3849320627273802E-2</v>
      </c>
      <c r="E1026" s="7">
        <f t="shared" ca="1" si="62"/>
        <v>0.1718386340849718</v>
      </c>
      <c r="F1026" s="7">
        <f t="shared" ca="1" si="63"/>
        <v>1.5862399407835868E-2</v>
      </c>
      <c r="G1026" s="7">
        <f ca="1">$C$11/(1+D1026)^1
 +$D$11/(1+D1026)^2
 +$E$11/(1+D1026)^3
 +$F$11/(1+D1026)^4
 +$G$11/(1+D1026)^5
 +$H$11/(1+D1026)^6
 +$I$11/(1+D1026)^7
 + ( $I$11*(1+F1026)/(D1026-F1026) )/(1+D1026)^7</f>
        <v>347.07136814026171</v>
      </c>
      <c r="H1026" s="7">
        <f ca="1">(G1026-$C$8)/$C$9</f>
        <v>1.8973392590471603</v>
      </c>
    </row>
    <row r="1027" spans="3:8" x14ac:dyDescent="0.35">
      <c r="C1027" s="8">
        <f t="shared" ca="1" si="60"/>
        <v>0.20851098888230124</v>
      </c>
      <c r="D1027" s="7">
        <f t="shared" ca="1" si="61"/>
        <v>8.3075894267065908E-2</v>
      </c>
      <c r="E1027" s="7">
        <f t="shared" ca="1" si="62"/>
        <v>0.85948545395187981</v>
      </c>
      <c r="F1027" s="7">
        <f t="shared" ca="1" si="63"/>
        <v>2.4698782289923941E-2</v>
      </c>
      <c r="G1027" s="7">
        <f ca="1">$C$11/(1+D1027)^1
 +$D$11/(1+D1027)^2
 +$E$11/(1+D1027)^3
 +$F$11/(1+D1027)^4
 +$G$11/(1+D1027)^5
 +$H$11/(1+D1027)^6
 +$I$11/(1+D1027)^7
 + ( $I$11*(1+F1027)/(D1027-F1027) )/(1+D1027)^7</f>
        <v>449.57016579092226</v>
      </c>
      <c r="H1027" s="7">
        <f ca="1">(G1027-$C$8)/$C$9</f>
        <v>2.4768213805456933</v>
      </c>
    </row>
    <row r="1028" spans="3:8" x14ac:dyDescent="0.35">
      <c r="C1028" s="8">
        <f t="shared" ca="1" si="60"/>
        <v>0.63809423881365368</v>
      </c>
      <c r="D1028" s="7">
        <f t="shared" ca="1" si="61"/>
        <v>9.3198616315155761E-2</v>
      </c>
      <c r="E1028" s="7">
        <f t="shared" ca="1" si="62"/>
        <v>0.63948102020236486</v>
      </c>
      <c r="F1028" s="7">
        <f t="shared" ca="1" si="63"/>
        <v>2.1508604592911304E-2</v>
      </c>
      <c r="G1028" s="7">
        <f ca="1">$C$11/(1+D1028)^1
 +$D$11/(1+D1028)^2
 +$E$11/(1+D1028)^3
 +$F$11/(1+D1028)^4
 +$G$11/(1+D1028)^5
 +$H$11/(1+D1028)^6
 +$I$11/(1+D1028)^7
 + ( $I$11*(1+F1028)/(D1028-F1028) )/(1+D1028)^7</f>
        <v>368.96212139498994</v>
      </c>
      <c r="H1028" s="7">
        <f ca="1">(G1028-$C$8)/$C$9</f>
        <v>2.0210997365162253</v>
      </c>
    </row>
    <row r="1029" spans="3:8" x14ac:dyDescent="0.35">
      <c r="C1029" s="8">
        <f t="shared" ca="1" si="60"/>
        <v>0.28619887148942114</v>
      </c>
      <c r="D1029" s="7">
        <f t="shared" ca="1" si="61"/>
        <v>8.5319369263168937E-2</v>
      </c>
      <c r="E1029" s="7">
        <f t="shared" ca="1" si="62"/>
        <v>0.2067652508709551</v>
      </c>
      <c r="F1029" s="7">
        <f t="shared" ca="1" si="63"/>
        <v>1.6430633730371451E-2</v>
      </c>
      <c r="G1029" s="7">
        <f ca="1">$C$11/(1+D1029)^1
 +$D$11/(1+D1029)^2
 +$E$11/(1+D1029)^3
 +$F$11/(1+D1029)^4
 +$G$11/(1+D1029)^5
 +$H$11/(1+D1029)^6
 +$I$11/(1+D1029)^7
 + ( $I$11*(1+F1029)/(D1029-F1029) )/(1+D1029)^7</f>
        <v>394.16020470463434</v>
      </c>
      <c r="H1029" s="7">
        <f ca="1">(G1029-$C$8)/$C$9</f>
        <v>2.1635583712383215</v>
      </c>
    </row>
    <row r="1030" spans="3:8" x14ac:dyDescent="0.35">
      <c r="C1030" s="8">
        <f t="shared" ca="1" si="60"/>
        <v>0.35866800323096204</v>
      </c>
      <c r="D1030" s="7">
        <f t="shared" ca="1" si="61"/>
        <v>8.714957033425004E-2</v>
      </c>
      <c r="E1030" s="7">
        <f t="shared" ca="1" si="62"/>
        <v>0.69443197289068603</v>
      </c>
      <c r="F1030" s="7">
        <f t="shared" ca="1" si="63"/>
        <v>2.2182480865270443E-2</v>
      </c>
      <c r="G1030" s="7">
        <f ca="1">$C$11/(1+D1030)^1
 +$D$11/(1+D1030)^2
 +$E$11/(1+D1030)^3
 +$F$11/(1+D1030)^4
 +$G$11/(1+D1030)^5
 +$H$11/(1+D1030)^6
 +$I$11/(1+D1030)^7
 + ( $I$11*(1+F1030)/(D1030-F1030) )/(1+D1030)^7</f>
        <v>407.42409911992058</v>
      </c>
      <c r="H1030" s="7">
        <f ca="1">(G1030-$C$8)/$C$9</f>
        <v>2.2385464672089586</v>
      </c>
    </row>
    <row r="1031" spans="3:8" x14ac:dyDescent="0.35">
      <c r="C1031" s="8">
        <f t="shared" ca="1" si="60"/>
        <v>0.65144895778825518</v>
      </c>
      <c r="D1031" s="7">
        <f t="shared" ca="1" si="61"/>
        <v>9.35115248453606E-2</v>
      </c>
      <c r="E1031" s="7">
        <f t="shared" ca="1" si="62"/>
        <v>0.45229890737412171</v>
      </c>
      <c r="F1031" s="7">
        <f t="shared" ca="1" si="63"/>
        <v>1.9511034721565491E-2</v>
      </c>
      <c r="G1031" s="7">
        <f ca="1">$C$11/(1+D1031)^1
 +$D$11/(1+D1031)^2
 +$E$11/(1+D1031)^3
 +$F$11/(1+D1031)^4
 +$G$11/(1+D1031)^5
 +$H$11/(1+D1031)^6
 +$I$11/(1+D1031)^7
 + ( $I$11*(1+F1031)/(D1031-F1031) )/(1+D1031)^7</f>
        <v>360.37379481462631</v>
      </c>
      <c r="H1031" s="7">
        <f ca="1">(G1031-$C$8)/$C$9</f>
        <v>1.9725451990876657</v>
      </c>
    </row>
    <row r="1032" spans="3:8" x14ac:dyDescent="0.35">
      <c r="C1032" s="8">
        <f t="shared" ca="1" si="60"/>
        <v>0.18031103778331958</v>
      </c>
      <c r="D1032" s="7">
        <f t="shared" ca="1" si="61"/>
        <v>8.2159566233312858E-2</v>
      </c>
      <c r="E1032" s="7">
        <f t="shared" ca="1" si="62"/>
        <v>0.81286751459664242</v>
      </c>
      <c r="F1032" s="7">
        <f t="shared" ca="1" si="63"/>
        <v>2.3882280075005761E-2</v>
      </c>
      <c r="G1032" s="7">
        <f ca="1">$C$11/(1+D1032)^1
 +$D$11/(1+D1032)^2
 +$E$11/(1+D1032)^3
 +$F$11/(1+D1032)^4
 +$G$11/(1+D1032)^5
 +$H$11/(1+D1032)^6
 +$I$11/(1+D1032)^7
 + ( $I$11*(1+F1032)/(D1032-F1032) )/(1+D1032)^7</f>
        <v>452.18894688545851</v>
      </c>
      <c r="H1032" s="7">
        <f ca="1">(G1032-$C$8)/$C$9</f>
        <v>2.4916267915279202</v>
      </c>
    </row>
    <row r="1033" spans="3:8" x14ac:dyDescent="0.35">
      <c r="C1033" s="8">
        <f t="shared" ca="1" si="60"/>
        <v>6.4226816697062317E-2</v>
      </c>
      <c r="D1033" s="7">
        <f t="shared" ca="1" si="61"/>
        <v>7.7257133710466636E-2</v>
      </c>
      <c r="E1033" s="7">
        <f t="shared" ca="1" si="62"/>
        <v>0.66084375374246129</v>
      </c>
      <c r="F1033" s="7">
        <f t="shared" ca="1" si="63"/>
        <v>2.1764027121735544E-2</v>
      </c>
      <c r="G1033" s="7">
        <f ca="1">$C$11/(1+D1033)^1
 +$D$11/(1+D1033)^2
 +$E$11/(1+D1033)^3
 +$F$11/(1+D1033)^4
 +$G$11/(1+D1033)^5
 +$H$11/(1+D1033)^6
 +$I$11/(1+D1033)^7
 + ( $I$11*(1+F1033)/(D1033-F1033) )/(1+D1033)^7</f>
        <v>480.71117260911535</v>
      </c>
      <c r="H1033" s="7">
        <f ca="1">(G1033-$C$8)/$C$9</f>
        <v>2.6528786330230401</v>
      </c>
    </row>
    <row r="1034" spans="3:8" x14ac:dyDescent="0.35">
      <c r="C1034" s="8">
        <f t="shared" ca="1" si="60"/>
        <v>0.25307705960313431</v>
      </c>
      <c r="D1034" s="7">
        <f t="shared" ca="1" si="61"/>
        <v>8.4405665165988353E-2</v>
      </c>
      <c r="E1034" s="7">
        <f t="shared" ca="1" si="62"/>
        <v>0.8792620507308968</v>
      </c>
      <c r="F1034" s="7">
        <f t="shared" ca="1" si="63"/>
        <v>2.5085980275393611E-2</v>
      </c>
      <c r="G1034" s="7">
        <f ca="1">$C$11/(1+D1034)^1
 +$D$11/(1+D1034)^2
 +$E$11/(1+D1034)^3
 +$F$11/(1+D1034)^4
 +$G$11/(1+D1034)^5
 +$H$11/(1+D1034)^6
 +$I$11/(1+D1034)^7
 + ( $I$11*(1+F1034)/(D1034-F1034) )/(1+D1034)^7</f>
        <v>441.3458258606401</v>
      </c>
      <c r="H1034" s="7">
        <f ca="1">(G1034-$C$8)/$C$9</f>
        <v>2.430324659999096</v>
      </c>
    </row>
    <row r="1035" spans="3:8" x14ac:dyDescent="0.35">
      <c r="C1035" s="8">
        <f t="shared" ca="1" si="60"/>
        <v>0.80239426613038667</v>
      </c>
      <c r="D1035" s="7">
        <f t="shared" ca="1" si="61"/>
        <v>9.7584990035513533E-2</v>
      </c>
      <c r="E1035" s="7">
        <f t="shared" ca="1" si="62"/>
        <v>0.96316855830971004</v>
      </c>
      <c r="F1035" s="7">
        <f t="shared" ca="1" si="63"/>
        <v>2.7285909298115113E-2</v>
      </c>
      <c r="G1035" s="7">
        <f ca="1">$C$11/(1+D1035)^1
 +$D$11/(1+D1035)^2
 +$E$11/(1+D1035)^3
 +$F$11/(1+D1035)^4
 +$G$11/(1+D1035)^5
 +$H$11/(1+D1035)^6
 +$I$11/(1+D1035)^7
 + ( $I$11*(1+F1035)/(D1035-F1035) )/(1+D1035)^7</f>
        <v>366.30225820500016</v>
      </c>
      <c r="H1035" s="7">
        <f ca="1">(G1035-$C$8)/$C$9</f>
        <v>2.0060620658355957</v>
      </c>
    </row>
    <row r="1036" spans="3:8" x14ac:dyDescent="0.35">
      <c r="C1036" s="8">
        <f t="shared" ca="1" si="60"/>
        <v>0.12561202124510851</v>
      </c>
      <c r="D1036" s="7">
        <f t="shared" ca="1" si="61"/>
        <v>8.0148983073243793E-2</v>
      </c>
      <c r="E1036" s="7">
        <f t="shared" ca="1" si="62"/>
        <v>0.56028697455610865</v>
      </c>
      <c r="F1036" s="7">
        <f t="shared" ca="1" si="63"/>
        <v>2.0622228138370058E-2</v>
      </c>
      <c r="G1036" s="7">
        <f ca="1">$C$11/(1+D1036)^1
 +$D$11/(1+D1036)^2
 +$E$11/(1+D1036)^3
 +$F$11/(1+D1036)^4
 +$G$11/(1+D1036)^5
 +$H$11/(1+D1036)^6
 +$I$11/(1+D1036)^7
 + ( $I$11*(1+F1036)/(D1036-F1036) )/(1+D1036)^7</f>
        <v>449.56259590900868</v>
      </c>
      <c r="H1036" s="7">
        <f ca="1">(G1036-$C$8)/$C$9</f>
        <v>2.4767785838365484</v>
      </c>
    </row>
    <row r="1037" spans="3:8" x14ac:dyDescent="0.35">
      <c r="C1037" s="8">
        <f t="shared" ca="1" si="60"/>
        <v>0.94820376653501037</v>
      </c>
      <c r="D1037" s="7">
        <f t="shared" ca="1" si="61"/>
        <v>0.10364381701784067</v>
      </c>
      <c r="E1037" s="7">
        <f t="shared" ca="1" si="62"/>
        <v>0.68403071986570152</v>
      </c>
      <c r="F1037" s="7">
        <f t="shared" ca="1" si="63"/>
        <v>2.2050543664698843E-2</v>
      </c>
      <c r="G1037" s="7">
        <f ca="1">$C$11/(1+D1037)^1
 +$D$11/(1+D1037)^2
 +$E$11/(1+D1037)^3
 +$F$11/(1+D1037)^4
 +$G$11/(1+D1037)^5
 +$H$11/(1+D1037)^6
 +$I$11/(1+D1037)^7
 + ( $I$11*(1+F1037)/(D1037-F1037) )/(1+D1037)^7</f>
        <v>321.53786734952473</v>
      </c>
      <c r="H1037" s="7">
        <f ca="1">(G1037-$C$8)/$C$9</f>
        <v>1.7529843246807142</v>
      </c>
    </row>
    <row r="1038" spans="3:8" x14ac:dyDescent="0.35">
      <c r="C1038" s="8">
        <f t="shared" ca="1" si="60"/>
        <v>0.44238697210679234</v>
      </c>
      <c r="D1038" s="7">
        <f t="shared" ca="1" si="61"/>
        <v>8.9046189044729385E-2</v>
      </c>
      <c r="E1038" s="7">
        <f t="shared" ca="1" si="62"/>
        <v>0.9513870011554294</v>
      </c>
      <c r="F1038" s="7">
        <f t="shared" ca="1" si="63"/>
        <v>2.688189163611748E-2</v>
      </c>
      <c r="G1038" s="7">
        <f ca="1">$C$11/(1+D1038)^1
 +$D$11/(1+D1038)^2
 +$E$11/(1+D1038)^3
 +$F$11/(1+D1038)^4
 +$G$11/(1+D1038)^5
 +$H$11/(1+D1038)^6
 +$I$11/(1+D1038)^7
 + ( $I$11*(1+F1038)/(D1038-F1038) )/(1+D1038)^7</f>
        <v>416.80764089132344</v>
      </c>
      <c r="H1038" s="7">
        <f ca="1">(G1038-$C$8)/$C$9</f>
        <v>2.2915967938224977</v>
      </c>
    </row>
    <row r="1039" spans="3:8" x14ac:dyDescent="0.35">
      <c r="C1039" s="8">
        <f t="shared" ca="1" si="60"/>
        <v>0.43703085548844967</v>
      </c>
      <c r="D1039" s="7">
        <f t="shared" ca="1" si="61"/>
        <v>8.8930538859222391E-2</v>
      </c>
      <c r="E1039" s="7">
        <f t="shared" ca="1" si="62"/>
        <v>0.19448474652854153</v>
      </c>
      <c r="F1039" s="7">
        <f t="shared" ca="1" si="63"/>
        <v>1.6236741882241744E-2</v>
      </c>
      <c r="G1039" s="7">
        <f ca="1">$C$11/(1+D1039)^1
 +$D$11/(1+D1039)^2
 +$E$11/(1+D1039)^3
 +$F$11/(1+D1039)^4
 +$G$11/(1+D1039)^5
 +$H$11/(1+D1039)^6
 +$I$11/(1+D1039)^7
 + ( $I$11*(1+F1039)/(D1039-F1039) )/(1+D1039)^7</f>
        <v>372.95006711512934</v>
      </c>
      <c r="H1039" s="7">
        <f ca="1">(G1039-$C$8)/$C$9</f>
        <v>2.0436457887558195</v>
      </c>
    </row>
    <row r="1040" spans="3:8" x14ac:dyDescent="0.35">
      <c r="C1040" s="8">
        <f t="shared" ca="1" si="60"/>
        <v>0.79363392205800476</v>
      </c>
      <c r="D1040" s="7">
        <f t="shared" ca="1" si="61"/>
        <v>9.7312780415128128E-2</v>
      </c>
      <c r="E1040" s="7">
        <f t="shared" ca="1" si="62"/>
        <v>0.17049380875938902</v>
      </c>
      <c r="F1040" s="7">
        <f t="shared" ca="1" si="63"/>
        <v>1.5839414504201409E-2</v>
      </c>
      <c r="G1040" s="7">
        <f ca="1">$C$11/(1+D1040)^1
 +$D$11/(1+D1040)^2
 +$E$11/(1+D1040)^3
 +$F$11/(1+D1040)^4
 +$G$11/(1+D1040)^5
 +$H$11/(1+D1040)^6
 +$I$11/(1+D1040)^7
 + ( $I$11*(1+F1040)/(D1040-F1040) )/(1+D1040)^7</f>
        <v>331.51881930984837</v>
      </c>
      <c r="H1040" s="7">
        <f ca="1">(G1040-$C$8)/$C$9</f>
        <v>1.8094121399245158</v>
      </c>
    </row>
    <row r="1041" spans="3:8" x14ac:dyDescent="0.35">
      <c r="C1041" s="8">
        <f t="shared" ref="C1041:C1104" ca="1" si="64">RAND()</f>
        <v>0.48535359673870659</v>
      </c>
      <c r="D1041" s="7">
        <f t="shared" ref="D1041:D1104" ca="1" si="65">IF(C1041&lt;(0.0905-0.07)/(0.11-0.07),
 0.07+SQRT(C1041*(0.11-0.07)*(0.0905-0.07)),
 0.11-SQRT((1-C1041)*(0.11-0.07)*(0.11-0.0905))
)</f>
        <v>8.9949685444280558E-2</v>
      </c>
      <c r="E1041" s="7">
        <f t="shared" ref="E1041:E1104" ca="1" si="66">RAND()</f>
        <v>0.86612730838724594</v>
      </c>
      <c r="F1041" s="7">
        <f t="shared" ref="F1041:F1104" ca="1" si="67">MIN(
 IF(E1041&lt;(0.02-0.01)/(0.03-0.01),
   0.01+SQRT(E1041*(0.03-0.01)*(0.02-0.01)),
   0.03-SQRT((1-E1041)*(0.03-0.01)*(0.03-0.02))
 ),
 D1041-0.005
)</f>
        <v>2.4825588118196348E-2</v>
      </c>
      <c r="G1041" s="7">
        <f ca="1">$C$11/(1+D1041)^1
 +$D$11/(1+D1041)^2
 +$E$11/(1+D1041)^3
 +$F$11/(1+D1041)^4
 +$G$11/(1+D1041)^5
 +$H$11/(1+D1041)^6
 +$I$11/(1+D1041)^7
 + ( $I$11*(1+F1041)/(D1041-F1041) )/(1+D1041)^7</f>
        <v>401.21822903810698</v>
      </c>
      <c r="H1041" s="7">
        <f ca="1">(G1041-$C$8)/$C$9</f>
        <v>2.2034612677414458</v>
      </c>
    </row>
    <row r="1042" spans="3:8" x14ac:dyDescent="0.35">
      <c r="C1042" s="8">
        <f t="shared" ca="1" si="64"/>
        <v>0.65940961651376373</v>
      </c>
      <c r="D1042" s="7">
        <f t="shared" ca="1" si="65"/>
        <v>9.3700904960113143E-2</v>
      </c>
      <c r="E1042" s="7">
        <f t="shared" ca="1" si="66"/>
        <v>0.20816602742478874</v>
      </c>
      <c r="F1042" s="7">
        <f t="shared" ca="1" si="67"/>
        <v>1.6452379831113303E-2</v>
      </c>
      <c r="G1042" s="7">
        <f ca="1">$C$11/(1+D1042)^1
 +$D$11/(1+D1042)^2
 +$E$11/(1+D1042)^3
 +$F$11/(1+D1042)^4
 +$G$11/(1+D1042)^5
 +$H$11/(1+D1042)^6
 +$I$11/(1+D1042)^7
 + ( $I$11*(1+F1042)/(D1042-F1042) )/(1+D1042)^7</f>
        <v>349.5748921913746</v>
      </c>
      <c r="H1042" s="7">
        <f ca="1">(G1042-$C$8)/$C$9</f>
        <v>1.9114930585220182</v>
      </c>
    </row>
    <row r="1043" spans="3:8" x14ac:dyDescent="0.35">
      <c r="C1043" s="8">
        <f t="shared" ca="1" si="64"/>
        <v>0.77976528018189106</v>
      </c>
      <c r="D1043" s="7">
        <f t="shared" ca="1" si="65"/>
        <v>9.6893395502338331E-2</v>
      </c>
      <c r="E1043" s="7">
        <f t="shared" ca="1" si="66"/>
        <v>0.10238167803817244</v>
      </c>
      <c r="F1043" s="7">
        <f t="shared" ca="1" si="67"/>
        <v>1.4525078519499357E-2</v>
      </c>
      <c r="G1043" s="7">
        <f ca="1">$C$11/(1+D1043)^1
 +$D$11/(1+D1043)^2
 +$E$11/(1+D1043)^3
 +$F$11/(1+D1043)^4
 +$G$11/(1+D1043)^5
 +$H$11/(1+D1043)^6
 +$I$11/(1+D1043)^7
 + ( $I$11*(1+F1043)/(D1043-F1043) )/(1+D1043)^7</f>
        <v>329.75656568176976</v>
      </c>
      <c r="H1043" s="7">
        <f ca="1">(G1043-$C$8)/$C$9</f>
        <v>1.7994491501683048</v>
      </c>
    </row>
    <row r="1044" spans="3:8" x14ac:dyDescent="0.35">
      <c r="C1044" s="8">
        <f t="shared" ca="1" si="64"/>
        <v>0.54357593106852009</v>
      </c>
      <c r="D1044" s="7">
        <f t="shared" ca="1" si="65"/>
        <v>9.1131752233804153E-2</v>
      </c>
      <c r="E1044" s="7">
        <f t="shared" ca="1" si="66"/>
        <v>0.69565522111685152</v>
      </c>
      <c r="F1044" s="7">
        <f t="shared" ca="1" si="67"/>
        <v>2.2198144081269529E-2</v>
      </c>
      <c r="G1044" s="7">
        <f ca="1">$C$11/(1+D1044)^1
 +$D$11/(1+D1044)^2
 +$E$11/(1+D1044)^3
 +$F$11/(1+D1044)^4
 +$G$11/(1+D1044)^5
 +$H$11/(1+D1044)^6
 +$I$11/(1+D1044)^7
 + ( $I$11*(1+F1044)/(D1044-F1044) )/(1+D1044)^7</f>
        <v>383.06128635041318</v>
      </c>
      <c r="H1044" s="7">
        <f ca="1">(G1044-$C$8)/$C$9</f>
        <v>2.1008100766079441</v>
      </c>
    </row>
    <row r="1045" spans="3:8" x14ac:dyDescent="0.35">
      <c r="C1045" s="8">
        <f t="shared" ca="1" si="64"/>
        <v>0.84874108097818401</v>
      </c>
      <c r="D1045" s="7">
        <f t="shared" ca="1" si="65"/>
        <v>9.9138050044443385E-2</v>
      </c>
      <c r="E1045" s="7">
        <f t="shared" ca="1" si="66"/>
        <v>0.67868658013949079</v>
      </c>
      <c r="F1045" s="7">
        <f t="shared" ca="1" si="67"/>
        <v>2.1983599063663178E-2</v>
      </c>
      <c r="G1045" s="7">
        <f ca="1">$C$11/(1+D1045)^1
 +$D$11/(1+D1045)^2
 +$E$11/(1+D1045)^3
 +$F$11/(1+D1045)^4
 +$G$11/(1+D1045)^5
 +$H$11/(1+D1045)^6
 +$I$11/(1+D1045)^7
 + ( $I$11*(1+F1045)/(D1045-F1045) )/(1+D1045)^7</f>
        <v>340.9879217024677</v>
      </c>
      <c r="H1045" s="7">
        <f ca="1">(G1045-$C$8)/$C$9</f>
        <v>1.8629461878248965</v>
      </c>
    </row>
    <row r="1046" spans="3:8" x14ac:dyDescent="0.35">
      <c r="C1046" s="8">
        <f t="shared" ca="1" si="64"/>
        <v>0.47881097001129858</v>
      </c>
      <c r="D1046" s="7">
        <f t="shared" ca="1" si="65"/>
        <v>8.9814767104593102E-2</v>
      </c>
      <c r="E1046" s="7">
        <f t="shared" ca="1" si="66"/>
        <v>0.44325840848184117</v>
      </c>
      <c r="F1046" s="7">
        <f t="shared" ca="1" si="67"/>
        <v>1.9415502200964545E-2</v>
      </c>
      <c r="G1046" s="7">
        <f ca="1">$C$11/(1+D1046)^1
 +$D$11/(1+D1046)^2
 +$E$11/(1+D1046)^3
 +$F$11/(1+D1046)^4
 +$G$11/(1+D1046)^5
 +$H$11/(1+D1046)^6
 +$I$11/(1+D1046)^7
 + ( $I$11*(1+F1046)/(D1046-F1046) )/(1+D1046)^7</f>
        <v>379.81337284740482</v>
      </c>
      <c r="H1046" s="7">
        <f ca="1">(G1046-$C$8)/$C$9</f>
        <v>2.082447833827481</v>
      </c>
    </row>
    <row r="1047" spans="3:8" x14ac:dyDescent="0.35">
      <c r="C1047" s="8">
        <f t="shared" ca="1" si="64"/>
        <v>0.89248153663085339</v>
      </c>
      <c r="D1047" s="7">
        <f t="shared" ca="1" si="65"/>
        <v>0.10084224910647083</v>
      </c>
      <c r="E1047" s="7">
        <f t="shared" ca="1" si="66"/>
        <v>0.28858789951112851</v>
      </c>
      <c r="F1047" s="7">
        <f t="shared" ca="1" si="67"/>
        <v>1.7597208691501484E-2</v>
      </c>
      <c r="G1047" s="7">
        <f ca="1">$C$11/(1+D1047)^1
 +$D$11/(1+D1047)^2
 +$E$11/(1+D1047)^3
 +$F$11/(1+D1047)^4
 +$G$11/(1+D1047)^5
 +$H$11/(1+D1047)^6
 +$I$11/(1+D1047)^7
 + ( $I$11*(1+F1047)/(D1047-F1047) )/(1+D1047)^7</f>
        <v>321.45395874540867</v>
      </c>
      <c r="H1047" s="7">
        <f ca="1">(G1047-$C$8)/$C$9</f>
        <v>1.7525099431558608</v>
      </c>
    </row>
    <row r="1048" spans="3:8" x14ac:dyDescent="0.35">
      <c r="C1048" s="8">
        <f t="shared" ca="1" si="64"/>
        <v>0.83415027302982403</v>
      </c>
      <c r="D1048" s="7">
        <f t="shared" ca="1" si="65"/>
        <v>9.8626223712559788E-2</v>
      </c>
      <c r="E1048" s="7">
        <f t="shared" ca="1" si="66"/>
        <v>0.94731477202093706</v>
      </c>
      <c r="F1048" s="7">
        <f t="shared" ca="1" si="67"/>
        <v>2.6753918424344117E-2</v>
      </c>
      <c r="G1048" s="7">
        <f ca="1">$C$11/(1+D1048)^1
 +$D$11/(1+D1048)^2
 +$E$11/(1+D1048)^3
 +$F$11/(1+D1048)^4
 +$G$11/(1+D1048)^5
 +$H$11/(1+D1048)^6
 +$I$11/(1+D1048)^7
 + ( $I$11*(1+F1048)/(D1048-F1048) )/(1+D1048)^7</f>
        <v>358.9030381602488</v>
      </c>
      <c r="H1048" s="7">
        <f ca="1">(G1048-$C$8)/$C$9</f>
        <v>1.9642302021723699</v>
      </c>
    </row>
    <row r="1049" spans="3:8" x14ac:dyDescent="0.35">
      <c r="C1049" s="8">
        <f t="shared" ca="1" si="64"/>
        <v>0.72193326876291353</v>
      </c>
      <c r="D1049" s="7">
        <f t="shared" ca="1" si="65"/>
        <v>9.5272744642502891E-2</v>
      </c>
      <c r="E1049" s="7">
        <f t="shared" ca="1" si="66"/>
        <v>0.49498335750566835</v>
      </c>
      <c r="F1049" s="7">
        <f t="shared" ca="1" si="67"/>
        <v>1.9949707106298842E-2</v>
      </c>
      <c r="G1049" s="7">
        <f ca="1">$C$11/(1+D1049)^1
 +$D$11/(1+D1049)^2
 +$E$11/(1+D1049)^3
 +$F$11/(1+D1049)^4
 +$G$11/(1+D1049)^5
 +$H$11/(1+D1049)^6
 +$I$11/(1+D1049)^7
 + ( $I$11*(1+F1049)/(D1049-F1049) )/(1+D1049)^7</f>
        <v>353.02841200892357</v>
      </c>
      <c r="H1049" s="7">
        <f ca="1">(G1049-$C$8)/$C$9</f>
        <v>1.9310177069703955</v>
      </c>
    </row>
    <row r="1050" spans="3:8" x14ac:dyDescent="0.35">
      <c r="C1050" s="8">
        <f t="shared" ca="1" si="64"/>
        <v>0.69843406216223125</v>
      </c>
      <c r="D1050" s="7">
        <f t="shared" ca="1" si="65"/>
        <v>9.46630696841428E-2</v>
      </c>
      <c r="E1050" s="7">
        <f t="shared" ca="1" si="66"/>
        <v>4.1578214958860937E-2</v>
      </c>
      <c r="F1050" s="7">
        <f t="shared" ca="1" si="67"/>
        <v>1.2883685661054649E-2</v>
      </c>
      <c r="G1050" s="7">
        <f ca="1">$C$11/(1+D1050)^1
 +$D$11/(1+D1050)^2
 +$E$11/(1+D1050)^3
 +$F$11/(1+D1050)^4
 +$G$11/(1+D1050)^5
 +$H$11/(1+D1050)^6
 +$I$11/(1+D1050)^7
 + ( $I$11*(1+F1050)/(D1050-F1050) )/(1+D1050)^7</f>
        <v>334.83287699810376</v>
      </c>
      <c r="H1050" s="7">
        <f ca="1">(G1050-$C$8)/$C$9</f>
        <v>1.8281483321919025</v>
      </c>
    </row>
    <row r="1051" spans="3:8" x14ac:dyDescent="0.35">
      <c r="C1051" s="8">
        <f t="shared" ca="1" si="64"/>
        <v>0.36083050902953218</v>
      </c>
      <c r="D1051" s="7">
        <f t="shared" ca="1" si="65"/>
        <v>8.7201192325074922E-2</v>
      </c>
      <c r="E1051" s="7">
        <f t="shared" ca="1" si="66"/>
        <v>0.10492211891595171</v>
      </c>
      <c r="F1051" s="7">
        <f t="shared" ca="1" si="67"/>
        <v>1.4580875875112788E-2</v>
      </c>
      <c r="G1051" s="7">
        <f ca="1">$C$11/(1+D1051)^1
 +$D$11/(1+D1051)^2
 +$E$11/(1+D1051)^3
 +$F$11/(1+D1051)^4
 +$G$11/(1+D1051)^5
 +$H$11/(1+D1051)^6
 +$I$11/(1+D1051)^7
 + ( $I$11*(1+F1051)/(D1051-F1051) )/(1+D1051)^7</f>
        <v>376.33089595554634</v>
      </c>
      <c r="H1051" s="7">
        <f ca="1">(G1051-$C$8)/$C$9</f>
        <v>2.0627594750991989</v>
      </c>
    </row>
    <row r="1052" spans="3:8" x14ac:dyDescent="0.35">
      <c r="C1052" s="8">
        <f t="shared" ca="1" si="64"/>
        <v>0.59067632410937487</v>
      </c>
      <c r="D1052" s="7">
        <f t="shared" ca="1" si="65"/>
        <v>9.2131802911466207E-2</v>
      </c>
      <c r="E1052" s="7">
        <f t="shared" ca="1" si="66"/>
        <v>0.62064570791882279</v>
      </c>
      <c r="F1052" s="7">
        <f t="shared" ca="1" si="67"/>
        <v>2.1289612039855202E-2</v>
      </c>
      <c r="G1052" s="7">
        <f ca="1">$C$11/(1+D1052)^1
 +$D$11/(1+D1052)^2
 +$E$11/(1+D1052)^3
 +$F$11/(1+D1052)^4
 +$G$11/(1+D1052)^5
 +$H$11/(1+D1052)^6
 +$I$11/(1+D1052)^7
 + ( $I$11*(1+F1052)/(D1052-F1052) )/(1+D1052)^7</f>
        <v>373.95522392643329</v>
      </c>
      <c r="H1052" s="7">
        <f ca="1">(G1052-$C$8)/$C$9</f>
        <v>2.0493284934782525</v>
      </c>
    </row>
    <row r="1053" spans="3:8" x14ac:dyDescent="0.35">
      <c r="C1053" s="8">
        <f t="shared" ca="1" si="64"/>
        <v>0.50060972218378297</v>
      </c>
      <c r="D1053" s="7">
        <f t="shared" ca="1" si="65"/>
        <v>9.0260798903071468E-2</v>
      </c>
      <c r="E1053" s="7">
        <f t="shared" ca="1" si="66"/>
        <v>8.5863421513063032E-2</v>
      </c>
      <c r="F1053" s="7">
        <f t="shared" ca="1" si="67"/>
        <v>1.414399376237617E-2</v>
      </c>
      <c r="G1053" s="7">
        <f ca="1">$C$11/(1+D1053)^1
 +$D$11/(1+D1053)^2
 +$E$11/(1+D1053)^3
 +$F$11/(1+D1053)^4
 +$G$11/(1+D1053)^5
 +$H$11/(1+D1053)^6
 +$I$11/(1+D1053)^7
 + ( $I$11*(1+F1053)/(D1053-F1053) )/(1+D1053)^7</f>
        <v>358.95522487527683</v>
      </c>
      <c r="H1053" s="7">
        <f ca="1">(G1053-$C$8)/$C$9</f>
        <v>1.9645252423975397</v>
      </c>
    </row>
    <row r="1054" spans="3:8" x14ac:dyDescent="0.35">
      <c r="C1054" s="8">
        <f t="shared" ca="1" si="64"/>
        <v>0.33886009455921695</v>
      </c>
      <c r="D1054" s="7">
        <f t="shared" ca="1" si="65"/>
        <v>8.6669291452804997E-2</v>
      </c>
      <c r="E1054" s="7">
        <f t="shared" ca="1" si="66"/>
        <v>8.6918228375398088E-2</v>
      </c>
      <c r="F1054" s="7">
        <f t="shared" ca="1" si="67"/>
        <v>1.4169369937422155E-2</v>
      </c>
      <c r="G1054" s="7">
        <f ca="1">$C$11/(1+D1054)^1
 +$D$11/(1+D1054)^2
 +$E$11/(1+D1054)^3
 +$F$11/(1+D1054)^4
 +$G$11/(1+D1054)^5
 +$H$11/(1+D1054)^6
 +$I$11/(1+D1054)^7
 + ( $I$11*(1+F1054)/(D1054-F1054) )/(1+D1054)^7</f>
        <v>377.73454743360162</v>
      </c>
      <c r="H1054" s="7">
        <f ca="1">(G1054-$C$8)/$C$9</f>
        <v>2.070695089516065</v>
      </c>
    </row>
    <row r="1055" spans="3:8" x14ac:dyDescent="0.35">
      <c r="C1055" s="8">
        <f t="shared" ca="1" si="64"/>
        <v>0.76411768430457705</v>
      </c>
      <c r="D1055" s="7">
        <f t="shared" ca="1" si="65"/>
        <v>9.6435774764387389E-2</v>
      </c>
      <c r="E1055" s="7">
        <f t="shared" ca="1" si="66"/>
        <v>0.14383081475900905</v>
      </c>
      <c r="F1055" s="7">
        <f t="shared" ca="1" si="67"/>
        <v>1.5363409638634905E-2</v>
      </c>
      <c r="G1055" s="7">
        <f ca="1">$C$11/(1+D1055)^1
 +$D$11/(1+D1055)^2
 +$E$11/(1+D1055)^3
 +$F$11/(1+D1055)^4
 +$G$11/(1+D1055)^5
 +$H$11/(1+D1055)^6
 +$I$11/(1+D1055)^7
 + ( $I$11*(1+F1055)/(D1055-F1055) )/(1+D1055)^7</f>
        <v>333.98954381484486</v>
      </c>
      <c r="H1055" s="7">
        <f ca="1">(G1055-$C$8)/$C$9</f>
        <v>1.8233805055113346</v>
      </c>
    </row>
    <row r="1056" spans="3:8" x14ac:dyDescent="0.35">
      <c r="C1056" s="8">
        <f t="shared" ca="1" si="64"/>
        <v>0.4028810955661003</v>
      </c>
      <c r="D1056" s="7">
        <f t="shared" ca="1" si="65"/>
        <v>8.8175876825182395E-2</v>
      </c>
      <c r="E1056" s="7">
        <f t="shared" ca="1" si="66"/>
        <v>0.15688201934123758</v>
      </c>
      <c r="F1056" s="7">
        <f t="shared" ca="1" si="67"/>
        <v>1.5601464439612869E-2</v>
      </c>
      <c r="G1056" s="7">
        <f ca="1">$C$11/(1+D1056)^1
 +$D$11/(1+D1056)^2
 +$E$11/(1+D1056)^3
 +$F$11/(1+D1056)^4
 +$G$11/(1+D1056)^5
 +$H$11/(1+D1056)^6
 +$I$11/(1+D1056)^7
 + ( $I$11*(1+F1056)/(D1056-F1056) )/(1+D1056)^7</f>
        <v>374.73531684495777</v>
      </c>
      <c r="H1056" s="7">
        <f ca="1">(G1056-$C$8)/$C$9</f>
        <v>2.053738788132959</v>
      </c>
    </row>
    <row r="1057" spans="3:8" x14ac:dyDescent="0.35">
      <c r="C1057" s="8">
        <f t="shared" ca="1" si="64"/>
        <v>0.36062826733558306</v>
      </c>
      <c r="D1057" s="7">
        <f t="shared" ca="1" si="65"/>
        <v>8.7196371105997289E-2</v>
      </c>
      <c r="E1057" s="7">
        <f t="shared" ca="1" si="66"/>
        <v>0.9067041768283246</v>
      </c>
      <c r="F1057" s="7">
        <f t="shared" ca="1" si="67"/>
        <v>2.5680374479849544E-2</v>
      </c>
      <c r="G1057" s="7">
        <f ca="1">$C$11/(1+D1057)^1
 +$D$11/(1+D1057)^2
 +$E$11/(1+D1057)^3
 +$F$11/(1+D1057)^4
 +$G$11/(1+D1057)^5
 +$H$11/(1+D1057)^6
 +$I$11/(1+D1057)^7
 + ( $I$11*(1+F1057)/(D1057-F1057) )/(1+D1057)^7</f>
        <v>423.82908532495645</v>
      </c>
      <c r="H1057" s="7">
        <f ca="1">(G1057-$C$8)/$C$9</f>
        <v>2.3312928840171665</v>
      </c>
    </row>
    <row r="1058" spans="3:8" x14ac:dyDescent="0.35">
      <c r="C1058" s="8">
        <f t="shared" ca="1" si="64"/>
        <v>0.65479050237134573</v>
      </c>
      <c r="D1058" s="7">
        <f t="shared" ca="1" si="65"/>
        <v>9.359075235879627E-2</v>
      </c>
      <c r="E1058" s="7">
        <f t="shared" ca="1" si="66"/>
        <v>0.53161876848598011</v>
      </c>
      <c r="F1058" s="7">
        <f t="shared" ca="1" si="67"/>
        <v>2.0321351008389447E-2</v>
      </c>
      <c r="G1058" s="7">
        <f ca="1">$C$11/(1+D1058)^1
 +$D$11/(1+D1058)^2
 +$E$11/(1+D1058)^3
 +$F$11/(1+D1058)^4
 +$G$11/(1+D1058)^5
 +$H$11/(1+D1058)^6
 +$I$11/(1+D1058)^7
 + ( $I$11*(1+F1058)/(D1058-F1058) )/(1+D1058)^7</f>
        <v>362.72478044448479</v>
      </c>
      <c r="H1058" s="7">
        <f ca="1">(G1058-$C$8)/$C$9</f>
        <v>1.9858366149054996</v>
      </c>
    </row>
    <row r="1059" spans="3:8" x14ac:dyDescent="0.35">
      <c r="C1059" s="8">
        <f t="shared" ca="1" si="64"/>
        <v>0.56309206349706276</v>
      </c>
      <c r="D1059" s="7">
        <f t="shared" ca="1" si="65"/>
        <v>9.153955064273106E-2</v>
      </c>
      <c r="E1059" s="7">
        <f t="shared" ca="1" si="66"/>
        <v>0.76409246881741322</v>
      </c>
      <c r="F1059" s="7">
        <f t="shared" ca="1" si="67"/>
        <v>2.313112045261257E-2</v>
      </c>
      <c r="G1059" s="7">
        <f ca="1">$C$11/(1+D1059)^1
 +$D$11/(1+D1059)^2
 +$E$11/(1+D1059)^3
 +$F$11/(1+D1059)^4
 +$G$11/(1+D1059)^5
 +$H$11/(1+D1059)^6
 +$I$11/(1+D1059)^7
 + ( $I$11*(1+F1059)/(D1059-F1059) )/(1+D1059)^7</f>
        <v>384.38731553767832</v>
      </c>
      <c r="H1059" s="7">
        <f ca="1">(G1059-$C$8)/$C$9</f>
        <v>2.1083068494893618</v>
      </c>
    </row>
    <row r="1060" spans="3:8" x14ac:dyDescent="0.35">
      <c r="C1060" s="8">
        <f t="shared" ca="1" si="64"/>
        <v>0.6894243503059182</v>
      </c>
      <c r="D1060" s="7">
        <f t="shared" ca="1" si="65"/>
        <v>9.443564949118069E-2</v>
      </c>
      <c r="E1060" s="7">
        <f t="shared" ca="1" si="66"/>
        <v>0.58037259202661751</v>
      </c>
      <c r="F1060" s="7">
        <f t="shared" ca="1" si="67"/>
        <v>2.0838914824395718E-2</v>
      </c>
      <c r="G1060" s="7">
        <f ca="1">$C$11/(1+D1060)^1
 +$D$11/(1+D1060)^2
 +$E$11/(1+D1060)^3
 +$F$11/(1+D1060)^4
 +$G$11/(1+D1060)^5
 +$H$11/(1+D1060)^6
 +$I$11/(1+D1060)^7
 + ( $I$11*(1+F1060)/(D1060-F1060) )/(1+D1060)^7</f>
        <v>360.15194566030664</v>
      </c>
      <c r="H1060" s="7">
        <f ca="1">(G1060-$C$8)/$C$9</f>
        <v>1.9712909637059397</v>
      </c>
    </row>
    <row r="1061" spans="3:8" x14ac:dyDescent="0.35">
      <c r="C1061" s="8">
        <f t="shared" ca="1" si="64"/>
        <v>0.39762528110667161</v>
      </c>
      <c r="D1061" s="7">
        <f t="shared" ca="1" si="65"/>
        <v>8.8056930262574273E-2</v>
      </c>
      <c r="E1061" s="7">
        <f t="shared" ca="1" si="66"/>
        <v>0.60425342822909622</v>
      </c>
      <c r="F1061" s="7">
        <f t="shared" ca="1" si="67"/>
        <v>2.1103409959193312E-2</v>
      </c>
      <c r="G1061" s="7">
        <f ca="1">$C$11/(1+D1061)^1
 +$D$11/(1+D1061)^2
 +$E$11/(1+D1061)^3
 +$F$11/(1+D1061)^4
 +$G$11/(1+D1061)^5
 +$H$11/(1+D1061)^6
 +$I$11/(1+D1061)^7
 + ( $I$11*(1+F1061)/(D1061-F1061) )/(1+D1061)^7</f>
        <v>396.94548670873786</v>
      </c>
      <c r="H1061" s="7">
        <f ca="1">(G1061-$C$8)/$C$9</f>
        <v>2.1793051035093729</v>
      </c>
    </row>
    <row r="1062" spans="3:8" x14ac:dyDescent="0.35">
      <c r="C1062" s="8">
        <f t="shared" ca="1" si="64"/>
        <v>0.17818246517141478</v>
      </c>
      <c r="D1062" s="7">
        <f t="shared" ca="1" si="65"/>
        <v>8.2087581289925632E-2</v>
      </c>
      <c r="E1062" s="7">
        <f t="shared" ca="1" si="66"/>
        <v>0.98937566483801753</v>
      </c>
      <c r="F1062" s="7">
        <f t="shared" ca="1" si="67"/>
        <v>2.8542307634513889E-2</v>
      </c>
      <c r="G1062" s="7">
        <f ca="1">$C$11/(1+D1062)^1
 +$D$11/(1+D1062)^2
 +$E$11/(1+D1062)^3
 +$F$11/(1+D1062)^4
 +$G$11/(1+D1062)^5
 +$H$11/(1+D1062)^6
 +$I$11/(1+D1062)^7
 + ( $I$11*(1+F1062)/(D1062-F1062) )/(1+D1062)^7</f>
        <v>482.15244836475188</v>
      </c>
      <c r="H1062" s="7">
        <f ca="1">(G1062-$C$8)/$C$9</f>
        <v>2.6610269581905919</v>
      </c>
    </row>
    <row r="1063" spans="3:8" x14ac:dyDescent="0.35">
      <c r="C1063" s="8">
        <f t="shared" ca="1" si="64"/>
        <v>0.35453701783199354</v>
      </c>
      <c r="D1063" s="7">
        <f t="shared" ca="1" si="65"/>
        <v>8.7050523587920536E-2</v>
      </c>
      <c r="E1063" s="7">
        <f t="shared" ca="1" si="66"/>
        <v>0.36526979226008183</v>
      </c>
      <c r="F1063" s="7">
        <f t="shared" ca="1" si="67"/>
        <v>1.8547160841590402E-2</v>
      </c>
      <c r="G1063" s="7">
        <f ca="1">$C$11/(1+D1063)^1
 +$D$11/(1+D1063)^2
 +$E$11/(1+D1063)^3
 +$F$11/(1+D1063)^4
 +$G$11/(1+D1063)^5
 +$H$11/(1+D1063)^6
 +$I$11/(1+D1063)^7
 + ( $I$11*(1+F1063)/(D1063-F1063) )/(1+D1063)^7</f>
        <v>392.42772761416643</v>
      </c>
      <c r="H1063" s="7">
        <f ca="1">(G1063-$C$8)/$C$9</f>
        <v>2.1537637246391137</v>
      </c>
    </row>
    <row r="1064" spans="3:8" x14ac:dyDescent="0.35">
      <c r="C1064" s="8">
        <f t="shared" ca="1" si="64"/>
        <v>0.20642733926888224</v>
      </c>
      <c r="D1064" s="7">
        <f t="shared" ca="1" si="65"/>
        <v>8.3010396542783915E-2</v>
      </c>
      <c r="E1064" s="7">
        <f t="shared" ca="1" si="66"/>
        <v>6.0772939870691545E-2</v>
      </c>
      <c r="F1064" s="7">
        <f t="shared" ca="1" si="67"/>
        <v>1.3486343066041882E-2</v>
      </c>
      <c r="G1064" s="7">
        <f ca="1">$C$11/(1+D1064)^1
 +$D$11/(1+D1064)^2
 +$E$11/(1+D1064)^3
 +$F$11/(1+D1064)^4
 +$G$11/(1+D1064)^5
 +$H$11/(1+D1064)^6
 +$I$11/(1+D1064)^7
 + ( $I$11*(1+F1064)/(D1064-F1064) )/(1+D1064)^7</f>
        <v>396.01485482856231</v>
      </c>
      <c r="H1064" s="7">
        <f ca="1">(G1064-$C$8)/$C$9</f>
        <v>2.1740437292433419</v>
      </c>
    </row>
    <row r="1065" spans="3:8" x14ac:dyDescent="0.35">
      <c r="C1065" s="8">
        <f t="shared" ca="1" si="64"/>
        <v>0.80133826250940055</v>
      </c>
      <c r="D1065" s="7">
        <f t="shared" ca="1" si="65"/>
        <v>9.7551861374379392E-2</v>
      </c>
      <c r="E1065" s="7">
        <f t="shared" ca="1" si="66"/>
        <v>0.62790728825379494</v>
      </c>
      <c r="F1065" s="7">
        <f t="shared" ca="1" si="67"/>
        <v>2.1373381754752271E-2</v>
      </c>
      <c r="G1065" s="7">
        <f ca="1">$C$11/(1+D1065)^1
 +$D$11/(1+D1065)^2
 +$E$11/(1+D1065)^3
 +$F$11/(1+D1065)^4
 +$G$11/(1+D1065)^5
 +$H$11/(1+D1065)^6
 +$I$11/(1+D1065)^7
 + ( $I$11*(1+F1065)/(D1065-F1065) )/(1+D1065)^7</f>
        <v>346.54483308261354</v>
      </c>
      <c r="H1065" s="7">
        <f ca="1">(G1065-$C$8)/$C$9</f>
        <v>1.894362466545757</v>
      </c>
    </row>
    <row r="1066" spans="3:8" x14ac:dyDescent="0.35">
      <c r="C1066" s="8">
        <f t="shared" ca="1" si="64"/>
        <v>0.47972211084402427</v>
      </c>
      <c r="D1066" s="7">
        <f t="shared" ca="1" si="65"/>
        <v>8.9833611140992448E-2</v>
      </c>
      <c r="E1066" s="7">
        <f t="shared" ca="1" si="66"/>
        <v>0.49285771447899995</v>
      </c>
      <c r="F1066" s="7">
        <f t="shared" ca="1" si="67"/>
        <v>1.9928320245429232E-2</v>
      </c>
      <c r="G1066" s="7">
        <f ca="1">$C$11/(1+D1066)^1
 +$D$11/(1+D1066)^2
 +$E$11/(1+D1066)^3
 +$F$11/(1+D1066)^4
 +$G$11/(1+D1066)^5
 +$H$11/(1+D1066)^6
 +$I$11/(1+D1066)^7
 + ( $I$11*(1+F1066)/(D1066-F1066) )/(1+D1066)^7</f>
        <v>381.66892822428633</v>
      </c>
      <c r="H1066" s="7">
        <f ca="1">(G1066-$C$8)/$C$9</f>
        <v>2.0929383097257253</v>
      </c>
    </row>
    <row r="1067" spans="3:8" x14ac:dyDescent="0.35">
      <c r="C1067" s="8">
        <f t="shared" ca="1" si="64"/>
        <v>0.38573492143036092</v>
      </c>
      <c r="D1067" s="7">
        <f t="shared" ca="1" si="65"/>
        <v>8.7784899088071772E-2</v>
      </c>
      <c r="E1067" s="7">
        <f t="shared" ca="1" si="66"/>
        <v>0.87395712454276531</v>
      </c>
      <c r="F1067" s="7">
        <f t="shared" ca="1" si="67"/>
        <v>2.4979185813889651E-2</v>
      </c>
      <c r="G1067" s="7">
        <f ca="1">$C$11/(1+D1067)^1
 +$D$11/(1+D1067)^2
 +$E$11/(1+D1067)^3
 +$F$11/(1+D1067)^4
 +$G$11/(1+D1067)^5
 +$H$11/(1+D1067)^6
 +$I$11/(1+D1067)^7
 + ( $I$11*(1+F1067)/(D1067-F1067) )/(1+D1067)^7</f>
        <v>416.25353450176488</v>
      </c>
      <c r="H1067" s="7">
        <f ca="1">(G1067-$C$8)/$C$9</f>
        <v>2.2884641254057261</v>
      </c>
    </row>
    <row r="1068" spans="3:8" x14ac:dyDescent="0.35">
      <c r="C1068" s="8">
        <f t="shared" ca="1" si="64"/>
        <v>0.10422839308055865</v>
      </c>
      <c r="D1068" s="7">
        <f t="shared" ca="1" si="65"/>
        <v>7.9244851665984592E-2</v>
      </c>
      <c r="E1068" s="7">
        <f t="shared" ca="1" si="66"/>
        <v>0.40576671213626214</v>
      </c>
      <c r="F1068" s="7">
        <f t="shared" ca="1" si="67"/>
        <v>1.9008514995672285E-2</v>
      </c>
      <c r="G1068" s="7">
        <f ca="1">$C$11/(1+D1068)^1
 +$D$11/(1+D1068)^2
 +$E$11/(1+D1068)^3
 +$F$11/(1+D1068)^4
 +$G$11/(1+D1068)^5
 +$H$11/(1+D1068)^6
 +$I$11/(1+D1068)^7
 + ( $I$11*(1+F1068)/(D1068-F1068) )/(1+D1068)^7</f>
        <v>447.63053843534459</v>
      </c>
      <c r="H1068" s="7">
        <f ca="1">(G1068-$C$8)/$C$9</f>
        <v>2.4658555994761677</v>
      </c>
    </row>
    <row r="1069" spans="3:8" x14ac:dyDescent="0.35">
      <c r="C1069" s="8">
        <f t="shared" ca="1" si="64"/>
        <v>0.14350867375422149</v>
      </c>
      <c r="D1069" s="7">
        <f t="shared" ca="1" si="65"/>
        <v>8.0847908207505342E-2</v>
      </c>
      <c r="E1069" s="7">
        <f t="shared" ca="1" si="66"/>
        <v>0.54908433665665546</v>
      </c>
      <c r="F1069" s="7">
        <f t="shared" ca="1" si="67"/>
        <v>2.0503519985348842E-2</v>
      </c>
      <c r="G1069" s="7">
        <f ca="1">$C$11/(1+D1069)^1
 +$D$11/(1+D1069)^2
 +$E$11/(1+D1069)^3
 +$F$11/(1+D1069)^4
 +$G$11/(1+D1069)^5
 +$H$11/(1+D1069)^6
 +$I$11/(1+D1069)^7
 + ( $I$11*(1+F1069)/(D1069-F1069) )/(1+D1069)^7</f>
        <v>443.50537796809226</v>
      </c>
      <c r="H1069" s="7">
        <f ca="1">(G1069-$C$8)/$C$9</f>
        <v>2.4425337967440766</v>
      </c>
    </row>
    <row r="1070" spans="3:8" x14ac:dyDescent="0.35">
      <c r="C1070" s="8">
        <f t="shared" ca="1" si="64"/>
        <v>0.7192880482776679</v>
      </c>
      <c r="D1070" s="7">
        <f t="shared" ca="1" si="65"/>
        <v>9.5202861008173947E-2</v>
      </c>
      <c r="E1070" s="7">
        <f t="shared" ca="1" si="66"/>
        <v>0.29203408808399356</v>
      </c>
      <c r="F1070" s="7">
        <f t="shared" ca="1" si="67"/>
        <v>1.7642435319765469E-2</v>
      </c>
      <c r="G1070" s="7">
        <f ca="1">$C$11/(1+D1070)^1
 +$D$11/(1+D1070)^2
 +$E$11/(1+D1070)^3
 +$F$11/(1+D1070)^4
 +$G$11/(1+D1070)^5
 +$H$11/(1+D1070)^6
 +$I$11/(1+D1070)^7
 + ( $I$11*(1+F1070)/(D1070-F1070) )/(1+D1070)^7</f>
        <v>346.14381027256707</v>
      </c>
      <c r="H1070" s="7">
        <f ca="1">(G1070-$C$8)/$C$9</f>
        <v>1.8920952638657116</v>
      </c>
    </row>
    <row r="1071" spans="3:8" x14ac:dyDescent="0.35">
      <c r="C1071" s="8">
        <f t="shared" ca="1" si="64"/>
        <v>0.76973456441959132</v>
      </c>
      <c r="D1071" s="7">
        <f t="shared" ca="1" si="65"/>
        <v>9.6598244900285679E-2</v>
      </c>
      <c r="E1071" s="7">
        <f t="shared" ca="1" si="66"/>
        <v>0.2885231060291199</v>
      </c>
      <c r="F1071" s="7">
        <f t="shared" ca="1" si="67"/>
        <v>1.7596355784573546E-2</v>
      </c>
      <c r="G1071" s="7">
        <f ca="1">$C$11/(1+D1071)^1
 +$D$11/(1+D1071)^2
 +$E$11/(1+D1071)^3
 +$F$11/(1+D1071)^4
 +$G$11/(1+D1071)^5
 +$H$11/(1+D1071)^6
 +$I$11/(1+D1071)^7
 + ( $I$11*(1+F1071)/(D1071-F1071) )/(1+D1071)^7</f>
        <v>339.59961624014261</v>
      </c>
      <c r="H1071" s="7">
        <f ca="1">(G1071-$C$8)/$C$9</f>
        <v>1.8550973328818554</v>
      </c>
    </row>
    <row r="1072" spans="3:8" x14ac:dyDescent="0.35">
      <c r="C1072" s="8">
        <f t="shared" ca="1" si="64"/>
        <v>0.65453337575481207</v>
      </c>
      <c r="D1072" s="7">
        <f t="shared" ca="1" si="65"/>
        <v>9.3584642345923535E-2</v>
      </c>
      <c r="E1072" s="7">
        <f t="shared" ca="1" si="66"/>
        <v>0.75322693010000552</v>
      </c>
      <c r="F1072" s="7">
        <f t="shared" ca="1" si="67"/>
        <v>2.2974716092569718E-2</v>
      </c>
      <c r="G1072" s="7">
        <f ca="1">$C$11/(1+D1072)^1
 +$D$11/(1+D1072)^2
 +$E$11/(1+D1072)^3
 +$F$11/(1+D1072)^4
 +$G$11/(1+D1072)^5
 +$H$11/(1+D1072)^6
 +$I$11/(1+D1072)^7
 + ( $I$11*(1+F1072)/(D1072-F1072) )/(1+D1072)^7</f>
        <v>372.21719096699633</v>
      </c>
      <c r="H1072" s="7">
        <f ca="1">(G1072-$C$8)/$C$9</f>
        <v>2.0395024364936472</v>
      </c>
    </row>
    <row r="1073" spans="3:8" x14ac:dyDescent="0.35">
      <c r="C1073" s="8">
        <f t="shared" ca="1" si="64"/>
        <v>0.23972587581498528</v>
      </c>
      <c r="D1073" s="7">
        <f t="shared" ca="1" si="65"/>
        <v>8.4020528455385976E-2</v>
      </c>
      <c r="E1073" s="7">
        <f t="shared" ca="1" si="66"/>
        <v>2.5286692309297476E-2</v>
      </c>
      <c r="F1073" s="7">
        <f t="shared" ca="1" si="67"/>
        <v>1.224885269901332E-2</v>
      </c>
      <c r="G1073" s="7">
        <f ca="1">$C$11/(1+D1073)^1
 +$D$11/(1+D1073)^2
 +$E$11/(1+D1073)^3
 +$F$11/(1+D1073)^4
 +$G$11/(1+D1073)^5
 +$H$11/(1+D1073)^6
 +$I$11/(1+D1073)^7
 + ( $I$11*(1+F1073)/(D1073-F1073) )/(1+D1073)^7</f>
        <v>385.31739614838602</v>
      </c>
      <c r="H1073" s="7">
        <f ca="1">(G1073-$C$8)/$C$9</f>
        <v>2.1135651071256558</v>
      </c>
    </row>
    <row r="1074" spans="3:8" x14ac:dyDescent="0.35">
      <c r="C1074" s="8">
        <f t="shared" ca="1" si="64"/>
        <v>0.24599990953331907</v>
      </c>
      <c r="D1074" s="7">
        <f t="shared" ca="1" si="65"/>
        <v>8.4202814010516422E-2</v>
      </c>
      <c r="E1074" s="7">
        <f t="shared" ca="1" si="66"/>
        <v>0.63865712300021504</v>
      </c>
      <c r="F1074" s="7">
        <f t="shared" ca="1" si="67"/>
        <v>2.1498907399636384E-2</v>
      </c>
      <c r="G1074" s="7">
        <f ca="1">$C$11/(1+D1074)^1
 +$D$11/(1+D1074)^2
 +$E$11/(1+D1074)^3
 +$F$11/(1+D1074)^4
 +$G$11/(1+D1074)^5
 +$H$11/(1+D1074)^6
 +$I$11/(1+D1074)^7
 + ( $I$11*(1+F1074)/(D1074-F1074) )/(1+D1074)^7</f>
        <v>424.11466609892068</v>
      </c>
      <c r="H1074" s="7">
        <f ca="1">(G1074-$C$8)/$C$9</f>
        <v>2.3329074293245173</v>
      </c>
    </row>
    <row r="1075" spans="3:8" x14ac:dyDescent="0.35">
      <c r="C1075" s="8">
        <f t="shared" ca="1" si="64"/>
        <v>0.8705735201892485</v>
      </c>
      <c r="D1075" s="7">
        <f t="shared" ca="1" si="65"/>
        <v>9.9952480193978899E-2</v>
      </c>
      <c r="E1075" s="7">
        <f t="shared" ca="1" si="66"/>
        <v>0.877321977951527</v>
      </c>
      <c r="F1075" s="7">
        <f t="shared" ca="1" si="67"/>
        <v>2.5046657248918202E-2</v>
      </c>
      <c r="G1075" s="7">
        <f ca="1">$C$11/(1+D1075)^1
 +$D$11/(1+D1075)^2
 +$E$11/(1+D1075)^3
 +$F$11/(1+D1075)^4
 +$G$11/(1+D1075)^5
 +$H$11/(1+D1075)^6
 +$I$11/(1+D1075)^7
 + ( $I$11*(1+F1075)/(D1075-F1075) )/(1+D1075)^7</f>
        <v>346.61406428848926</v>
      </c>
      <c r="H1075" s="7">
        <f ca="1">(G1075-$C$8)/$C$9</f>
        <v>1.8947538686594825</v>
      </c>
    </row>
    <row r="1076" spans="3:8" x14ac:dyDescent="0.35">
      <c r="C1076" s="8">
        <f t="shared" ca="1" si="64"/>
        <v>0.25148637843989863</v>
      </c>
      <c r="D1076" s="7">
        <f t="shared" ca="1" si="65"/>
        <v>8.4360321386400691E-2</v>
      </c>
      <c r="E1076" s="7">
        <f t="shared" ca="1" si="66"/>
        <v>0.15083526868706298</v>
      </c>
      <c r="F1076" s="7">
        <f t="shared" ca="1" si="67"/>
        <v>1.5492454254466995E-2</v>
      </c>
      <c r="G1076" s="7">
        <f ca="1">$C$11/(1+D1076)^1
 +$D$11/(1+D1076)^2
 +$E$11/(1+D1076)^3
 +$F$11/(1+D1076)^4
 +$G$11/(1+D1076)^5
 +$H$11/(1+D1076)^6
 +$I$11/(1+D1076)^7
 + ( $I$11*(1+F1076)/(D1076-F1076) )/(1+D1076)^7</f>
        <v>396.08552476603541</v>
      </c>
      <c r="H1076" s="7">
        <f ca="1">(G1076-$C$8)/$C$9</f>
        <v>2.1744432652987076</v>
      </c>
    </row>
    <row r="1077" spans="3:8" x14ac:dyDescent="0.35">
      <c r="C1077" s="8">
        <f t="shared" ca="1" si="64"/>
        <v>0.27057948140162258</v>
      </c>
      <c r="D1077" s="7">
        <f t="shared" ca="1" si="65"/>
        <v>8.4895474975620305E-2</v>
      </c>
      <c r="E1077" s="7">
        <f t="shared" ca="1" si="66"/>
        <v>0.63348372435601841</v>
      </c>
      <c r="F1077" s="7">
        <f t="shared" ca="1" si="67"/>
        <v>2.143826798312419E-2</v>
      </c>
      <c r="G1077" s="7">
        <f ca="1">$C$11/(1+D1077)^1
 +$D$11/(1+D1077)^2
 +$E$11/(1+D1077)^3
 +$F$11/(1+D1077)^4
 +$G$11/(1+D1077)^5
 +$H$11/(1+D1077)^6
 +$I$11/(1+D1077)^7
 + ( $I$11*(1+F1077)/(D1077-F1077) )/(1+D1077)^7</f>
        <v>419.01379959997678</v>
      </c>
      <c r="H1077" s="7">
        <f ca="1">(G1077-$C$8)/$C$9</f>
        <v>2.3040694233377246</v>
      </c>
    </row>
    <row r="1078" spans="3:8" x14ac:dyDescent="0.35">
      <c r="C1078" s="8">
        <f t="shared" ca="1" si="64"/>
        <v>8.5037236958046325E-2</v>
      </c>
      <c r="D1078" s="7">
        <f t="shared" ca="1" si="65"/>
        <v>7.8350481082284901E-2</v>
      </c>
      <c r="E1078" s="7">
        <f t="shared" ca="1" si="66"/>
        <v>0.90494521321119392</v>
      </c>
      <c r="F1078" s="7">
        <f t="shared" ca="1" si="67"/>
        <v>2.5639844342484869E-2</v>
      </c>
      <c r="G1078" s="7">
        <f ca="1">$C$11/(1+D1078)^1
 +$D$11/(1+D1078)^2
 +$E$11/(1+D1078)^3
 +$F$11/(1+D1078)^4
 +$G$11/(1+D1078)^5
 +$H$11/(1+D1078)^6
 +$I$11/(1+D1078)^7
 + ( $I$11*(1+F1078)/(D1078-F1078) )/(1+D1078)^7</f>
        <v>497.17791372226952</v>
      </c>
      <c r="H1078" s="7">
        <f ca="1">(G1078-$C$8)/$C$9</f>
        <v>2.745974184318575</v>
      </c>
    </row>
    <row r="1079" spans="3:8" x14ac:dyDescent="0.35">
      <c r="C1079" s="8">
        <f t="shared" ca="1" si="64"/>
        <v>0.60529670502048138</v>
      </c>
      <c r="D1079" s="7">
        <f t="shared" ca="1" si="65"/>
        <v>9.245381608200734E-2</v>
      </c>
      <c r="E1079" s="7">
        <f t="shared" ca="1" si="66"/>
        <v>0.53724685871794253</v>
      </c>
      <c r="F1079" s="7">
        <f t="shared" ca="1" si="67"/>
        <v>2.0379676291495619E-2</v>
      </c>
      <c r="G1079" s="7">
        <f ca="1">$C$11/(1+D1079)^1
 +$D$11/(1+D1079)^2
 +$E$11/(1+D1079)^3
 +$F$11/(1+D1079)^4
 +$G$11/(1+D1079)^5
 +$H$11/(1+D1079)^6
 +$I$11/(1+D1079)^7
 + ( $I$11*(1+F1079)/(D1079-F1079) )/(1+D1079)^7</f>
        <v>368.89999859823968</v>
      </c>
      <c r="H1079" s="7">
        <f ca="1">(G1079-$C$8)/$C$9</f>
        <v>2.0207485221519654</v>
      </c>
    </row>
    <row r="1080" spans="3:8" x14ac:dyDescent="0.35">
      <c r="C1080" s="8">
        <f t="shared" ca="1" si="64"/>
        <v>0.14681587939295426</v>
      </c>
      <c r="D1080" s="7">
        <f t="shared" ca="1" si="65"/>
        <v>8.0972193085350919E-2</v>
      </c>
      <c r="E1080" s="7">
        <f t="shared" ca="1" si="66"/>
        <v>0.44437080782146821</v>
      </c>
      <c r="F1080" s="7">
        <f t="shared" ca="1" si="67"/>
        <v>1.9427309349135287E-2</v>
      </c>
      <c r="G1080" s="7">
        <f ca="1">$C$11/(1+D1080)^1
 +$D$11/(1+D1080)^2
 +$E$11/(1+D1080)^3
 +$F$11/(1+D1080)^4
 +$G$11/(1+D1080)^5
 +$H$11/(1+D1080)^6
 +$I$11/(1+D1080)^7
 + ( $I$11*(1+F1080)/(D1080-F1080) )/(1+D1080)^7</f>
        <v>436.84092935657765</v>
      </c>
      <c r="H1080" s="7">
        <f ca="1">(G1080-$C$8)/$C$9</f>
        <v>2.4048560004329356</v>
      </c>
    </row>
    <row r="1081" spans="3:8" x14ac:dyDescent="0.35">
      <c r="C1081" s="8">
        <f t="shared" ca="1" si="64"/>
        <v>0.89712857981477201</v>
      </c>
      <c r="D1081" s="7">
        <f t="shared" ca="1" si="65"/>
        <v>0.10104233804252037</v>
      </c>
      <c r="E1081" s="7">
        <f t="shared" ca="1" si="66"/>
        <v>0.4170424801595729</v>
      </c>
      <c r="F1081" s="7">
        <f t="shared" ca="1" si="67"/>
        <v>1.9132825194424483E-2</v>
      </c>
      <c r="G1081" s="7">
        <f ca="1">$C$11/(1+D1081)^1
 +$D$11/(1+D1081)^2
 +$E$11/(1+D1081)^3
 +$F$11/(1+D1081)^4
 +$G$11/(1+D1081)^5
 +$H$11/(1+D1081)^6
 +$I$11/(1+D1081)^7
 + ( $I$11*(1+F1081)/(D1081-F1081) )/(1+D1081)^7</f>
        <v>324.62283827407259</v>
      </c>
      <c r="H1081" s="7">
        <f ca="1">(G1081-$C$8)/$C$9</f>
        <v>1.7704253633767106</v>
      </c>
    </row>
    <row r="1082" spans="3:8" x14ac:dyDescent="0.35">
      <c r="C1082" s="8">
        <f t="shared" ca="1" si="64"/>
        <v>0.56108678302572068</v>
      </c>
      <c r="D1082" s="7">
        <f t="shared" ca="1" si="65"/>
        <v>9.149723509202104E-2</v>
      </c>
      <c r="E1082" s="7">
        <f t="shared" ca="1" si="66"/>
        <v>0.49466934467396884</v>
      </c>
      <c r="F1082" s="7">
        <f t="shared" ca="1" si="67"/>
        <v>1.9946550604847579E-2</v>
      </c>
      <c r="G1082" s="7">
        <f ca="1">$C$11/(1+D1082)^1
 +$D$11/(1+D1082)^2
 +$E$11/(1+D1082)^3
 +$F$11/(1+D1082)^4
 +$G$11/(1+D1082)^5
 +$H$11/(1+D1082)^6
 +$I$11/(1+D1082)^7
 + ( $I$11*(1+F1082)/(D1082-F1082) )/(1+D1082)^7</f>
        <v>372.48776170685949</v>
      </c>
      <c r="H1082" s="7">
        <f ca="1">(G1082-$C$8)/$C$9</f>
        <v>2.0410321218162566</v>
      </c>
    </row>
    <row r="1083" spans="3:8" x14ac:dyDescent="0.35">
      <c r="C1083" s="8">
        <f t="shared" ca="1" si="64"/>
        <v>0.31042652462710785</v>
      </c>
      <c r="D1083" s="7">
        <f t="shared" ca="1" si="65"/>
        <v>8.5954615325799261E-2</v>
      </c>
      <c r="E1083" s="7">
        <f t="shared" ca="1" si="66"/>
        <v>0.65077533047888692</v>
      </c>
      <c r="F1083" s="7">
        <f t="shared" ca="1" si="67"/>
        <v>2.1642671844170375E-2</v>
      </c>
      <c r="G1083" s="7">
        <f ca="1">$C$11/(1+D1083)^1
 +$D$11/(1+D1083)^2
 +$E$11/(1+D1083)^3
 +$F$11/(1+D1083)^4
 +$G$11/(1+D1083)^5
 +$H$11/(1+D1083)^6
 +$I$11/(1+D1083)^7
 + ( $I$11*(1+F1083)/(D1083-F1083) )/(1+D1083)^7</f>
        <v>412.81984981131285</v>
      </c>
      <c r="H1083" s="7">
        <f ca="1">(G1083-$C$8)/$C$9</f>
        <v>2.2690516158486704</v>
      </c>
    </row>
    <row r="1084" spans="3:8" x14ac:dyDescent="0.35">
      <c r="C1084" s="8">
        <f t="shared" ca="1" si="64"/>
        <v>0.97088535957701361</v>
      </c>
      <c r="D1084" s="7">
        <f t="shared" ca="1" si="65"/>
        <v>0.10523455988077393</v>
      </c>
      <c r="E1084" s="7">
        <f t="shared" ca="1" si="66"/>
        <v>0.93791310440252773</v>
      </c>
      <c r="F1084" s="7">
        <f t="shared" ca="1" si="67"/>
        <v>2.6476169822551823E-2</v>
      </c>
      <c r="G1084" s="7">
        <f ca="1">$C$11/(1+D1084)^1
 +$D$11/(1+D1084)^2
 +$E$11/(1+D1084)^3
 +$F$11/(1+D1084)^4
 +$G$11/(1+D1084)^5
 +$H$11/(1+D1084)^6
 +$I$11/(1+D1084)^7
 + ( $I$11*(1+F1084)/(D1084-F1084) )/(1+D1084)^7</f>
        <v>326.80491723558418</v>
      </c>
      <c r="H1084" s="7">
        <f ca="1">(G1084-$C$8)/$C$9</f>
        <v>1.7827618568271379</v>
      </c>
    </row>
    <row r="1085" spans="3:8" x14ac:dyDescent="0.35">
      <c r="C1085" s="8">
        <f t="shared" ca="1" si="64"/>
        <v>0.65993978870124503</v>
      </c>
      <c r="D1085" s="7">
        <f t="shared" ca="1" si="65"/>
        <v>9.3713595706448008E-2</v>
      </c>
      <c r="E1085" s="7">
        <f t="shared" ca="1" si="66"/>
        <v>0.27226149885323958</v>
      </c>
      <c r="F1085" s="7">
        <f t="shared" ca="1" si="67"/>
        <v>1.7379180155725156E-2</v>
      </c>
      <c r="G1085" s="7">
        <f ca="1">$C$11/(1+D1085)^1
 +$D$11/(1+D1085)^2
 +$E$11/(1+D1085)^3
 +$F$11/(1+D1085)^4
 +$G$11/(1+D1085)^5
 +$H$11/(1+D1085)^6
 +$I$11/(1+D1085)^7
 + ( $I$11*(1+F1085)/(D1085-F1085) )/(1+D1085)^7</f>
        <v>352.41121099388795</v>
      </c>
      <c r="H1085" s="7">
        <f ca="1">(G1085-$C$8)/$C$9</f>
        <v>1.9275283299066481</v>
      </c>
    </row>
    <row r="1086" spans="3:8" x14ac:dyDescent="0.35">
      <c r="C1086" s="8">
        <f t="shared" ca="1" si="64"/>
        <v>5.7374779928728969E-2</v>
      </c>
      <c r="D1086" s="7">
        <f t="shared" ca="1" si="65"/>
        <v>7.6859104864452632E-2</v>
      </c>
      <c r="E1086" s="7">
        <f t="shared" ca="1" si="66"/>
        <v>0.88454964434353356</v>
      </c>
      <c r="F1086" s="7">
        <f t="shared" ca="1" si="67"/>
        <v>2.5194787087829167E-2</v>
      </c>
      <c r="G1086" s="7">
        <f ca="1">$C$11/(1+D1086)^1
 +$D$11/(1+D1086)^2
 +$E$11/(1+D1086)^3
 +$F$11/(1+D1086)^4
 +$G$11/(1+D1086)^5
 +$H$11/(1+D1086)^6
 +$I$11/(1+D1086)^7
 + ( $I$11*(1+F1086)/(D1086-F1086) )/(1+D1086)^7</f>
        <v>508.68897254874224</v>
      </c>
      <c r="H1086" s="7">
        <f ca="1">(G1086-$C$8)/$C$9</f>
        <v>2.8110525358929341</v>
      </c>
    </row>
    <row r="1087" spans="3:8" x14ac:dyDescent="0.35">
      <c r="C1087" s="8">
        <f t="shared" ca="1" si="64"/>
        <v>0.72765810390091246</v>
      </c>
      <c r="D1087" s="7">
        <f t="shared" ca="1" si="65"/>
        <v>9.542513537087606E-2</v>
      </c>
      <c r="E1087" s="7">
        <f t="shared" ca="1" si="66"/>
        <v>0.67827413365118128</v>
      </c>
      <c r="F1087" s="7">
        <f t="shared" ca="1" si="67"/>
        <v>2.1978455680496195E-2</v>
      </c>
      <c r="G1087" s="7">
        <f ca="1">$C$11/(1+D1087)^1
 +$D$11/(1+D1087)^2
 +$E$11/(1+D1087)^3
 +$F$11/(1+D1087)^4
 +$G$11/(1+D1087)^5
 +$H$11/(1+D1087)^6
 +$I$11/(1+D1087)^7
 + ( $I$11*(1+F1087)/(D1087-F1087) )/(1+D1087)^7</f>
        <v>358.96642631019722</v>
      </c>
      <c r="H1087" s="7">
        <f ca="1">(G1087-$C$8)/$C$9</f>
        <v>1.9645885702747468</v>
      </c>
    </row>
    <row r="1088" spans="3:8" x14ac:dyDescent="0.35">
      <c r="C1088" s="8">
        <f t="shared" ca="1" si="64"/>
        <v>0.84078588397858078</v>
      </c>
      <c r="D1088" s="7">
        <f t="shared" ca="1" si="65"/>
        <v>9.8856077418758376E-2</v>
      </c>
      <c r="E1088" s="7">
        <f t="shared" ca="1" si="66"/>
        <v>0.75384953837429602</v>
      </c>
      <c r="F1088" s="7">
        <f t="shared" ca="1" si="67"/>
        <v>2.2983584082657244E-2</v>
      </c>
      <c r="G1088" s="7">
        <f ca="1">$C$11/(1+D1088)^1
 +$D$11/(1+D1088)^2
 +$E$11/(1+D1088)^3
 +$F$11/(1+D1088)^4
 +$G$11/(1+D1088)^5
 +$H$11/(1+D1088)^6
 +$I$11/(1+D1088)^7
 + ( $I$11*(1+F1088)/(D1088-F1088) )/(1+D1088)^7</f>
        <v>345.36567876904132</v>
      </c>
      <c r="H1088" s="7">
        <f ca="1">(G1088-$C$8)/$C$9</f>
        <v>1.8876960581696138</v>
      </c>
    </row>
    <row r="1089" spans="3:8" x14ac:dyDescent="0.35">
      <c r="C1089" s="8">
        <f t="shared" ca="1" si="64"/>
        <v>0.2690669470934659</v>
      </c>
      <c r="D1089" s="7">
        <f t="shared" ca="1" si="65"/>
        <v>8.4853783915778566E-2</v>
      </c>
      <c r="E1089" s="7">
        <f t="shared" ca="1" si="66"/>
        <v>0.30563327042648647</v>
      </c>
      <c r="F1089" s="7">
        <f t="shared" ca="1" si="67"/>
        <v>1.7818353668471214E-2</v>
      </c>
      <c r="G1089" s="7">
        <f ca="1">$C$11/(1+D1089)^1
 +$D$11/(1+D1089)^2
 +$E$11/(1+D1089)^3
 +$F$11/(1+D1089)^4
 +$G$11/(1+D1089)^5
 +$H$11/(1+D1089)^6
 +$I$11/(1+D1089)^7
 + ( $I$11*(1+F1089)/(D1089-F1089) )/(1+D1089)^7</f>
        <v>402.81931937213142</v>
      </c>
      <c r="H1089" s="7">
        <f ca="1">(G1089-$C$8)/$C$9</f>
        <v>2.2125131126873101</v>
      </c>
    </row>
    <row r="1090" spans="3:8" x14ac:dyDescent="0.35">
      <c r="C1090" s="8">
        <f t="shared" ca="1" si="64"/>
        <v>0.4817889917844268</v>
      </c>
      <c r="D1090" s="7">
        <f t="shared" ca="1" si="65"/>
        <v>8.9876291738230002E-2</v>
      </c>
      <c r="E1090" s="7">
        <f t="shared" ca="1" si="66"/>
        <v>0.49436020097386757</v>
      </c>
      <c r="F1090" s="7">
        <f t="shared" ca="1" si="67"/>
        <v>1.9943442069765054E-2</v>
      </c>
      <c r="G1090" s="7">
        <f ca="1">$C$11/(1+D1090)^1
 +$D$11/(1+D1090)^2
 +$E$11/(1+D1090)^3
 +$F$11/(1+D1090)^4
 +$G$11/(1+D1090)^5
 +$H$11/(1+D1090)^6
 +$I$11/(1+D1090)^7
 + ( $I$11*(1+F1090)/(D1090-F1090) )/(1+D1090)^7</f>
        <v>381.48433939107099</v>
      </c>
      <c r="H1090" s="7">
        <f ca="1">(G1090-$C$8)/$C$9</f>
        <v>2.0918947274483886</v>
      </c>
    </row>
    <row r="1091" spans="3:8" x14ac:dyDescent="0.35">
      <c r="C1091" s="8">
        <f t="shared" ca="1" si="64"/>
        <v>0.38017661390795732</v>
      </c>
      <c r="D1091" s="7">
        <f t="shared" ca="1" si="65"/>
        <v>8.7656296990154106E-2</v>
      </c>
      <c r="E1091" s="7">
        <f t="shared" ca="1" si="66"/>
        <v>0.9793499773199994</v>
      </c>
      <c r="F1091" s="7">
        <f t="shared" ca="1" si="67"/>
        <v>2.7967758740700278E-2</v>
      </c>
      <c r="G1091" s="7">
        <f ca="1">$C$11/(1+D1091)^1
 +$D$11/(1+D1091)^2
 +$E$11/(1+D1091)^3
 +$F$11/(1+D1091)^4
 +$G$11/(1+D1091)^5
 +$H$11/(1+D1091)^6
 +$I$11/(1+D1091)^7
 + ( $I$11*(1+F1091)/(D1091-F1091) )/(1+D1091)^7</f>
        <v>432.36095673638664</v>
      </c>
      <c r="H1091" s="7">
        <f ca="1">(G1091-$C$8)/$C$9</f>
        <v>2.3795282493011456</v>
      </c>
    </row>
    <row r="1092" spans="3:8" x14ac:dyDescent="0.35">
      <c r="C1092" s="8">
        <f t="shared" ca="1" si="64"/>
        <v>0.77622619322934561</v>
      </c>
      <c r="D1092" s="7">
        <f t="shared" ca="1" si="65"/>
        <v>9.6788506167692079E-2</v>
      </c>
      <c r="E1092" s="7">
        <f t="shared" ca="1" si="66"/>
        <v>0.21366291437541984</v>
      </c>
      <c r="F1092" s="7">
        <f t="shared" ca="1" si="67"/>
        <v>1.6537016358789687E-2</v>
      </c>
      <c r="G1092" s="7">
        <f ca="1">$C$11/(1+D1092)^1
 +$D$11/(1+D1092)^2
 +$E$11/(1+D1092)^3
 +$F$11/(1+D1092)^4
 +$G$11/(1+D1092)^5
 +$H$11/(1+D1092)^6
 +$I$11/(1+D1092)^7
 + ( $I$11*(1+F1092)/(D1092-F1092) )/(1+D1092)^7</f>
        <v>335.7229471809361</v>
      </c>
      <c r="H1092" s="7">
        <f ca="1">(G1092-$C$8)/$C$9</f>
        <v>1.8331803888564908</v>
      </c>
    </row>
    <row r="1093" spans="3:8" x14ac:dyDescent="0.35">
      <c r="C1093" s="8">
        <f t="shared" ca="1" si="64"/>
        <v>0.71784523486517615</v>
      </c>
      <c r="D1093" s="7">
        <f t="shared" ca="1" si="65"/>
        <v>9.5164882312392576E-2</v>
      </c>
      <c r="E1093" s="7">
        <f t="shared" ca="1" si="66"/>
        <v>0.36384771746804034</v>
      </c>
      <c r="F1093" s="7">
        <f t="shared" ca="1" si="67"/>
        <v>1.8530506637568958E-2</v>
      </c>
      <c r="G1093" s="7">
        <f ca="1">$C$11/(1+D1093)^1
 +$D$11/(1+D1093)^2
 +$E$11/(1+D1093)^3
 +$F$11/(1+D1093)^4
 +$G$11/(1+D1093)^5
 +$H$11/(1+D1093)^6
 +$I$11/(1+D1093)^7
 + ( $I$11*(1+F1093)/(D1093-F1093) )/(1+D1093)^7</f>
        <v>349.05503066060419</v>
      </c>
      <c r="H1093" s="7">
        <f ca="1">(G1093-$C$8)/$C$9</f>
        <v>1.9085539951413624</v>
      </c>
    </row>
    <row r="1094" spans="3:8" x14ac:dyDescent="0.35">
      <c r="C1094" s="8">
        <f t="shared" ca="1" si="64"/>
        <v>0.26544354469058551</v>
      </c>
      <c r="D1094" s="7">
        <f t="shared" ca="1" si="65"/>
        <v>8.4753430334884167E-2</v>
      </c>
      <c r="E1094" s="7">
        <f t="shared" ca="1" si="66"/>
        <v>0.88524290711387177</v>
      </c>
      <c r="F1094" s="7">
        <f t="shared" ca="1" si="67"/>
        <v>2.5209236117566883E-2</v>
      </c>
      <c r="G1094" s="7">
        <f ca="1">$C$11/(1+D1094)^1
 +$D$11/(1+D1094)^2
 +$E$11/(1+D1094)^3
 +$F$11/(1+D1094)^4
 +$G$11/(1+D1094)^5
 +$H$11/(1+D1094)^6
 +$I$11/(1+D1094)^7
 + ( $I$11*(1+F1094)/(D1094-F1094) )/(1+D1094)^7</f>
        <v>439.35937683006728</v>
      </c>
      <c r="H1094" s="7">
        <f ca="1">(G1094-$C$8)/$C$9</f>
        <v>2.4190941702287838</v>
      </c>
    </row>
    <row r="1095" spans="3:8" x14ac:dyDescent="0.35">
      <c r="C1095" s="8">
        <f t="shared" ca="1" si="64"/>
        <v>0.64810683969018634</v>
      </c>
      <c r="D1095" s="7">
        <f t="shared" ca="1" si="65"/>
        <v>9.343266270514014E-2</v>
      </c>
      <c r="E1095" s="7">
        <f t="shared" ca="1" si="66"/>
        <v>0.68511692060468143</v>
      </c>
      <c r="F1095" s="7">
        <f t="shared" ca="1" si="67"/>
        <v>2.2064219264680777E-2</v>
      </c>
      <c r="G1095" s="7">
        <f ca="1">$C$11/(1+D1095)^1
 +$D$11/(1+D1095)^2
 +$E$11/(1+D1095)^3
 +$F$11/(1+D1095)^4
 +$G$11/(1+D1095)^5
 +$H$11/(1+D1095)^6
 +$I$11/(1+D1095)^7
 + ( $I$11*(1+F1095)/(D1095-F1095) )/(1+D1095)^7</f>
        <v>369.70954486933158</v>
      </c>
      <c r="H1095" s="7">
        <f ca="1">(G1095-$C$8)/$C$9</f>
        <v>2.0253253328207346</v>
      </c>
    </row>
    <row r="1096" spans="3:8" x14ac:dyDescent="0.35">
      <c r="C1096" s="8">
        <f t="shared" ca="1" si="64"/>
        <v>0.59437802944830043</v>
      </c>
      <c r="D1096" s="7">
        <f t="shared" ca="1" si="65"/>
        <v>9.2212781638763036E-2</v>
      </c>
      <c r="E1096" s="7">
        <f t="shared" ca="1" si="66"/>
        <v>0.26694720392750815</v>
      </c>
      <c r="F1096" s="7">
        <f t="shared" ca="1" si="67"/>
        <v>1.7306807838276685E-2</v>
      </c>
      <c r="G1096" s="7">
        <f ca="1">$C$11/(1+D1096)^1
 +$D$11/(1+D1096)^2
 +$E$11/(1+D1096)^3
 +$F$11/(1+D1096)^4
 +$G$11/(1+D1096)^5
 +$H$11/(1+D1096)^6
 +$I$11/(1+D1096)^7
 + ( $I$11*(1+F1096)/(D1096-F1096) )/(1+D1096)^7</f>
        <v>359.57761323989826</v>
      </c>
      <c r="H1096" s="7">
        <f ca="1">(G1096-$C$8)/$C$9</f>
        <v>1.9680439464037667</v>
      </c>
    </row>
    <row r="1097" spans="3:8" x14ac:dyDescent="0.35">
      <c r="C1097" s="8">
        <f t="shared" ca="1" si="64"/>
        <v>0.37323697398972222</v>
      </c>
      <c r="D1097" s="7">
        <f t="shared" ca="1" si="65"/>
        <v>8.7494408211527819E-2</v>
      </c>
      <c r="E1097" s="7">
        <f t="shared" ca="1" si="66"/>
        <v>0.89948660142877235</v>
      </c>
      <c r="F1097" s="7">
        <f t="shared" ca="1" si="67"/>
        <v>2.5516398800713255E-2</v>
      </c>
      <c r="G1097" s="7">
        <f ca="1">$C$11/(1+D1097)^1
 +$D$11/(1+D1097)^2
 +$E$11/(1+D1097)^3
 +$F$11/(1+D1097)^4
 +$G$11/(1+D1097)^5
 +$H$11/(1+D1097)^6
 +$I$11/(1+D1097)^7
 + ( $I$11*(1+F1097)/(D1097-F1097) )/(1+D1097)^7</f>
        <v>420.90006738122111</v>
      </c>
      <c r="H1097" s="7">
        <f ca="1">(G1097-$C$8)/$C$9</f>
        <v>2.3147335333628511</v>
      </c>
    </row>
    <row r="1098" spans="3:8" x14ac:dyDescent="0.35">
      <c r="C1098" s="8">
        <f t="shared" ca="1" si="64"/>
        <v>0.62674678931407024</v>
      </c>
      <c r="D1098" s="7">
        <f t="shared" ca="1" si="65"/>
        <v>9.2937248043324747E-2</v>
      </c>
      <c r="E1098" s="7">
        <f t="shared" ca="1" si="66"/>
        <v>0.8695449669470785</v>
      </c>
      <c r="F1098" s="7">
        <f t="shared" ca="1" si="67"/>
        <v>2.4892064349408431E-2</v>
      </c>
      <c r="G1098" s="7">
        <f ca="1">$C$11/(1+D1098)^1
 +$D$11/(1+D1098)^2
 +$E$11/(1+D1098)^3
 +$F$11/(1+D1098)^4
 +$G$11/(1+D1098)^5
 +$H$11/(1+D1098)^6
 +$I$11/(1+D1098)^7
 + ( $I$11*(1+F1098)/(D1098-F1098) )/(1+D1098)^7</f>
        <v>383.25470194765205</v>
      </c>
      <c r="H1098" s="7">
        <f ca="1">(G1098-$C$8)/$C$9</f>
        <v>2.1019035614408188</v>
      </c>
    </row>
    <row r="1099" spans="3:8" x14ac:dyDescent="0.35">
      <c r="C1099" s="8">
        <f t="shared" ca="1" si="64"/>
        <v>0.70697280739963475</v>
      </c>
      <c r="D1099" s="7">
        <f t="shared" ca="1" si="65"/>
        <v>9.4881759023342532E-2</v>
      </c>
      <c r="E1099" s="7">
        <f t="shared" ca="1" si="66"/>
        <v>7.7815927571943666E-3</v>
      </c>
      <c r="F1099" s="7">
        <f t="shared" ca="1" si="67"/>
        <v>1.1247524970266678E-2</v>
      </c>
      <c r="G1099" s="7">
        <f ca="1">$C$11/(1+D1099)^1
 +$D$11/(1+D1099)^2
 +$E$11/(1+D1099)^3
 +$F$11/(1+D1099)^4
 +$G$11/(1+D1099)^5
 +$H$11/(1+D1099)^6
 +$I$11/(1+D1099)^7
 + ( $I$11*(1+F1099)/(D1099-F1099) )/(1+D1099)^7</f>
        <v>329.52152950757926</v>
      </c>
      <c r="H1099" s="7">
        <f ca="1">(G1099-$C$8)/$C$9</f>
        <v>1.7981203613047221</v>
      </c>
    </row>
    <row r="1100" spans="3:8" x14ac:dyDescent="0.35">
      <c r="C1100" s="8">
        <f t="shared" ca="1" si="64"/>
        <v>0.32780537236446561</v>
      </c>
      <c r="D1100" s="7">
        <f t="shared" ca="1" si="65"/>
        <v>8.6395133587100229E-2</v>
      </c>
      <c r="E1100" s="7">
        <f t="shared" ca="1" si="66"/>
        <v>5.2213754549530589E-2</v>
      </c>
      <c r="F1100" s="7">
        <f t="shared" ca="1" si="67"/>
        <v>1.3231524548863295E-2</v>
      </c>
      <c r="G1100" s="7">
        <f ca="1">$C$11/(1+D1100)^1
 +$D$11/(1+D1100)^2
 +$E$11/(1+D1100)^3
 +$F$11/(1+D1100)^4
 +$G$11/(1+D1100)^5
 +$H$11/(1+D1100)^6
 +$I$11/(1+D1100)^7
 + ( $I$11*(1+F1100)/(D1100-F1100) )/(1+D1100)^7</f>
        <v>375.83302580979216</v>
      </c>
      <c r="H1100" s="7">
        <f ca="1">(G1100-$C$8)/$C$9</f>
        <v>2.0599447411227505</v>
      </c>
    </row>
    <row r="1101" spans="3:8" x14ac:dyDescent="0.35">
      <c r="C1101" s="8">
        <f t="shared" ca="1" si="64"/>
        <v>0.33405391787395966</v>
      </c>
      <c r="D1101" s="7">
        <f t="shared" ca="1" si="65"/>
        <v>8.6550655958500464E-2</v>
      </c>
      <c r="E1101" s="7">
        <f t="shared" ca="1" si="66"/>
        <v>0.13716169524132882</v>
      </c>
      <c r="F1101" s="7">
        <f t="shared" ca="1" si="67"/>
        <v>1.5237589049196754E-2</v>
      </c>
      <c r="G1101" s="7">
        <f ca="1">$C$11/(1+D1101)^1
 +$D$11/(1+D1101)^2
 +$E$11/(1+D1101)^3
 +$F$11/(1+D1101)^4
 +$G$11/(1+D1101)^5
 +$H$11/(1+D1101)^6
 +$I$11/(1+D1101)^7
 + ( $I$11*(1+F1101)/(D1101-F1101) )/(1+D1101)^7</f>
        <v>382.35200439178493</v>
      </c>
      <c r="H1101" s="7">
        <f ca="1">(G1101-$C$8)/$C$9</f>
        <v>2.0968001152859843</v>
      </c>
    </row>
    <row r="1102" spans="3:8" x14ac:dyDescent="0.35">
      <c r="C1102" s="8">
        <f t="shared" ca="1" si="64"/>
        <v>0.38366732233241019</v>
      </c>
      <c r="D1102" s="7">
        <f t="shared" ca="1" si="65"/>
        <v>8.7737170132593773E-2</v>
      </c>
      <c r="E1102" s="7">
        <f t="shared" ca="1" si="66"/>
        <v>0.18863007743166782</v>
      </c>
      <c r="F1102" s="7">
        <f t="shared" ca="1" si="67"/>
        <v>1.6142150721557846E-2</v>
      </c>
      <c r="G1102" s="7">
        <f ca="1">$C$11/(1+D1102)^1
 +$D$11/(1+D1102)^2
 +$E$11/(1+D1102)^3
 +$F$11/(1+D1102)^4
 +$G$11/(1+D1102)^5
 +$H$11/(1+D1102)^6
 +$I$11/(1+D1102)^7
 + ( $I$11*(1+F1102)/(D1102-F1102) )/(1+D1102)^7</f>
        <v>379.11751141183481</v>
      </c>
      <c r="H1102" s="7">
        <f ca="1">(G1102-$C$8)/$C$9</f>
        <v>2.0785137461094232</v>
      </c>
    </row>
    <row r="1103" spans="3:8" x14ac:dyDescent="0.35">
      <c r="C1103" s="8">
        <f t="shared" ca="1" si="64"/>
        <v>0.58934069077140416</v>
      </c>
      <c r="D1103" s="7">
        <f t="shared" ca="1" si="65"/>
        <v>9.2102674468002077E-2</v>
      </c>
      <c r="E1103" s="7">
        <f t="shared" ca="1" si="66"/>
        <v>0.36043800601028064</v>
      </c>
      <c r="F1103" s="7">
        <f t="shared" ca="1" si="67"/>
        <v>1.8490441755412736E-2</v>
      </c>
      <c r="G1103" s="7">
        <f ca="1">$C$11/(1+D1103)^1
 +$D$11/(1+D1103)^2
 +$E$11/(1+D1103)^3
 +$F$11/(1+D1103)^4
 +$G$11/(1+D1103)^5
 +$H$11/(1+D1103)^6
 +$I$11/(1+D1103)^7
 + ( $I$11*(1+F1103)/(D1103-F1103) )/(1+D1103)^7</f>
        <v>364.12961667806258</v>
      </c>
      <c r="H1103" s="7">
        <f ca="1">(G1103-$C$8)/$C$9</f>
        <v>1.9937789273974591</v>
      </c>
    </row>
    <row r="1104" spans="3:8" x14ac:dyDescent="0.35">
      <c r="C1104" s="8">
        <f t="shared" ca="1" si="64"/>
        <v>0.26659886420787859</v>
      </c>
      <c r="D1104" s="7">
        <f t="shared" ca="1" si="65"/>
        <v>8.4785501974923294E-2</v>
      </c>
      <c r="E1104" s="7">
        <f t="shared" ca="1" si="66"/>
        <v>0.31520667916362544</v>
      </c>
      <c r="F1104" s="7">
        <f t="shared" ca="1" si="67"/>
        <v>1.7939857418916606E-2</v>
      </c>
      <c r="G1104" s="7">
        <f ca="1">$C$11/(1+D1104)^1
 +$D$11/(1+D1104)^2
 +$E$11/(1+D1104)^3
 +$F$11/(1+D1104)^4
 +$G$11/(1+D1104)^5
 +$H$11/(1+D1104)^6
 +$I$11/(1+D1104)^7
 + ( $I$11*(1+F1104)/(D1104-F1104) )/(1+D1104)^7</f>
        <v>403.77328531410342</v>
      </c>
      <c r="H1104" s="7">
        <f ca="1">(G1104-$C$8)/$C$9</f>
        <v>2.217906407248436</v>
      </c>
    </row>
    <row r="1105" spans="3:8" x14ac:dyDescent="0.35">
      <c r="C1105" s="8">
        <f t="shared" ref="C1105:C1168" ca="1" si="68">RAND()</f>
        <v>0.20206910505848641</v>
      </c>
      <c r="D1105" s="7">
        <f t="shared" ref="D1105:D1168" ca="1" si="69">IF(C1105&lt;(0.0905-0.07)/(0.11-0.07),
 0.07+SQRT(C1105*(0.11-0.07)*(0.0905-0.07)),
 0.11-SQRT((1-C1105)*(0.11-0.07)*(0.11-0.0905))
)</f>
        <v>8.2872321707755714E-2</v>
      </c>
      <c r="E1105" s="7">
        <f t="shared" ref="E1105:E1168" ca="1" si="70">RAND()</f>
        <v>0.68221728594862796</v>
      </c>
      <c r="F1105" s="7">
        <f t="shared" ref="F1105:F1168" ca="1" si="71">MIN(
 IF(E1105&lt;(0.02-0.01)/(0.03-0.01),
   0.01+SQRT(E1105*(0.03-0.01)*(0.02-0.01)),
   0.03-SQRT((1-E1105)*(0.03-0.01)*(0.03-0.02))
 ),
 D1105-0.005
)</f>
        <v>2.2027764252715902E-2</v>
      </c>
      <c r="G1105" s="7">
        <f ca="1">$C$11/(1+D1105)^1
 +$D$11/(1+D1105)^2
 +$E$11/(1+D1105)^3
 +$F$11/(1+D1105)^4
 +$G$11/(1+D1105)^5
 +$H$11/(1+D1105)^6
 +$I$11/(1+D1105)^7
 + ( $I$11*(1+F1105)/(D1105-F1105) )/(1+D1105)^7</f>
        <v>436.42977481054419</v>
      </c>
      <c r="H1105" s="7">
        <f ca="1">(G1105-$C$8)/$C$9</f>
        <v>2.4025315174725472</v>
      </c>
    </row>
    <row r="1106" spans="3:8" x14ac:dyDescent="0.35">
      <c r="C1106" s="8">
        <f t="shared" ca="1" si="68"/>
        <v>0.8526619691165046</v>
      </c>
      <c r="D1106" s="7">
        <f t="shared" ca="1" si="69"/>
        <v>9.927975447626658E-2</v>
      </c>
      <c r="E1106" s="7">
        <f t="shared" ca="1" si="70"/>
        <v>0.80584993707473385</v>
      </c>
      <c r="F1106" s="7">
        <f t="shared" ca="1" si="71"/>
        <v>2.3768626749659974E-2</v>
      </c>
      <c r="G1106" s="7">
        <f ca="1">$C$11/(1+D1106)^1
 +$D$11/(1+D1106)^2
 +$E$11/(1+D1106)^3
 +$F$11/(1+D1106)^4
 +$G$11/(1+D1106)^5
 +$H$11/(1+D1106)^6
 +$I$11/(1+D1106)^7
 + ( $I$11*(1+F1106)/(D1106-F1106) )/(1+D1106)^7</f>
        <v>345.80356326832339</v>
      </c>
      <c r="H1106" s="7">
        <f ca="1">(G1106-$C$8)/$C$9</f>
        <v>1.8901716602686758</v>
      </c>
    </row>
    <row r="1107" spans="3:8" x14ac:dyDescent="0.35">
      <c r="C1107" s="8">
        <f t="shared" ca="1" si="68"/>
        <v>2.8845501783283489E-2</v>
      </c>
      <c r="D1107" s="7">
        <f t="shared" ca="1" si="69"/>
        <v>7.4863467020787999E-2</v>
      </c>
      <c r="E1107" s="7">
        <f t="shared" ca="1" si="70"/>
        <v>2.8193457783056042E-2</v>
      </c>
      <c r="F1107" s="7">
        <f t="shared" ca="1" si="71"/>
        <v>1.237459292440014E-2</v>
      </c>
      <c r="G1107" s="7">
        <f ca="1">$C$11/(1+D1107)^1
 +$D$11/(1+D1107)^2
 +$E$11/(1+D1107)^3
 +$F$11/(1+D1107)^4
 +$G$11/(1+D1107)^5
 +$H$11/(1+D1107)^6
 +$I$11/(1+D1107)^7
 + ( $I$11*(1+F1107)/(D1107-F1107) )/(1+D1107)^7</f>
        <v>445.23651355594512</v>
      </c>
      <c r="H1107" s="7">
        <f ca="1">(G1107-$C$8)/$C$9</f>
        <v>2.4523208590905989</v>
      </c>
    </row>
    <row r="1108" spans="3:8" x14ac:dyDescent="0.35">
      <c r="C1108" s="8">
        <f t="shared" ca="1" si="68"/>
        <v>0.10371160864900963</v>
      </c>
      <c r="D1108" s="7">
        <f t="shared" ca="1" si="69"/>
        <v>7.9221904309424815E-2</v>
      </c>
      <c r="E1108" s="7">
        <f t="shared" ca="1" si="70"/>
        <v>2.5187212248597324E-2</v>
      </c>
      <c r="F1108" s="7">
        <f t="shared" ca="1" si="71"/>
        <v>1.2244424748063401E-2</v>
      </c>
      <c r="G1108" s="7">
        <f ca="1">$C$11/(1+D1108)^1
 +$D$11/(1+D1108)^2
 +$E$11/(1+D1108)^3
 +$F$11/(1+D1108)^4
 +$G$11/(1+D1108)^5
 +$H$11/(1+D1108)^6
 +$I$11/(1+D1108)^7
 + ( $I$11*(1+F1108)/(D1108-F1108) )/(1+D1108)^7</f>
        <v>414.31720054773416</v>
      </c>
      <c r="H1108" s="7">
        <f ca="1">(G1108-$C$8)/$C$9</f>
        <v>2.2775169637479316</v>
      </c>
    </row>
    <row r="1109" spans="3:8" x14ac:dyDescent="0.35">
      <c r="C1109" s="8">
        <f t="shared" ca="1" si="68"/>
        <v>0.23091209736455387</v>
      </c>
      <c r="D1109" s="7">
        <f t="shared" ca="1" si="69"/>
        <v>8.3760374989037698E-2</v>
      </c>
      <c r="E1109" s="7">
        <f t="shared" ca="1" si="70"/>
        <v>0.28112463911583041</v>
      </c>
      <c r="F1109" s="7">
        <f t="shared" ca="1" si="71"/>
        <v>1.7498328335246869E-2</v>
      </c>
      <c r="G1109" s="7">
        <f ca="1">$C$11/(1+D1109)^1
 +$D$11/(1+D1109)^2
 +$E$11/(1+D1109)^3
 +$F$11/(1+D1109)^4
 +$G$11/(1+D1109)^5
 +$H$11/(1+D1109)^6
 +$I$11/(1+D1109)^7
 + ( $I$11*(1+F1109)/(D1109-F1109) )/(1+D1109)^7</f>
        <v>408.36128026512517</v>
      </c>
      <c r="H1109" s="7">
        <f ca="1">(G1109-$C$8)/$C$9</f>
        <v>2.2438448680751084</v>
      </c>
    </row>
    <row r="1110" spans="3:8" x14ac:dyDescent="0.35">
      <c r="C1110" s="8">
        <f t="shared" ca="1" si="68"/>
        <v>0.23432780717568935</v>
      </c>
      <c r="D1110" s="7">
        <f t="shared" ca="1" si="69"/>
        <v>8.386177484610341E-2</v>
      </c>
      <c r="E1110" s="7">
        <f t="shared" ca="1" si="70"/>
        <v>0.13377175418087328</v>
      </c>
      <c r="F1110" s="7">
        <f t="shared" ca="1" si="71"/>
        <v>1.517246081050158E-2</v>
      </c>
      <c r="G1110" s="7">
        <f ca="1">$C$11/(1+D1110)^1
 +$D$11/(1+D1110)^2
 +$E$11/(1+D1110)^3
 +$F$11/(1+D1110)^4
 +$G$11/(1+D1110)^5
 +$H$11/(1+D1110)^6
 +$I$11/(1+D1110)^7
 + ( $I$11*(1+F1110)/(D1110-F1110) )/(1+D1110)^7</f>
        <v>397.78107753450092</v>
      </c>
      <c r="H1110" s="7">
        <f ca="1">(G1110-$C$8)/$C$9</f>
        <v>2.1840291583813936</v>
      </c>
    </row>
    <row r="1111" spans="3:8" x14ac:dyDescent="0.35">
      <c r="C1111" s="8">
        <f t="shared" ca="1" si="68"/>
        <v>0.90632018153209537</v>
      </c>
      <c r="D1111" s="7">
        <f t="shared" ca="1" si="69"/>
        <v>0.10145188568133499</v>
      </c>
      <c r="E1111" s="7">
        <f t="shared" ca="1" si="70"/>
        <v>0.48646812308350129</v>
      </c>
      <c r="F1111" s="7">
        <f t="shared" ca="1" si="71"/>
        <v>1.9863753069531913E-2</v>
      </c>
      <c r="G1111" s="7">
        <f ca="1">$C$11/(1+D1111)^1
 +$D$11/(1+D1111)^2
 +$E$11/(1+D1111)^3
 +$F$11/(1+D1111)^4
 +$G$11/(1+D1111)^5
 +$H$11/(1+D1111)^6
 +$I$11/(1+D1111)^7
 + ( $I$11*(1+F1111)/(D1111-F1111) )/(1+D1111)^7</f>
        <v>324.8527567183599</v>
      </c>
      <c r="H1111" s="7">
        <f ca="1">(G1111-$C$8)/$C$9</f>
        <v>1.7717252188962</v>
      </c>
    </row>
    <row r="1112" spans="3:8" x14ac:dyDescent="0.35">
      <c r="C1112" s="8">
        <f t="shared" ca="1" si="68"/>
        <v>0.58160846083365692</v>
      </c>
      <c r="D1112" s="7">
        <f t="shared" ca="1" si="69"/>
        <v>9.193496746336316E-2</v>
      </c>
      <c r="E1112" s="7">
        <f t="shared" ca="1" si="70"/>
        <v>0.39590461914419417</v>
      </c>
      <c r="F1112" s="7">
        <f t="shared" ca="1" si="71"/>
        <v>1.8898366357306202E-2</v>
      </c>
      <c r="G1112" s="7">
        <f ca="1">$C$11/(1+D1112)^1
 +$D$11/(1+D1112)^2
 +$E$11/(1+D1112)^3
 +$F$11/(1+D1112)^4
 +$G$11/(1+D1112)^5
 +$H$11/(1+D1112)^6
 +$I$11/(1+D1112)^7
 + ( $I$11*(1+F1112)/(D1112-F1112) )/(1+D1112)^7</f>
        <v>366.41438186194114</v>
      </c>
      <c r="H1112" s="7">
        <f ca="1">(G1112-$C$8)/$C$9</f>
        <v>2.0066959625844705</v>
      </c>
    </row>
    <row r="1113" spans="3:8" x14ac:dyDescent="0.35">
      <c r="C1113" s="8">
        <f t="shared" ca="1" si="68"/>
        <v>0.10153843580911515</v>
      </c>
      <c r="D1113" s="7">
        <f t="shared" ca="1" si="69"/>
        <v>7.9124774921250085E-2</v>
      </c>
      <c r="E1113" s="7">
        <f t="shared" ca="1" si="70"/>
        <v>0.58686400318328802</v>
      </c>
      <c r="F1113" s="7">
        <f t="shared" ca="1" si="71"/>
        <v>2.0910049540105162E-2</v>
      </c>
      <c r="G1113" s="7">
        <f ca="1">$C$11/(1+D1113)^1
 +$D$11/(1+D1113)^2
 +$E$11/(1+D1113)^3
 +$F$11/(1+D1113)^4
 +$G$11/(1+D1113)^5
 +$H$11/(1+D1113)^6
 +$I$11/(1+D1113)^7
 + ( $I$11*(1+F1113)/(D1113-F1113) )/(1+D1113)^7</f>
        <v>459.41485572643558</v>
      </c>
      <c r="H1113" s="7">
        <f ca="1">(G1113-$C$8)/$C$9</f>
        <v>2.5324788315605811</v>
      </c>
    </row>
    <row r="1114" spans="3:8" x14ac:dyDescent="0.35">
      <c r="C1114" s="8">
        <f t="shared" ca="1" si="68"/>
        <v>0.78591957540216362</v>
      </c>
      <c r="D1114" s="7">
        <f t="shared" ca="1" si="69"/>
        <v>9.7077820184415006E-2</v>
      </c>
      <c r="E1114" s="7">
        <f t="shared" ca="1" si="70"/>
        <v>0.42760682684665652</v>
      </c>
      <c r="F1114" s="7">
        <f t="shared" ca="1" si="71"/>
        <v>1.9247776239146971E-2</v>
      </c>
      <c r="G1114" s="7">
        <f ca="1">$C$11/(1+D1114)^1
 +$D$11/(1+D1114)^2
 +$E$11/(1+D1114)^3
 +$F$11/(1+D1114)^4
 +$G$11/(1+D1114)^5
 +$H$11/(1+D1114)^6
 +$I$11/(1+D1114)^7
 + ( $I$11*(1+F1114)/(D1114-F1114) )/(1+D1114)^7</f>
        <v>342.2817195077368</v>
      </c>
      <c r="H1114" s="7">
        <f ca="1">(G1114-$C$8)/$C$9</f>
        <v>1.8702607389627814</v>
      </c>
    </row>
    <row r="1115" spans="3:8" x14ac:dyDescent="0.35">
      <c r="C1115" s="8">
        <f t="shared" ca="1" si="68"/>
        <v>0.11895603548538702</v>
      </c>
      <c r="D1115" s="7">
        <f t="shared" ca="1" si="69"/>
        <v>7.9876434027421908E-2</v>
      </c>
      <c r="E1115" s="7">
        <f t="shared" ca="1" si="70"/>
        <v>0.85789474637342689</v>
      </c>
      <c r="F1115" s="7">
        <f t="shared" ca="1" si="71"/>
        <v>2.4668860278953979E-2</v>
      </c>
      <c r="G1115" s="7">
        <f ca="1">$C$11/(1+D1115)^1
 +$D$11/(1+D1115)^2
 +$E$11/(1+D1115)^3
 +$F$11/(1+D1115)^4
 +$G$11/(1+D1115)^5
 +$H$11/(1+D1115)^6
 +$I$11/(1+D1115)^7
 + ( $I$11*(1+F1115)/(D1115-F1115) )/(1+D1115)^7</f>
        <v>476.31844399378258</v>
      </c>
      <c r="H1115" s="7">
        <f ca="1">(G1115-$C$8)/$C$9</f>
        <v>2.6280441202724028</v>
      </c>
    </row>
    <row r="1116" spans="3:8" x14ac:dyDescent="0.35">
      <c r="C1116" s="8">
        <f t="shared" ca="1" si="68"/>
        <v>0.74937421275468641</v>
      </c>
      <c r="D1116" s="7">
        <f t="shared" ca="1" si="69"/>
        <v>9.6018293593007162E-2</v>
      </c>
      <c r="E1116" s="7">
        <f t="shared" ca="1" si="70"/>
        <v>0.78469329153788536</v>
      </c>
      <c r="F1116" s="7">
        <f t="shared" ca="1" si="71"/>
        <v>2.3437885882398653E-2</v>
      </c>
      <c r="G1116" s="7">
        <f ca="1">$C$11/(1+D1116)^1
 +$D$11/(1+D1116)^2
 +$E$11/(1+D1116)^3
 +$F$11/(1+D1116)^4
 +$G$11/(1+D1116)^5
 +$H$11/(1+D1116)^6
 +$I$11/(1+D1116)^7
 + ( $I$11*(1+F1116)/(D1116-F1116) )/(1+D1116)^7</f>
        <v>360.91281468978434</v>
      </c>
      <c r="H1116" s="7">
        <f ca="1">(G1116-$C$8)/$C$9</f>
        <v>1.9755925751344658</v>
      </c>
    </row>
    <row r="1117" spans="3:8" x14ac:dyDescent="0.35">
      <c r="C1117" s="8">
        <f t="shared" ca="1" si="68"/>
        <v>0.21238473883358611</v>
      </c>
      <c r="D1117" s="7">
        <f t="shared" ca="1" si="69"/>
        <v>8.3196798317908049E-2</v>
      </c>
      <c r="E1117" s="7">
        <f t="shared" ca="1" si="70"/>
        <v>2.6489168295568577E-2</v>
      </c>
      <c r="F1117" s="7">
        <f t="shared" ca="1" si="71"/>
        <v>1.230170233938138E-2</v>
      </c>
      <c r="G1117" s="7">
        <f ca="1">$C$11/(1+D1117)^1
 +$D$11/(1+D1117)^2
 +$E$11/(1+D1117)^3
 +$F$11/(1+D1117)^4
 +$G$11/(1+D1117)^5
 +$H$11/(1+D1117)^6
 +$I$11/(1+D1117)^7
 + ( $I$11*(1+F1117)/(D1117-F1117) )/(1+D1117)^7</f>
        <v>390.22288164155759</v>
      </c>
      <c r="H1117" s="7">
        <f ca="1">(G1117-$C$8)/$C$9</f>
        <v>2.1412985167433152</v>
      </c>
    </row>
    <row r="1118" spans="3:8" x14ac:dyDescent="0.35">
      <c r="C1118" s="8">
        <f t="shared" ca="1" si="68"/>
        <v>0.72770353487566952</v>
      </c>
      <c r="D1118" s="7">
        <f t="shared" ca="1" si="69"/>
        <v>9.5426351081593266E-2</v>
      </c>
      <c r="E1118" s="7">
        <f t="shared" ca="1" si="70"/>
        <v>0.2369056037784848</v>
      </c>
      <c r="F1118" s="7">
        <f t="shared" ca="1" si="71"/>
        <v>1.6883394566323869E-2</v>
      </c>
      <c r="G1118" s="7">
        <f ca="1">$C$11/(1+D1118)^1
 +$D$11/(1+D1118)^2
 +$E$11/(1+D1118)^3
 +$F$11/(1+D1118)^4
 +$G$11/(1+D1118)^5
 +$H$11/(1+D1118)^6
 +$I$11/(1+D1118)^7
 + ( $I$11*(1+F1118)/(D1118-F1118) )/(1+D1118)^7</f>
        <v>342.83288304580367</v>
      </c>
      <c r="H1118" s="7">
        <f ca="1">(G1118-$C$8)/$C$9</f>
        <v>1.8733767698202377</v>
      </c>
    </row>
    <row r="1119" spans="3:8" x14ac:dyDescent="0.35">
      <c r="C1119" s="8">
        <f t="shared" ca="1" si="68"/>
        <v>0.38746148189655283</v>
      </c>
      <c r="D1119" s="7">
        <f t="shared" ca="1" si="69"/>
        <v>8.7824657504568596E-2</v>
      </c>
      <c r="E1119" s="7">
        <f t="shared" ca="1" si="70"/>
        <v>0.45508643836849649</v>
      </c>
      <c r="F1119" s="7">
        <f t="shared" ca="1" si="71"/>
        <v>1.954029809144868E-2</v>
      </c>
      <c r="G1119" s="7">
        <f ca="1">$C$11/(1+D1119)^1
 +$D$11/(1+D1119)^2
 +$E$11/(1+D1119)^3
 +$F$11/(1+D1119)^4
 +$G$11/(1+D1119)^5
 +$H$11/(1+D1119)^6
 +$I$11/(1+D1119)^7
 + ( $I$11*(1+F1119)/(D1119-F1119) )/(1+D1119)^7</f>
        <v>391.85078918745342</v>
      </c>
      <c r="H1119" s="7">
        <f ca="1">(G1119-$C$8)/$C$9</f>
        <v>2.1505019741488773</v>
      </c>
    </row>
    <row r="1120" spans="3:8" x14ac:dyDescent="0.35">
      <c r="C1120" s="8">
        <f t="shared" ca="1" si="68"/>
        <v>0.64774786962987541</v>
      </c>
      <c r="D1120" s="7">
        <f t="shared" ca="1" si="69"/>
        <v>9.3424214598134506E-2</v>
      </c>
      <c r="E1120" s="7">
        <f t="shared" ca="1" si="70"/>
        <v>0.25282695492409513</v>
      </c>
      <c r="F1120" s="7">
        <f t="shared" ca="1" si="71"/>
        <v>1.7110934606985147E-2</v>
      </c>
      <c r="G1120" s="7">
        <f ca="1">$C$11/(1+D1120)^1
 +$D$11/(1+D1120)^2
 +$E$11/(1+D1120)^3
 +$F$11/(1+D1120)^4
 +$G$11/(1+D1120)^5
 +$H$11/(1+D1120)^6
 +$I$11/(1+D1120)^7
 + ( $I$11*(1+F1120)/(D1120-F1120) )/(1+D1120)^7</f>
        <v>352.96299191640685</v>
      </c>
      <c r="H1120" s="7">
        <f ca="1">(G1120-$C$8)/$C$9</f>
        <v>1.9306478511782386</v>
      </c>
    </row>
    <row r="1121" spans="3:8" x14ac:dyDescent="0.35">
      <c r="C1121" s="8">
        <f t="shared" ca="1" si="68"/>
        <v>3.1045374727894592E-2</v>
      </c>
      <c r="D1121" s="7">
        <f t="shared" ca="1" si="69"/>
        <v>7.5045513579099124E-2</v>
      </c>
      <c r="E1121" s="7">
        <f t="shared" ca="1" si="70"/>
        <v>0.30865743304580218</v>
      </c>
      <c r="F1121" s="7">
        <f t="shared" ca="1" si="71"/>
        <v>1.7856938755594347E-2</v>
      </c>
      <c r="G1121" s="7">
        <f ca="1">$C$11/(1+D1121)^1
 +$D$11/(1+D1121)^2
 +$E$11/(1+D1121)^3
 +$F$11/(1+D1121)^4
 +$G$11/(1+D1121)^5
 +$H$11/(1+D1121)^6
 +$I$11/(1+D1121)^7
 + ( $I$11*(1+F1121)/(D1121-F1121) )/(1+D1121)^7</f>
        <v>475.14717859932739</v>
      </c>
      <c r="H1121" s="7">
        <f ca="1">(G1121-$C$8)/$C$9</f>
        <v>2.6214223122983231</v>
      </c>
    </row>
    <row r="1122" spans="3:8" x14ac:dyDescent="0.35">
      <c r="C1122" s="8">
        <f t="shared" ca="1" si="68"/>
        <v>0.89734505770496786</v>
      </c>
      <c r="D1122" s="7">
        <f t="shared" ca="1" si="69"/>
        <v>0.10105176805228401</v>
      </c>
      <c r="E1122" s="7">
        <f t="shared" ca="1" si="70"/>
        <v>0.70419771659952302</v>
      </c>
      <c r="F1122" s="7">
        <f t="shared" ca="1" si="71"/>
        <v>2.2308416503729847E-2</v>
      </c>
      <c r="G1122" s="7">
        <f ca="1">$C$11/(1+D1122)^1
 +$D$11/(1+D1122)^2
 +$E$11/(1+D1122)^3
 +$F$11/(1+D1122)^4
 +$G$11/(1+D1122)^5
 +$H$11/(1+D1122)^6
 +$I$11/(1+D1122)^7
 + ( $I$11*(1+F1122)/(D1122-F1122) )/(1+D1122)^7</f>
        <v>333.30091094630916</v>
      </c>
      <c r="H1122" s="7">
        <f ca="1">(G1122-$C$8)/$C$9</f>
        <v>1.8194872848615398</v>
      </c>
    </row>
    <row r="1123" spans="3:8" x14ac:dyDescent="0.35">
      <c r="C1123" s="8">
        <f t="shared" ca="1" si="68"/>
        <v>7.7968891606197355E-2</v>
      </c>
      <c r="D1123" s="7">
        <f t="shared" ca="1" si="69"/>
        <v>7.7995904646572634E-2</v>
      </c>
      <c r="E1123" s="7">
        <f t="shared" ca="1" si="70"/>
        <v>0.99663508774537324</v>
      </c>
      <c r="F1123" s="7">
        <f t="shared" ca="1" si="71"/>
        <v>2.9179644923874207E-2</v>
      </c>
      <c r="G1123" s="7">
        <f ca="1">$C$11/(1+D1123)^1
 +$D$11/(1+D1123)^2
 +$E$11/(1+D1123)^3
 +$F$11/(1+D1123)^4
 +$G$11/(1+D1123)^5
 +$H$11/(1+D1123)^6
 +$I$11/(1+D1123)^7
 + ( $I$11*(1+F1123)/(D1123-F1123) )/(1+D1123)^7</f>
        <v>528.49124045451049</v>
      </c>
      <c r="H1123" s="7">
        <f ca="1">(G1123-$C$8)/$C$9</f>
        <v>2.9230056561200275</v>
      </c>
    </row>
    <row r="1124" spans="3:8" x14ac:dyDescent="0.35">
      <c r="C1124" s="8">
        <f t="shared" ca="1" si="68"/>
        <v>0.18620628456781685</v>
      </c>
      <c r="D1124" s="7">
        <f t="shared" ca="1" si="69"/>
        <v>8.2356745256968358E-2</v>
      </c>
      <c r="E1124" s="7">
        <f t="shared" ca="1" si="70"/>
        <v>6.5548055245112646E-2</v>
      </c>
      <c r="F1124" s="7">
        <f t="shared" ca="1" si="71"/>
        <v>1.362071968661239E-2</v>
      </c>
      <c r="G1124" s="7">
        <f ca="1">$C$11/(1+D1124)^1
 +$D$11/(1+D1124)^2
 +$E$11/(1+D1124)^3
 +$F$11/(1+D1124)^4
 +$G$11/(1+D1124)^5
 +$H$11/(1+D1124)^6
 +$I$11/(1+D1124)^7
 + ( $I$11*(1+F1124)/(D1124-F1124) )/(1+D1124)^7</f>
        <v>400.51218838611101</v>
      </c>
      <c r="H1124" s="7">
        <f ca="1">(G1124-$C$8)/$C$9</f>
        <v>2.1994696313099897</v>
      </c>
    </row>
    <row r="1125" spans="3:8" x14ac:dyDescent="0.35">
      <c r="C1125" s="8">
        <f t="shared" ca="1" si="68"/>
        <v>0.1398096089080183</v>
      </c>
      <c r="D1125" s="7">
        <f t="shared" ca="1" si="69"/>
        <v>8.0707188207208042E-2</v>
      </c>
      <c r="E1125" s="7">
        <f t="shared" ca="1" si="70"/>
        <v>5.1686554804819873E-2</v>
      </c>
      <c r="F1125" s="7">
        <f t="shared" ca="1" si="71"/>
        <v>1.3215168885294204E-2</v>
      </c>
      <c r="G1125" s="7">
        <f ca="1">$C$11/(1+D1125)^1
 +$D$11/(1+D1125)^2
 +$E$11/(1+D1125)^3
 +$F$11/(1+D1125)^4
 +$G$11/(1+D1125)^5
 +$H$11/(1+D1125)^6
 +$I$11/(1+D1125)^7
 + ( $I$11*(1+F1125)/(D1125-F1125) )/(1+D1125)^7</f>
        <v>409.05845698636534</v>
      </c>
      <c r="H1125" s="7">
        <f ca="1">(G1125-$C$8)/$C$9</f>
        <v>2.2477863918270313</v>
      </c>
    </row>
    <row r="1126" spans="3:8" x14ac:dyDescent="0.35">
      <c r="C1126" s="8">
        <f t="shared" ca="1" si="68"/>
        <v>0.32629671913805935</v>
      </c>
      <c r="D1126" s="7">
        <f t="shared" ca="1" si="69"/>
        <v>8.6357362553089317E-2</v>
      </c>
      <c r="E1126" s="7">
        <f t="shared" ca="1" si="70"/>
        <v>0.80722686364157026</v>
      </c>
      <c r="F1126" s="7">
        <f t="shared" ca="1" si="71"/>
        <v>2.3790762746384548E-2</v>
      </c>
      <c r="G1126" s="7">
        <f ca="1">$C$11/(1+D1126)^1
 +$D$11/(1+D1126)^2
 +$E$11/(1+D1126)^3
 +$F$11/(1+D1126)^4
 +$G$11/(1+D1126)^5
 +$H$11/(1+D1126)^6
 +$I$11/(1+D1126)^7
 + ( $I$11*(1+F1126)/(D1126-F1126) )/(1+D1126)^7</f>
        <v>420.33472951157296</v>
      </c>
      <c r="H1126" s="7">
        <f ca="1">(G1126-$C$8)/$C$9</f>
        <v>2.3115373672069932</v>
      </c>
    </row>
    <row r="1127" spans="3:8" x14ac:dyDescent="0.35">
      <c r="C1127" s="8">
        <f t="shared" ca="1" si="68"/>
        <v>0.9680822436735177</v>
      </c>
      <c r="D1127" s="7">
        <f t="shared" ca="1" si="69"/>
        <v>0.1050104258764243</v>
      </c>
      <c r="E1127" s="7">
        <f t="shared" ca="1" si="70"/>
        <v>0.38637791441249703</v>
      </c>
      <c r="F1127" s="7">
        <f t="shared" ca="1" si="71"/>
        <v>1.8790653154487406E-2</v>
      </c>
      <c r="G1127" s="7">
        <f ca="1">$C$11/(1+D1127)^1
 +$D$11/(1+D1127)^2
 +$E$11/(1+D1127)^3
 +$F$11/(1+D1127)^4
 +$G$11/(1+D1127)^5
 +$H$11/(1+D1127)^6
 +$I$11/(1+D1127)^7
 + ( $I$11*(1+F1127)/(D1127-F1127) )/(1+D1127)^7</f>
        <v>308.10442829932555</v>
      </c>
      <c r="H1127" s="7">
        <f ca="1">(G1127-$C$8)/$C$9</f>
        <v>1.677037699566517</v>
      </c>
    </row>
    <row r="1128" spans="3:8" x14ac:dyDescent="0.35">
      <c r="C1128" s="8">
        <f t="shared" ca="1" si="68"/>
        <v>0.96873701129078593</v>
      </c>
      <c r="D1128" s="7">
        <f t="shared" ca="1" si="69"/>
        <v>0.10506186966624138</v>
      </c>
      <c r="E1128" s="7">
        <f t="shared" ca="1" si="70"/>
        <v>0.93193654983799357</v>
      </c>
      <c r="F1128" s="7">
        <f t="shared" ca="1" si="71"/>
        <v>2.6310462084162666E-2</v>
      </c>
      <c r="G1128" s="7">
        <f ca="1">$C$11/(1+D1128)^1
 +$D$11/(1+D1128)^2
 +$E$11/(1+D1128)^3
 +$F$11/(1+D1128)^4
 +$G$11/(1+D1128)^5
 +$H$11/(1+D1128)^6
 +$I$11/(1+D1128)^7
 + ( $I$11*(1+F1128)/(D1128-F1128) )/(1+D1128)^7</f>
        <v>327.08764821735531</v>
      </c>
      <c r="H1128" s="7">
        <f ca="1">(G1128-$C$8)/$C$9</f>
        <v>1.7843602906906111</v>
      </c>
    </row>
    <row r="1129" spans="3:8" x14ac:dyDescent="0.35">
      <c r="C1129" s="8">
        <f t="shared" ca="1" si="68"/>
        <v>0.44061001330699745</v>
      </c>
      <c r="D1129" s="7">
        <f t="shared" ca="1" si="69"/>
        <v>8.9007898645345779E-2</v>
      </c>
      <c r="E1129" s="7">
        <f t="shared" ca="1" si="70"/>
        <v>0.93277989202376199</v>
      </c>
      <c r="F1129" s="7">
        <f t="shared" ca="1" si="71"/>
        <v>2.633339099504084E-2</v>
      </c>
      <c r="G1129" s="7">
        <f ca="1">$C$11/(1+D1129)^1
 +$D$11/(1+D1129)^2
 +$E$11/(1+D1129)^3
 +$F$11/(1+D1129)^4
 +$G$11/(1+D1129)^5
 +$H$11/(1+D1129)^6
 +$I$11/(1+D1129)^7
 + ( $I$11*(1+F1129)/(D1129-F1129) )/(1+D1129)^7</f>
        <v>414.4084768052814</v>
      </c>
      <c r="H1129" s="7">
        <f ca="1">(G1129-$C$8)/$C$9</f>
        <v>2.2780329986730066</v>
      </c>
    </row>
    <row r="1130" spans="3:8" x14ac:dyDescent="0.35">
      <c r="C1130" s="8">
        <f t="shared" ca="1" si="68"/>
        <v>0.41802160990927995</v>
      </c>
      <c r="D1130" s="7">
        <f t="shared" ca="1" si="69"/>
        <v>8.8514257212365E-2</v>
      </c>
      <c r="E1130" s="7">
        <f t="shared" ca="1" si="70"/>
        <v>0.84463017758665992</v>
      </c>
      <c r="F1130" s="7">
        <f t="shared" ca="1" si="71"/>
        <v>2.4425597387821005E-2</v>
      </c>
      <c r="G1130" s="7">
        <f ca="1">$C$11/(1+D1130)^1
 +$D$11/(1+D1130)^2
 +$E$11/(1+D1130)^3
 +$F$11/(1+D1130)^4
 +$G$11/(1+D1130)^5
 +$H$11/(1+D1130)^6
 +$I$11/(1+D1130)^7
 + ( $I$11*(1+F1130)/(D1130-F1130) )/(1+D1130)^7</f>
        <v>408.7295872425891</v>
      </c>
      <c r="H1130" s="7">
        <f ca="1">(G1130-$C$8)/$C$9</f>
        <v>2.2459271101458</v>
      </c>
    </row>
    <row r="1131" spans="3:8" x14ac:dyDescent="0.35">
      <c r="C1131" s="8">
        <f t="shared" ca="1" si="68"/>
        <v>0.22692700214528039</v>
      </c>
      <c r="D1131" s="7">
        <f t="shared" ca="1" si="69"/>
        <v>8.3641119520007509E-2</v>
      </c>
      <c r="E1131" s="7">
        <f t="shared" ca="1" si="70"/>
        <v>0.70866129353212437</v>
      </c>
      <c r="F1131" s="7">
        <f t="shared" ca="1" si="71"/>
        <v>2.2366669056461973E-2</v>
      </c>
      <c r="G1131" s="7">
        <f ca="1">$C$11/(1+D1131)^1
 +$D$11/(1+D1131)^2
 +$E$11/(1+D1131)^3
 +$F$11/(1+D1131)^4
 +$G$11/(1+D1131)^5
 +$H$11/(1+D1131)^6
 +$I$11/(1+D1131)^7
 + ( $I$11*(1+F1131)/(D1131-F1131) )/(1+D1131)^7</f>
        <v>432.53409021816964</v>
      </c>
      <c r="H1131" s="7">
        <f ca="1">(G1131-$C$8)/$C$9</f>
        <v>2.38050706817147</v>
      </c>
    </row>
    <row r="1132" spans="3:8" x14ac:dyDescent="0.35">
      <c r="C1132" s="8">
        <f t="shared" ca="1" si="68"/>
        <v>0.70620565618679698</v>
      </c>
      <c r="D1132" s="7">
        <f t="shared" ca="1" si="69"/>
        <v>9.4861982026226213E-2</v>
      </c>
      <c r="E1132" s="7">
        <f t="shared" ca="1" si="70"/>
        <v>0.90922475556687077</v>
      </c>
      <c r="F1132" s="7">
        <f t="shared" ca="1" si="71"/>
        <v>2.5739125807228539E-2</v>
      </c>
      <c r="G1132" s="7">
        <f ca="1">$C$11/(1+D1132)^1
 +$D$11/(1+D1132)^2
 +$E$11/(1+D1132)^3
 +$F$11/(1+D1132)^4
 +$G$11/(1+D1132)^5
 +$H$11/(1+D1132)^6
 +$I$11/(1+D1132)^7
 + ( $I$11*(1+F1132)/(D1132-F1132) )/(1+D1132)^7</f>
        <v>375.52969964186661</v>
      </c>
      <c r="H1132" s="7">
        <f ca="1">(G1132-$C$8)/$C$9</f>
        <v>2.0582298713357452</v>
      </c>
    </row>
    <row r="1133" spans="3:8" x14ac:dyDescent="0.35">
      <c r="C1133" s="8">
        <f t="shared" ca="1" si="68"/>
        <v>0.69978018794517816</v>
      </c>
      <c r="D1133" s="7">
        <f t="shared" ca="1" si="69"/>
        <v>9.4697338355607508E-2</v>
      </c>
      <c r="E1133" s="7">
        <f t="shared" ca="1" si="70"/>
        <v>0.38821470261794921</v>
      </c>
      <c r="F1133" s="7">
        <f t="shared" ca="1" si="71"/>
        <v>1.8811523167057434E-2</v>
      </c>
      <c r="G1133" s="7">
        <f ca="1">$C$11/(1+D1133)^1
 +$D$11/(1+D1133)^2
 +$E$11/(1+D1133)^3
 +$F$11/(1+D1133)^4
 +$G$11/(1+D1133)^5
 +$H$11/(1+D1133)^6
 +$I$11/(1+D1133)^7
 + ( $I$11*(1+F1133)/(D1133-F1133) )/(1+D1133)^7</f>
        <v>352.18926319775881</v>
      </c>
      <c r="H1133" s="7">
        <f ca="1">(G1133-$C$8)/$C$9</f>
        <v>1.926273536848478</v>
      </c>
    </row>
    <row r="1134" spans="3:8" x14ac:dyDescent="0.35">
      <c r="C1134" s="8">
        <f t="shared" ca="1" si="68"/>
        <v>0.10285382043968982</v>
      </c>
      <c r="D1134" s="7">
        <f t="shared" ca="1" si="69"/>
        <v>7.9183688407200331E-2</v>
      </c>
      <c r="E1134" s="7">
        <f t="shared" ca="1" si="70"/>
        <v>0.68111038668145407</v>
      </c>
      <c r="F1134" s="7">
        <f t="shared" ca="1" si="71"/>
        <v>2.2013891895064957E-2</v>
      </c>
      <c r="G1134" s="7">
        <f ca="1">$C$11/(1+D1134)^1
 +$D$11/(1+D1134)^2
 +$E$11/(1+D1134)^3
 +$F$11/(1+D1134)^4
 +$G$11/(1+D1134)^5
 +$H$11/(1+D1134)^6
 +$I$11/(1+D1134)^7
 + ( $I$11*(1+F1134)/(D1134-F1134) )/(1+D1134)^7</f>
        <v>465.55105213411139</v>
      </c>
      <c r="H1134" s="7">
        <f ca="1">(G1134-$C$8)/$C$9</f>
        <v>2.567170127397735</v>
      </c>
    </row>
    <row r="1135" spans="3:8" x14ac:dyDescent="0.35">
      <c r="C1135" s="8">
        <f t="shared" ca="1" si="68"/>
        <v>0.62001333224834743</v>
      </c>
      <c r="D1135" s="7">
        <f t="shared" ca="1" si="69"/>
        <v>9.2784030644593701E-2</v>
      </c>
      <c r="E1135" s="7">
        <f t="shared" ca="1" si="70"/>
        <v>0.28257899378763163</v>
      </c>
      <c r="F1135" s="7">
        <f t="shared" ca="1" si="71"/>
        <v>1.7517699033449418E-2</v>
      </c>
      <c r="G1135" s="7">
        <f ca="1">$C$11/(1+D1135)^1
 +$D$11/(1+D1135)^2
 +$E$11/(1+D1135)^3
 +$F$11/(1+D1135)^4
 +$G$11/(1+D1135)^5
 +$H$11/(1+D1135)^6
 +$I$11/(1+D1135)^7
 + ( $I$11*(1+F1135)/(D1135-F1135) )/(1+D1135)^7</f>
        <v>357.41565397043661</v>
      </c>
      <c r="H1135" s="7">
        <f ca="1">(G1135-$C$8)/$C$9</f>
        <v>1.9558212006469731</v>
      </c>
    </row>
    <row r="1136" spans="3:8" x14ac:dyDescent="0.35">
      <c r="C1136" s="8">
        <f t="shared" ca="1" si="68"/>
        <v>0.57073584510415487</v>
      </c>
      <c r="D1136" s="7">
        <f t="shared" ca="1" si="69"/>
        <v>9.1701747602058847E-2</v>
      </c>
      <c r="E1136" s="7">
        <f t="shared" ca="1" si="70"/>
        <v>0.2268254127047602</v>
      </c>
      <c r="F1136" s="7">
        <f t="shared" ca="1" si="71"/>
        <v>1.6735360609570361E-2</v>
      </c>
      <c r="G1136" s="7">
        <f ca="1">$C$11/(1+D1136)^1
 +$D$11/(1+D1136)^2
 +$E$11/(1+D1136)^3
 +$F$11/(1+D1136)^4
 +$G$11/(1+D1136)^5
 +$H$11/(1+D1136)^6
 +$I$11/(1+D1136)^7
 + ( $I$11*(1+F1136)/(D1136-F1136) )/(1+D1136)^7</f>
        <v>360.25472576595905</v>
      </c>
      <c r="H1136" s="7">
        <f ca="1">(G1136-$C$8)/$C$9</f>
        <v>1.9718720362164124</v>
      </c>
    </row>
    <row r="1137" spans="3:8" x14ac:dyDescent="0.35">
      <c r="C1137" s="8">
        <f t="shared" ca="1" si="68"/>
        <v>0.24458935588855502</v>
      </c>
      <c r="D1137" s="7">
        <f t="shared" ca="1" si="69"/>
        <v>8.4162036288211353E-2</v>
      </c>
      <c r="E1137" s="7">
        <f t="shared" ca="1" si="70"/>
        <v>0.3254003132494383</v>
      </c>
      <c r="F1137" s="7">
        <f t="shared" ca="1" si="71"/>
        <v>1.8067221495030844E-2</v>
      </c>
      <c r="G1137" s="7">
        <f ca="1">$C$11/(1+D1137)^1
 +$D$11/(1+D1137)^2
 +$E$11/(1+D1137)^3
 +$F$11/(1+D1137)^4
 +$G$11/(1+D1137)^5
 +$H$11/(1+D1137)^6
 +$I$11/(1+D1137)^7
 + ( $I$11*(1+F1137)/(D1137-F1137) )/(1+D1137)^7</f>
        <v>408.30347933406034</v>
      </c>
      <c r="H1137" s="7">
        <f ca="1">(G1137-$C$8)/$C$9</f>
        <v>2.2435180875964513</v>
      </c>
    </row>
    <row r="1138" spans="3:8" x14ac:dyDescent="0.35">
      <c r="C1138" s="8">
        <f t="shared" ca="1" si="68"/>
        <v>0.47737751858132516</v>
      </c>
      <c r="D1138" s="7">
        <f t="shared" ca="1" si="69"/>
        <v>8.9785084413180727E-2</v>
      </c>
      <c r="E1138" s="7">
        <f t="shared" ca="1" si="70"/>
        <v>0.57430771937090175</v>
      </c>
      <c r="F1138" s="7">
        <f t="shared" ca="1" si="71"/>
        <v>2.0772949760306948E-2</v>
      </c>
      <c r="G1138" s="7">
        <f ca="1">$C$11/(1+D1138)^1
 +$D$11/(1+D1138)^2
 +$E$11/(1+D1138)^3
 +$F$11/(1+D1138)^4
 +$G$11/(1+D1138)^5
 +$H$11/(1+D1138)^6
 +$I$11/(1+D1138)^7
 + ( $I$11*(1+F1138)/(D1138-F1138) )/(1+D1138)^7</f>
        <v>385.24512140609954</v>
      </c>
      <c r="H1138" s="7">
        <f ca="1">(G1138-$C$8)/$C$9</f>
        <v>2.1131564982253477</v>
      </c>
    </row>
    <row r="1139" spans="3:8" x14ac:dyDescent="0.35">
      <c r="C1139" s="8">
        <f t="shared" ca="1" si="68"/>
        <v>0.74365740490788002</v>
      </c>
      <c r="D1139" s="7">
        <f t="shared" ca="1" si="69"/>
        <v>9.5859730406677057E-2</v>
      </c>
      <c r="E1139" s="7">
        <f t="shared" ca="1" si="70"/>
        <v>0.79493685570805472</v>
      </c>
      <c r="F1139" s="7">
        <f t="shared" ca="1" si="71"/>
        <v>2.3595889690332539E-2</v>
      </c>
      <c r="G1139" s="7">
        <f ca="1">$C$11/(1+D1139)^1
 +$D$11/(1+D1139)^2
 +$E$11/(1+D1139)^3
 +$F$11/(1+D1139)^4
 +$G$11/(1+D1139)^5
 +$H$11/(1+D1139)^6
 +$I$11/(1+D1139)^7
 + ( $I$11*(1+F1139)/(D1139-F1139) )/(1+D1139)^7</f>
        <v>362.28487174111552</v>
      </c>
      <c r="H1139" s="7">
        <f ca="1">(G1139-$C$8)/$C$9</f>
        <v>1.9833495688665508</v>
      </c>
    </row>
    <row r="1140" spans="3:8" x14ac:dyDescent="0.35">
      <c r="C1140" s="8">
        <f t="shared" ca="1" si="68"/>
        <v>0.79565959589083202</v>
      </c>
      <c r="D1140" s="7">
        <f t="shared" ca="1" si="69"/>
        <v>9.7375202369734751E-2</v>
      </c>
      <c r="E1140" s="7">
        <f t="shared" ca="1" si="70"/>
        <v>0.28381236681410871</v>
      </c>
      <c r="F1140" s="7">
        <f t="shared" ca="1" si="71"/>
        <v>1.7534087427341267E-2</v>
      </c>
      <c r="G1140" s="7">
        <f ca="1">$C$11/(1+D1140)^1
 +$D$11/(1+D1140)^2
 +$E$11/(1+D1140)^3
 +$F$11/(1+D1140)^4
 +$G$11/(1+D1140)^5
 +$H$11/(1+D1140)^6
 +$I$11/(1+D1140)^7
 + ( $I$11*(1+F1140)/(D1140-F1140) )/(1+D1140)^7</f>
        <v>335.95499288980102</v>
      </c>
      <c r="H1140" s="7">
        <f ca="1">(G1140-$C$8)/$C$9</f>
        <v>1.8344922709735469</v>
      </c>
    </row>
    <row r="1141" spans="3:8" x14ac:dyDescent="0.35">
      <c r="C1141" s="8">
        <f t="shared" ca="1" si="68"/>
        <v>0.17503249647126895</v>
      </c>
      <c r="D1141" s="7">
        <f t="shared" ca="1" si="69"/>
        <v>8.1980260727815599E-2</v>
      </c>
      <c r="E1141" s="7">
        <f t="shared" ca="1" si="70"/>
        <v>0.81716572913580288</v>
      </c>
      <c r="F1141" s="7">
        <f t="shared" ca="1" si="71"/>
        <v>2.3952946653713114E-2</v>
      </c>
      <c r="G1141" s="7">
        <f ca="1">$C$11/(1+D1141)^1
 +$D$11/(1+D1141)^2
 +$E$11/(1+D1141)^3
 +$F$11/(1+D1141)^4
 +$G$11/(1+D1141)^5
 +$H$11/(1+D1141)^6
 +$I$11/(1+D1141)^7
 + ( $I$11*(1+F1141)/(D1141-F1141) )/(1+D1141)^7</f>
        <v>454.04411737264763</v>
      </c>
      <c r="H1141" s="7">
        <f ca="1">(G1141-$C$8)/$C$9</f>
        <v>2.5021150914328789</v>
      </c>
    </row>
    <row r="1142" spans="3:8" x14ac:dyDescent="0.35">
      <c r="C1142" s="8">
        <f t="shared" ca="1" si="68"/>
        <v>0.69845061945867271</v>
      </c>
      <c r="D1142" s="7">
        <f t="shared" ca="1" si="69"/>
        <v>9.4663490722389429E-2</v>
      </c>
      <c r="E1142" s="7">
        <f t="shared" ca="1" si="70"/>
        <v>0.58682938894348391</v>
      </c>
      <c r="F1142" s="7">
        <f t="shared" ca="1" si="71"/>
        <v>2.0909668751288364E-2</v>
      </c>
      <c r="G1142" s="7">
        <f ca="1">$C$11/(1+D1142)^1
 +$D$11/(1+D1142)^2
 +$E$11/(1+D1142)^3
 +$F$11/(1+D1142)^4
 +$G$11/(1+D1142)^5
 +$H$11/(1+D1142)^6
 +$I$11/(1+D1142)^7
 + ( $I$11*(1+F1142)/(D1142-F1142) )/(1+D1142)^7</f>
        <v>359.23068655720232</v>
      </c>
      <c r="H1142" s="7">
        <f ca="1">(G1142-$C$8)/$C$9</f>
        <v>1.966082578907747</v>
      </c>
    </row>
    <row r="1143" spans="3:8" x14ac:dyDescent="0.35">
      <c r="C1143" s="8">
        <f t="shared" ca="1" si="68"/>
        <v>0.47481922665189491</v>
      </c>
      <c r="D1143" s="7">
        <f t="shared" ca="1" si="69"/>
        <v>8.9731998526620504E-2</v>
      </c>
      <c r="E1143" s="7">
        <f t="shared" ca="1" si="70"/>
        <v>0.14567919351081882</v>
      </c>
      <c r="F1143" s="7">
        <f t="shared" ca="1" si="71"/>
        <v>1.5397762379186747E-2</v>
      </c>
      <c r="G1143" s="7">
        <f ca="1">$C$11/(1+D1143)^1
 +$D$11/(1+D1143)^2
 +$E$11/(1+D1143)^3
 +$F$11/(1+D1143)^4
 +$G$11/(1+D1143)^5
 +$H$11/(1+D1143)^6
 +$I$11/(1+D1143)^7
 + ( $I$11*(1+F1143)/(D1143-F1143) )/(1+D1143)^7</f>
        <v>365.79815265967761</v>
      </c>
      <c r="H1143" s="7">
        <f ca="1">(G1143-$C$8)/$C$9</f>
        <v>2.0032120797132382</v>
      </c>
    </row>
    <row r="1144" spans="3:8" x14ac:dyDescent="0.35">
      <c r="C1144" s="8">
        <f t="shared" ca="1" si="68"/>
        <v>0.32952662943353617</v>
      </c>
      <c r="D1144" s="7">
        <f t="shared" ca="1" si="69"/>
        <v>8.6438121429637263E-2</v>
      </c>
      <c r="E1144" s="7">
        <f t="shared" ca="1" si="70"/>
        <v>0.95026249049055422</v>
      </c>
      <c r="F1144" s="7">
        <f t="shared" ca="1" si="71"/>
        <v>2.6846033940910403E-2</v>
      </c>
      <c r="G1144" s="7">
        <f ca="1">$C$11/(1+D1144)^1
 +$D$11/(1+D1144)^2
 +$E$11/(1+D1144)^3
 +$F$11/(1+D1144)^4
 +$G$11/(1+D1144)^5
 +$H$11/(1+D1144)^6
 +$I$11/(1+D1144)^7
 + ( $I$11*(1+F1144)/(D1144-F1144) )/(1+D1144)^7</f>
        <v>435.47444379812293</v>
      </c>
      <c r="H1144" s="7">
        <f ca="1">(G1144-$C$8)/$C$9</f>
        <v>2.3971305054167962</v>
      </c>
    </row>
    <row r="1145" spans="3:8" x14ac:dyDescent="0.35">
      <c r="C1145" s="8">
        <f t="shared" ca="1" si="68"/>
        <v>0.66159835201751793</v>
      </c>
      <c r="D1145" s="7">
        <f t="shared" ca="1" si="69"/>
        <v>9.3753360795957336E-2</v>
      </c>
      <c r="E1145" s="7">
        <f t="shared" ca="1" si="70"/>
        <v>0.32861614062370814</v>
      </c>
      <c r="F1145" s="7">
        <f t="shared" ca="1" si="71"/>
        <v>1.8106986377485881E-2</v>
      </c>
      <c r="G1145" s="7">
        <f ca="1">$C$11/(1+D1145)^1
 +$D$11/(1+D1145)^2
 +$E$11/(1+D1145)^3
 +$F$11/(1+D1145)^4
 +$G$11/(1+D1145)^5
 +$H$11/(1+D1145)^6
 +$I$11/(1+D1145)^7
 + ( $I$11*(1+F1145)/(D1145-F1145) )/(1+D1145)^7</f>
        <v>354.54043949914251</v>
      </c>
      <c r="H1145" s="7">
        <f ca="1">(G1145-$C$8)/$C$9</f>
        <v>1.9395660306373954</v>
      </c>
    </row>
    <row r="1146" spans="3:8" x14ac:dyDescent="0.35">
      <c r="C1146" s="8">
        <f t="shared" ca="1" si="68"/>
        <v>0.58531780798903765</v>
      </c>
      <c r="D1146" s="7">
        <f t="shared" ca="1" si="69"/>
        <v>9.2015225612520166E-2</v>
      </c>
      <c r="E1146" s="7">
        <f t="shared" ca="1" si="70"/>
        <v>0.38383246718575048</v>
      </c>
      <c r="F1146" s="7">
        <f t="shared" ca="1" si="71"/>
        <v>1.8761649013579011E-2</v>
      </c>
      <c r="G1146" s="7">
        <f ca="1">$C$11/(1+D1146)^1
 +$D$11/(1+D1146)^2
 +$E$11/(1+D1146)^3
 +$F$11/(1+D1146)^4
 +$G$11/(1+D1146)^5
 +$H$11/(1+D1146)^6
 +$I$11/(1+D1146)^7
 + ( $I$11*(1+F1146)/(D1146-F1146) )/(1+D1146)^7</f>
        <v>365.51924655403468</v>
      </c>
      <c r="H1146" s="7">
        <f ca="1">(G1146-$C$8)/$C$9</f>
        <v>2.0016352699798432</v>
      </c>
    </row>
    <row r="1147" spans="3:8" x14ac:dyDescent="0.35">
      <c r="C1147" s="8">
        <f t="shared" ca="1" si="68"/>
        <v>0.6130715753619026</v>
      </c>
      <c r="D1147" s="7">
        <f t="shared" ca="1" si="69"/>
        <v>9.2627488056768653E-2</v>
      </c>
      <c r="E1147" s="7">
        <f t="shared" ca="1" si="70"/>
        <v>0.81716439095412507</v>
      </c>
      <c r="F1147" s="7">
        <f t="shared" ca="1" si="71"/>
        <v>2.3952924524270017E-2</v>
      </c>
      <c r="G1147" s="7">
        <f ca="1">$C$11/(1+D1147)^1
 +$D$11/(1+D1147)^2
 +$E$11/(1+D1147)^3
 +$F$11/(1+D1147)^4
 +$G$11/(1+D1147)^5
 +$H$11/(1+D1147)^6
 +$I$11/(1+D1147)^7
 + ( $I$11*(1+F1147)/(D1147-F1147) )/(1+D1147)^7</f>
        <v>381.32902326783301</v>
      </c>
      <c r="H1147" s="7">
        <f ca="1">(G1147-$C$8)/$C$9</f>
        <v>2.0910166399131218</v>
      </c>
    </row>
    <row r="1148" spans="3:8" x14ac:dyDescent="0.35">
      <c r="C1148" s="8">
        <f t="shared" ca="1" si="68"/>
        <v>0.23247074249026711</v>
      </c>
      <c r="D1148" s="7">
        <f t="shared" ca="1" si="69"/>
        <v>8.3806737805941667E-2</v>
      </c>
      <c r="E1148" s="7">
        <f t="shared" ca="1" si="70"/>
        <v>0.99510263192707082</v>
      </c>
      <c r="F1148" s="7">
        <f t="shared" ca="1" si="71"/>
        <v>2.9010316406832045E-2</v>
      </c>
      <c r="G1148" s="7">
        <f ca="1">$C$11/(1+D1148)^1
 +$D$11/(1+D1148)^2
 +$E$11/(1+D1148)^3
 +$F$11/(1+D1148)^4
 +$G$11/(1+D1148)^5
 +$H$11/(1+D1148)^6
 +$I$11/(1+D1148)^7
 + ( $I$11*(1+F1148)/(D1148-F1148) )/(1+D1148)^7</f>
        <v>469.73969312048803</v>
      </c>
      <c r="H1148" s="7">
        <f ca="1">(G1148-$C$8)/$C$9</f>
        <v>2.5908508204459975</v>
      </c>
    </row>
    <row r="1149" spans="3:8" x14ac:dyDescent="0.35">
      <c r="C1149" s="8">
        <f t="shared" ca="1" si="68"/>
        <v>0.99261466813684629</v>
      </c>
      <c r="D1149" s="7">
        <f t="shared" ca="1" si="69"/>
        <v>0.10759988357506144</v>
      </c>
      <c r="E1149" s="7">
        <f t="shared" ca="1" si="70"/>
        <v>0.86896053063813439</v>
      </c>
      <c r="F1149" s="7">
        <f t="shared" ca="1" si="71"/>
        <v>2.4880635403453557E-2</v>
      </c>
      <c r="G1149" s="7">
        <f ca="1">$C$11/(1+D1149)^1
 +$D$11/(1+D1149)^2
 +$E$11/(1+D1149)^3
 +$F$11/(1+D1149)^4
 +$G$11/(1+D1149)^5
 +$H$11/(1+D1149)^6
 +$I$11/(1+D1149)^7
 + ( $I$11*(1+F1149)/(D1149-F1149) )/(1+D1149)^7</f>
        <v>312.83744992875035</v>
      </c>
      <c r="H1149" s="7">
        <f ca="1">(G1149-$C$8)/$C$9</f>
        <v>1.7037960760331883</v>
      </c>
    </row>
    <row r="1150" spans="3:8" x14ac:dyDescent="0.35">
      <c r="C1150" s="8">
        <f t="shared" ca="1" si="68"/>
        <v>0.75774288239067566</v>
      </c>
      <c r="D1150" s="7">
        <f t="shared" ca="1" si="69"/>
        <v>9.6253707709521338E-2</v>
      </c>
      <c r="E1150" s="7">
        <f t="shared" ca="1" si="70"/>
        <v>0.57284530571360859</v>
      </c>
      <c r="F1150" s="7">
        <f t="shared" ca="1" si="71"/>
        <v>2.0757114148855983E-2</v>
      </c>
      <c r="G1150" s="7">
        <f ca="1">$C$11/(1+D1150)^1
 +$D$11/(1+D1150)^2
 +$E$11/(1+D1150)^3
 +$F$11/(1+D1150)^4
 +$G$11/(1+D1150)^5
 +$H$11/(1+D1150)^6
 +$I$11/(1+D1150)^7
 + ( $I$11*(1+F1150)/(D1150-F1150) )/(1+D1150)^7</f>
        <v>350.83474443921421</v>
      </c>
      <c r="H1150" s="7">
        <f ca="1">(G1150-$C$8)/$C$9</f>
        <v>1.9186156967391124</v>
      </c>
    </row>
    <row r="1151" spans="3:8" x14ac:dyDescent="0.35">
      <c r="C1151" s="8">
        <f t="shared" ca="1" si="68"/>
        <v>0.23167733307142613</v>
      </c>
      <c r="D1151" s="7">
        <f t="shared" ca="1" si="69"/>
        <v>8.3783156863308547E-2</v>
      </c>
      <c r="E1151" s="7">
        <f t="shared" ca="1" si="70"/>
        <v>0.34205331676905593</v>
      </c>
      <c r="F1151" s="7">
        <f t="shared" ca="1" si="71"/>
        <v>1.8271073893625374E-2</v>
      </c>
      <c r="G1151" s="7">
        <f ca="1">$C$11/(1+D1151)^1
 +$D$11/(1+D1151)^2
 +$E$11/(1+D1151)^3
 +$F$11/(1+D1151)^4
 +$G$11/(1+D1151)^5
 +$H$11/(1+D1151)^6
 +$I$11/(1+D1151)^7
 + ( $I$11*(1+F1151)/(D1151-F1151) )/(1+D1151)^7</f>
        <v>411.67942955786691</v>
      </c>
      <c r="H1151" s="7">
        <f ca="1">(G1151-$C$8)/$C$9</f>
        <v>2.262604192434797</v>
      </c>
    </row>
    <row r="1152" spans="3:8" x14ac:dyDescent="0.35">
      <c r="C1152" s="8">
        <f t="shared" ca="1" si="68"/>
        <v>0.23232124419441347</v>
      </c>
      <c r="D1152" s="7">
        <f t="shared" ca="1" si="69"/>
        <v>8.3802297643487442E-2</v>
      </c>
      <c r="E1152" s="7">
        <f t="shared" ca="1" si="70"/>
        <v>0.12221373988243867</v>
      </c>
      <c r="F1152" s="7">
        <f t="shared" ca="1" si="71"/>
        <v>1.4943960757984202E-2</v>
      </c>
      <c r="G1152" s="7">
        <f ca="1">$C$11/(1+D1152)^1
 +$D$11/(1+D1152)^2
 +$E$11/(1+D1152)^3
 +$F$11/(1+D1152)^4
 +$G$11/(1+D1152)^5
 +$H$11/(1+D1152)^6
 +$I$11/(1+D1152)^7
 + ( $I$11*(1+F1152)/(D1152-F1152) )/(1+D1152)^7</f>
        <v>397.20050356203365</v>
      </c>
      <c r="H1152" s="7">
        <f ca="1">(G1152-$C$8)/$C$9</f>
        <v>2.1807468541498962</v>
      </c>
    </row>
    <row r="1153" spans="3:8" x14ac:dyDescent="0.35">
      <c r="C1153" s="8">
        <f t="shared" ca="1" si="68"/>
        <v>0.44931901054715873</v>
      </c>
      <c r="D1153" s="7">
        <f t="shared" ca="1" si="69"/>
        <v>8.9194832342291253E-2</v>
      </c>
      <c r="E1153" s="7">
        <f t="shared" ca="1" si="70"/>
        <v>0.54082756258639886</v>
      </c>
      <c r="F1153" s="7">
        <f t="shared" ca="1" si="71"/>
        <v>2.041696877377934E-2</v>
      </c>
      <c r="G1153" s="7">
        <f ca="1">$C$11/(1+D1153)^1
 +$D$11/(1+D1153)^2
 +$E$11/(1+D1153)^3
 +$F$11/(1+D1153)^4
 +$G$11/(1+D1153)^5
 +$H$11/(1+D1153)^6
 +$I$11/(1+D1153)^7
 + ( $I$11*(1+F1153)/(D1153-F1153) )/(1+D1153)^7</f>
        <v>387.27669545107562</v>
      </c>
      <c r="H1153" s="7">
        <f ca="1">(G1153-$C$8)/$C$9</f>
        <v>2.1246421045402286</v>
      </c>
    </row>
    <row r="1154" spans="3:8" x14ac:dyDescent="0.35">
      <c r="C1154" s="8">
        <f t="shared" ca="1" si="68"/>
        <v>0.77124132283608504</v>
      </c>
      <c r="D1154" s="7">
        <f t="shared" ca="1" si="69"/>
        <v>9.6642164539572528E-2</v>
      </c>
      <c r="E1154" s="7">
        <f t="shared" ca="1" si="70"/>
        <v>0.8958675419602975</v>
      </c>
      <c r="F1154" s="7">
        <f t="shared" ca="1" si="71"/>
        <v>2.5436394889132002E-2</v>
      </c>
      <c r="G1154" s="7">
        <f ca="1">$C$11/(1+D1154)^1
 +$D$11/(1+D1154)^2
 +$E$11/(1+D1154)^3
 +$F$11/(1+D1154)^4
 +$G$11/(1+D1154)^5
 +$H$11/(1+D1154)^6
 +$I$11/(1+D1154)^7
 + ( $I$11*(1+F1154)/(D1154-F1154) )/(1+D1154)^7</f>
        <v>364.66759445612666</v>
      </c>
      <c r="H1154" s="7">
        <f ca="1">(G1154-$C$8)/$C$9</f>
        <v>1.9968204118957862</v>
      </c>
    </row>
    <row r="1155" spans="3:8" x14ac:dyDescent="0.35">
      <c r="C1155" s="8">
        <f t="shared" ca="1" si="68"/>
        <v>6.8518434746740242E-2</v>
      </c>
      <c r="D1155" s="7">
        <f t="shared" ca="1" si="69"/>
        <v>7.7495673184733119E-2</v>
      </c>
      <c r="E1155" s="7">
        <f t="shared" ca="1" si="70"/>
        <v>0.54093175309965302</v>
      </c>
      <c r="F1155" s="7">
        <f t="shared" ca="1" si="71"/>
        <v>2.0418056075092623E-2</v>
      </c>
      <c r="G1155" s="7">
        <f ca="1">$C$11/(1+D1155)^1
 +$D$11/(1+D1155)^2
 +$E$11/(1+D1155)^3
 +$F$11/(1+D1155)^4
 +$G$11/(1+D1155)^5
 +$H$11/(1+D1155)^6
 +$I$11/(1+D1155)^7
 + ( $I$11*(1+F1155)/(D1155-F1155) )/(1+D1155)^7</f>
        <v>470.05254305075664</v>
      </c>
      <c r="H1155" s="7">
        <f ca="1">(G1155-$C$8)/$C$9</f>
        <v>2.5926195333036897</v>
      </c>
    </row>
    <row r="1156" spans="3:8" x14ac:dyDescent="0.35">
      <c r="C1156" s="8">
        <f t="shared" ca="1" si="68"/>
        <v>0.61934374391298597</v>
      </c>
      <c r="D1156" s="7">
        <f t="shared" ca="1" si="69"/>
        <v>9.2768868877874819E-2</v>
      </c>
      <c r="E1156" s="7">
        <f t="shared" ca="1" si="70"/>
        <v>0.37803987398939753</v>
      </c>
      <c r="F1156" s="7">
        <f t="shared" ca="1" si="71"/>
        <v>1.8695284630067005E-2</v>
      </c>
      <c r="G1156" s="7">
        <f ca="1">$C$11/(1+D1156)^1
 +$D$11/(1+D1156)^2
 +$E$11/(1+D1156)^3
 +$F$11/(1+D1156)^4
 +$G$11/(1+D1156)^5
 +$H$11/(1+D1156)^6
 +$I$11/(1+D1156)^7
 + ( $I$11*(1+F1156)/(D1156-F1156) )/(1+D1156)^7</f>
        <v>361.40528289626366</v>
      </c>
      <c r="H1156" s="7">
        <f ca="1">(G1156-$C$8)/$C$9</f>
        <v>1.9783767689748057</v>
      </c>
    </row>
    <row r="1157" spans="3:8" x14ac:dyDescent="0.35">
      <c r="C1157" s="8">
        <f t="shared" ca="1" si="68"/>
        <v>0.55324017112317192</v>
      </c>
      <c r="D1157" s="7">
        <f t="shared" ca="1" si="69"/>
        <v>9.1332577400082091E-2</v>
      </c>
      <c r="E1157" s="7">
        <f t="shared" ca="1" si="70"/>
        <v>0.30351225977880181</v>
      </c>
      <c r="F1157" s="7">
        <f t="shared" ca="1" si="71"/>
        <v>1.7791177828528904E-2</v>
      </c>
      <c r="G1157" s="7">
        <f ca="1">$C$11/(1+D1157)^1
 +$D$11/(1+D1157)^2
 +$E$11/(1+D1157)^3
 +$F$11/(1+D1157)^4
 +$G$11/(1+D1157)^5
 +$H$11/(1+D1157)^6
 +$I$11/(1+D1157)^7
 + ( $I$11*(1+F1157)/(D1157-F1157) )/(1+D1157)^7</f>
        <v>365.71691918026437</v>
      </c>
      <c r="H1157" s="7">
        <f ca="1">(G1157-$C$8)/$C$9</f>
        <v>2.0027528221407982</v>
      </c>
    </row>
    <row r="1158" spans="3:8" x14ac:dyDescent="0.35">
      <c r="C1158" s="8">
        <f t="shared" ca="1" si="68"/>
        <v>0.65720145752049142</v>
      </c>
      <c r="D1158" s="7">
        <f t="shared" ca="1" si="69"/>
        <v>9.3648154136794934E-2</v>
      </c>
      <c r="E1158" s="7">
        <f t="shared" ca="1" si="70"/>
        <v>0.13390414495281533</v>
      </c>
      <c r="F1158" s="7">
        <f t="shared" ca="1" si="71"/>
        <v>1.5175019709195613E-2</v>
      </c>
      <c r="G1158" s="7">
        <f ca="1">$C$11/(1+D1158)^1
 +$D$11/(1+D1158)^2
 +$E$11/(1+D1158)^3
 +$F$11/(1+D1158)^4
 +$G$11/(1+D1158)^5
 +$H$11/(1+D1158)^6
 +$I$11/(1+D1158)^7
 + ( $I$11*(1+F1158)/(D1158-F1158) )/(1+D1158)^7</f>
        <v>345.93743563600083</v>
      </c>
      <c r="H1158" s="7">
        <f ca="1">(G1158-$C$8)/$C$9</f>
        <v>1.8909285144504795</v>
      </c>
    </row>
    <row r="1159" spans="3:8" x14ac:dyDescent="0.35">
      <c r="C1159" s="8">
        <f t="shared" ca="1" si="68"/>
        <v>0.7310565060730615</v>
      </c>
      <c r="D1159" s="7">
        <f t="shared" ca="1" si="69"/>
        <v>9.5516356630218624E-2</v>
      </c>
      <c r="E1159" s="7">
        <f t="shared" ca="1" si="70"/>
        <v>0.86018026621684818</v>
      </c>
      <c r="F1159" s="7">
        <f t="shared" ca="1" si="71"/>
        <v>2.4711905186493875E-2</v>
      </c>
      <c r="G1159" s="7">
        <f ca="1">$C$11/(1+D1159)^1
 +$D$11/(1+D1159)^2
 +$E$11/(1+D1159)^3
 +$F$11/(1+D1159)^4
 +$G$11/(1+D1159)^5
 +$H$11/(1+D1159)^6
 +$I$11/(1+D1159)^7
 + ( $I$11*(1+F1159)/(D1159-F1159) )/(1+D1159)^7</f>
        <v>368.08373429720069</v>
      </c>
      <c r="H1159" s="7">
        <f ca="1">(G1159-$C$8)/$C$9</f>
        <v>2.0161337307621023</v>
      </c>
    </row>
    <row r="1160" spans="3:8" x14ac:dyDescent="0.35">
      <c r="C1160" s="8">
        <f t="shared" ca="1" si="68"/>
        <v>0.94264250155598872</v>
      </c>
      <c r="D1160" s="7">
        <f t="shared" ca="1" si="69"/>
        <v>0.1033112894526427</v>
      </c>
      <c r="E1160" s="7">
        <f t="shared" ca="1" si="70"/>
        <v>5.7629303811221999E-2</v>
      </c>
      <c r="F1160" s="7">
        <f t="shared" ca="1" si="71"/>
        <v>1.3394975811731859E-2</v>
      </c>
      <c r="G1160" s="7">
        <f ca="1">$C$11/(1+D1160)^1
 +$D$11/(1+D1160)^2
 +$E$11/(1+D1160)^3
 +$F$11/(1+D1160)^4
 +$G$11/(1+D1160)^5
 +$H$11/(1+D1160)^6
 +$I$11/(1+D1160)^7
 + ( $I$11*(1+F1160)/(D1160-F1160) )/(1+D1160)^7</f>
        <v>302.19322395125965</v>
      </c>
      <c r="H1160" s="7">
        <f ca="1">(G1160-$C$8)/$C$9</f>
        <v>1.643618407684643</v>
      </c>
    </row>
    <row r="1161" spans="3:8" x14ac:dyDescent="0.35">
      <c r="C1161" s="8">
        <f t="shared" ca="1" si="68"/>
        <v>5.9433997902237357E-3</v>
      </c>
      <c r="D1161" s="7">
        <f t="shared" ca="1" si="69"/>
        <v>7.2207620399430905E-2</v>
      </c>
      <c r="E1161" s="7">
        <f t="shared" ca="1" si="70"/>
        <v>0.69938667008905875</v>
      </c>
      <c r="F1161" s="7">
        <f t="shared" ca="1" si="71"/>
        <v>2.2246119295334224E-2</v>
      </c>
      <c r="G1161" s="7">
        <f ca="1">$C$11/(1+D1161)^1
 +$D$11/(1+D1161)^2
 +$E$11/(1+D1161)^3
 +$F$11/(1+D1161)^4
 +$G$11/(1+D1161)^5
 +$H$11/(1+D1161)^6
 +$I$11/(1+D1161)^7
 + ( $I$11*(1+F1161)/(D1161-F1161) )/(1+D1161)^7</f>
        <v>534.47586867912469</v>
      </c>
      <c r="H1161" s="7">
        <f ca="1">(G1161-$C$8)/$C$9</f>
        <v>2.9568400535907093</v>
      </c>
    </row>
    <row r="1162" spans="3:8" x14ac:dyDescent="0.35">
      <c r="C1162" s="8">
        <f t="shared" ca="1" si="68"/>
        <v>0.43428988753980335</v>
      </c>
      <c r="D1162" s="7">
        <f t="shared" ca="1" si="69"/>
        <v>8.8871081256320178E-2</v>
      </c>
      <c r="E1162" s="7">
        <f t="shared" ca="1" si="70"/>
        <v>0.46457583025658289</v>
      </c>
      <c r="F1162" s="7">
        <f t="shared" ca="1" si="71"/>
        <v>1.9639251322136828E-2</v>
      </c>
      <c r="G1162" s="7">
        <f ca="1">$C$11/(1+D1162)^1
 +$D$11/(1+D1162)^2
 +$E$11/(1+D1162)^3
 +$F$11/(1+D1162)^4
 +$G$11/(1+D1162)^5
 +$H$11/(1+D1162)^6
 +$I$11/(1+D1162)^7
 + ( $I$11*(1+F1162)/(D1162-F1162) )/(1+D1162)^7</f>
        <v>386.07809596814695</v>
      </c>
      <c r="H1162" s="7">
        <f ca="1">(G1162-$C$8)/$C$9</f>
        <v>2.1178657619185151</v>
      </c>
    </row>
    <row r="1163" spans="3:8" x14ac:dyDescent="0.35">
      <c r="C1163" s="8">
        <f t="shared" ca="1" si="68"/>
        <v>6.6643683996652658E-2</v>
      </c>
      <c r="D1163" s="7">
        <f t="shared" ca="1" si="69"/>
        <v>7.7392416443711434E-2</v>
      </c>
      <c r="E1163" s="7">
        <f t="shared" ca="1" si="70"/>
        <v>0.36151603284084488</v>
      </c>
      <c r="F1163" s="7">
        <f t="shared" ca="1" si="71"/>
        <v>1.8503129222125755E-2</v>
      </c>
      <c r="G1163" s="7">
        <f ca="1">$C$11/(1+D1163)^1
 +$D$11/(1+D1163)^2
 +$E$11/(1+D1163)^3
 +$F$11/(1+D1163)^4
 +$G$11/(1+D1163)^5
 +$H$11/(1+D1163)^6
 +$I$11/(1+D1163)^7
 + ( $I$11*(1+F1163)/(D1163-F1163) )/(1+D1163)^7</f>
        <v>459.42215214032228</v>
      </c>
      <c r="H1163" s="7">
        <f ca="1">(G1163-$C$8)/$C$9</f>
        <v>2.5325200822044454</v>
      </c>
    </row>
    <row r="1164" spans="3:8" x14ac:dyDescent="0.35">
      <c r="C1164" s="8">
        <f t="shared" ca="1" si="68"/>
        <v>0.47950735056896954</v>
      </c>
      <c r="D1164" s="7">
        <f t="shared" ca="1" si="69"/>
        <v>8.9829171124042345E-2</v>
      </c>
      <c r="E1164" s="7">
        <f t="shared" ca="1" si="70"/>
        <v>0.43486399494145089</v>
      </c>
      <c r="F1164" s="7">
        <f t="shared" ca="1" si="71"/>
        <v>1.9325920811817467E-2</v>
      </c>
      <c r="G1164" s="7">
        <f ca="1">$C$11/(1+D1164)^1
 +$D$11/(1+D1164)^2
 +$E$11/(1+D1164)^3
 +$F$11/(1+D1164)^4
 +$G$11/(1+D1164)^5
 +$H$11/(1+D1164)^6
 +$I$11/(1+D1164)^7
 + ( $I$11*(1+F1164)/(D1164-F1164) )/(1+D1164)^7</f>
        <v>379.39253882526447</v>
      </c>
      <c r="H1164" s="7">
        <f ca="1">(G1164-$C$8)/$C$9</f>
        <v>2.0800686274607894</v>
      </c>
    </row>
    <row r="1165" spans="3:8" x14ac:dyDescent="0.35">
      <c r="C1165" s="8">
        <f t="shared" ca="1" si="68"/>
        <v>0.65758698237890623</v>
      </c>
      <c r="D1165" s="7">
        <f t="shared" ca="1" si="69"/>
        <v>9.3657351691220511E-2</v>
      </c>
      <c r="E1165" s="7">
        <f t="shared" ca="1" si="70"/>
        <v>0.66694461550289541</v>
      </c>
      <c r="F1165" s="7">
        <f t="shared" ca="1" si="71"/>
        <v>2.1838439064773153E-2</v>
      </c>
      <c r="G1165" s="7">
        <f ca="1">$C$11/(1+D1165)^1
 +$D$11/(1+D1165)^2
 +$E$11/(1+D1165)^3
 +$F$11/(1+D1165)^4
 +$G$11/(1+D1165)^5
 +$H$11/(1+D1165)^6
 +$I$11/(1+D1165)^7
 + ( $I$11*(1+F1165)/(D1165-F1165) )/(1+D1165)^7</f>
        <v>367.69190198344813</v>
      </c>
      <c r="H1165" s="7">
        <f ca="1">(G1165-$C$8)/$C$9</f>
        <v>2.013918487016328</v>
      </c>
    </row>
    <row r="1166" spans="3:8" x14ac:dyDescent="0.35">
      <c r="C1166" s="8">
        <f t="shared" ca="1" si="68"/>
        <v>0.67644849811668883</v>
      </c>
      <c r="D1166" s="7">
        <f t="shared" ca="1" si="69"/>
        <v>9.4113837106809498E-2</v>
      </c>
      <c r="E1166" s="7">
        <f t="shared" ca="1" si="70"/>
        <v>6.2686158506687129E-2</v>
      </c>
      <c r="F1166" s="7">
        <f t="shared" ca="1" si="71"/>
        <v>1.3540795348694616E-2</v>
      </c>
      <c r="G1166" s="7">
        <f ca="1">$C$11/(1+D1166)^1
 +$D$11/(1+D1166)^2
 +$E$11/(1+D1166)^3
 +$F$11/(1+D1166)^4
 +$G$11/(1+D1166)^5
 +$H$11/(1+D1166)^6
 +$I$11/(1+D1166)^7
 + ( $I$11*(1+F1166)/(D1166-F1166) )/(1+D1166)^7</f>
        <v>339.06734500087686</v>
      </c>
      <c r="H1166" s="7">
        <f ca="1">(G1166-$C$8)/$C$9</f>
        <v>1.8520881105884037</v>
      </c>
    </row>
    <row r="1167" spans="3:8" x14ac:dyDescent="0.35">
      <c r="C1167" s="8">
        <f t="shared" ca="1" si="68"/>
        <v>0.57590702259220172</v>
      </c>
      <c r="D1167" s="7">
        <f t="shared" ca="1" si="69"/>
        <v>9.1812297495887984E-2</v>
      </c>
      <c r="E1167" s="7">
        <f t="shared" ca="1" si="70"/>
        <v>0.89132384968194089</v>
      </c>
      <c r="F1167" s="7">
        <f t="shared" ca="1" si="71"/>
        <v>2.5337894245771358E-2</v>
      </c>
      <c r="G1167" s="7">
        <f ca="1">$C$11/(1+D1167)^1
 +$D$11/(1+D1167)^2
 +$E$11/(1+D1167)^3
 +$F$11/(1+D1167)^4
 +$G$11/(1+D1167)^5
 +$H$11/(1+D1167)^6
 +$I$11/(1+D1167)^7
 + ( $I$11*(1+F1167)/(D1167-F1167) )/(1+D1167)^7</f>
        <v>391.80422956217114</v>
      </c>
      <c r="H1167" s="7">
        <f ca="1">(G1167-$C$8)/$C$9</f>
        <v>2.1502387469593573</v>
      </c>
    </row>
    <row r="1168" spans="3:8" x14ac:dyDescent="0.35">
      <c r="C1168" s="8">
        <f t="shared" ca="1" si="68"/>
        <v>0.34125032179225423</v>
      </c>
      <c r="D1168" s="7">
        <f t="shared" ca="1" si="69"/>
        <v>8.6727978475286502E-2</v>
      </c>
      <c r="E1168" s="7">
        <f t="shared" ca="1" si="70"/>
        <v>0.92649889346939218</v>
      </c>
      <c r="F1168" s="7">
        <f t="shared" ca="1" si="71"/>
        <v>2.616591323701177E-2</v>
      </c>
      <c r="G1168" s="7">
        <f ca="1">$C$11/(1+D1168)^1
 +$D$11/(1+D1168)^2
 +$E$11/(1+D1168)^3
 +$F$11/(1+D1168)^4
 +$G$11/(1+D1168)^5
 +$H$11/(1+D1168)^6
 +$I$11/(1+D1168)^7
 + ( $I$11*(1+F1168)/(D1168-F1168) )/(1+D1168)^7</f>
        <v>429.70669569791374</v>
      </c>
      <c r="H1168" s="7">
        <f ca="1">(G1168-$C$8)/$C$9</f>
        <v>2.364522250666631</v>
      </c>
    </row>
    <row r="1169" spans="3:8" x14ac:dyDescent="0.35">
      <c r="C1169" s="8">
        <f t="shared" ref="C1169:C1232" ca="1" si="72">RAND()</f>
        <v>0.34946260124665907</v>
      </c>
      <c r="D1169" s="7">
        <f t="shared" ref="D1169:D1232" ca="1" si="73">IF(C1169&lt;(0.0905-0.07)/(0.11-0.07),
 0.07+SQRT(C1169*(0.11-0.07)*(0.0905-0.07)),
 0.11-SQRT((1-C1169)*(0.11-0.07)*(0.11-0.0905))
)</f>
        <v>8.6928063475254946E-2</v>
      </c>
      <c r="E1169" s="7">
        <f t="shared" ref="E1169:E1232" ca="1" si="74">RAND()</f>
        <v>0.52363542557135834</v>
      </c>
      <c r="F1169" s="7">
        <f t="shared" ref="F1169:F1232" ca="1" si="75">MIN(
 IF(E1169&lt;(0.02-0.01)/(0.03-0.01),
   0.01+SQRT(E1169*(0.03-0.01)*(0.02-0.01)),
   0.03-SQRT((1-E1169)*(0.03-0.01)*(0.03-0.02))
 ),
 D1169-0.005
)</f>
        <v>2.0239215457468169E-2</v>
      </c>
      <c r="G1169" s="7">
        <f ca="1">$C$11/(1+D1169)^1
 +$D$11/(1+D1169)^2
 +$E$11/(1+D1169)^3
 +$F$11/(1+D1169)^4
 +$G$11/(1+D1169)^5
 +$H$11/(1+D1169)^6
 +$I$11/(1+D1169)^7
 + ( $I$11*(1+F1169)/(D1169-F1169) )/(1+D1169)^7</f>
        <v>400.26022715697206</v>
      </c>
      <c r="H1169" s="7">
        <f ca="1">(G1169-$C$8)/$C$9</f>
        <v>2.1980451557947314</v>
      </c>
    </row>
    <row r="1170" spans="3:8" x14ac:dyDescent="0.35">
      <c r="C1170" s="8">
        <f t="shared" ca="1" si="72"/>
        <v>0.43836781289259619</v>
      </c>
      <c r="D1170" s="7">
        <f t="shared" ca="1" si="73"/>
        <v>8.8959472739818718E-2</v>
      </c>
      <c r="E1170" s="7">
        <f t="shared" ca="1" si="74"/>
        <v>7.06531846589874E-2</v>
      </c>
      <c r="F1170" s="7">
        <f t="shared" ca="1" si="75"/>
        <v>1.3759073946040099E-2</v>
      </c>
      <c r="G1170" s="7">
        <f ca="1">$C$11/(1+D1170)^1
 +$D$11/(1+D1170)^2
 +$E$11/(1+D1170)^3
 +$F$11/(1+D1170)^4
 +$G$11/(1+D1170)^5
 +$H$11/(1+D1170)^6
 +$I$11/(1+D1170)^7
 + ( $I$11*(1+F1170)/(D1170-F1170) )/(1+D1170)^7</f>
        <v>364.22268324055437</v>
      </c>
      <c r="H1170" s="7">
        <f ca="1">(G1170-$C$8)/$C$9</f>
        <v>1.9943050839018224</v>
      </c>
    </row>
    <row r="1171" spans="3:8" x14ac:dyDescent="0.35">
      <c r="C1171" s="8">
        <f t="shared" ca="1" si="72"/>
        <v>0.4455236556722042</v>
      </c>
      <c r="D1171" s="7">
        <f t="shared" ca="1" si="73"/>
        <v>8.9113591960989627E-2</v>
      </c>
      <c r="E1171" s="7">
        <f t="shared" ca="1" si="74"/>
        <v>0.59023645556476012</v>
      </c>
      <c r="F1171" s="7">
        <f t="shared" ca="1" si="75"/>
        <v>2.0947226453343265E-2</v>
      </c>
      <c r="G1171" s="7">
        <f ca="1">$C$11/(1+D1171)^1
 +$D$11/(1+D1171)^2
 +$E$11/(1+D1171)^3
 +$F$11/(1+D1171)^4
 +$G$11/(1+D1171)^5
 +$H$11/(1+D1171)^6
 +$I$11/(1+D1171)^7
 + ( $I$11*(1+F1171)/(D1171-F1171) )/(1+D1171)^7</f>
        <v>389.89435817406081</v>
      </c>
      <c r="H1171" s="7">
        <f ca="1">(G1171-$C$8)/$C$9</f>
        <v>2.1394411927524919</v>
      </c>
    </row>
    <row r="1172" spans="3:8" x14ac:dyDescent="0.35">
      <c r="C1172" s="8">
        <f t="shared" ca="1" si="72"/>
        <v>0.52267126305049161</v>
      </c>
      <c r="D1172" s="7">
        <f t="shared" ca="1" si="73"/>
        <v>9.0704497549412802E-2</v>
      </c>
      <c r="E1172" s="7">
        <f t="shared" ca="1" si="74"/>
        <v>0.71863330561241257</v>
      </c>
      <c r="F1172" s="7">
        <f t="shared" ca="1" si="75"/>
        <v>2.2498444236192235E-2</v>
      </c>
      <c r="G1172" s="7">
        <f ca="1">$C$11/(1+D1172)^1
 +$D$11/(1+D1172)^2
 +$E$11/(1+D1172)^3
 +$F$11/(1+D1172)^4
 +$G$11/(1+D1172)^5
 +$H$11/(1+D1172)^6
 +$I$11/(1+D1172)^7
 + ( $I$11*(1+F1172)/(D1172-F1172) )/(1+D1172)^7</f>
        <v>386.75036265754164</v>
      </c>
      <c r="H1172" s="7">
        <f ca="1">(G1172-$C$8)/$C$9</f>
        <v>2.1216664555491951</v>
      </c>
    </row>
    <row r="1173" spans="3:8" x14ac:dyDescent="0.35">
      <c r="C1173" s="8">
        <f t="shared" ca="1" si="72"/>
        <v>0.63304229049130778</v>
      </c>
      <c r="D1173" s="7">
        <f t="shared" ca="1" si="73"/>
        <v>9.3081755013690703E-2</v>
      </c>
      <c r="E1173" s="7">
        <f t="shared" ca="1" si="74"/>
        <v>0.1036640548986858</v>
      </c>
      <c r="F1173" s="7">
        <f t="shared" ca="1" si="75"/>
        <v>1.4553329658583613E-2</v>
      </c>
      <c r="G1173" s="7">
        <f ca="1">$C$11/(1+D1173)^1
 +$D$11/(1+D1173)^2
 +$E$11/(1+D1173)^3
 +$F$11/(1+D1173)^4
 +$G$11/(1+D1173)^5
 +$H$11/(1+D1173)^6
 +$I$11/(1+D1173)^7
 + ( $I$11*(1+F1173)/(D1173-F1173) )/(1+D1173)^7</f>
        <v>346.7010488360736</v>
      </c>
      <c r="H1173" s="7">
        <f ca="1">(G1173-$C$8)/$C$9</f>
        <v>1.8952456401858524</v>
      </c>
    </row>
    <row r="1174" spans="3:8" x14ac:dyDescent="0.35">
      <c r="C1174" s="8">
        <f t="shared" ca="1" si="72"/>
        <v>0.20941071110081511</v>
      </c>
      <c r="D1174" s="7">
        <f t="shared" ca="1" si="73"/>
        <v>8.3104075057121293E-2</v>
      </c>
      <c r="E1174" s="7">
        <f t="shared" ca="1" si="74"/>
        <v>0.82789883688777477</v>
      </c>
      <c r="F1174" s="7">
        <f t="shared" ca="1" si="75"/>
        <v>2.4133124117347884E-2</v>
      </c>
      <c r="G1174" s="7">
        <f ca="1">$C$11/(1+D1174)^1
 +$D$11/(1+D1174)^2
 +$E$11/(1+D1174)^3
 +$F$11/(1+D1174)^4
 +$G$11/(1+D1174)^5
 +$H$11/(1+D1174)^6
 +$I$11/(1+D1174)^7
 + ( $I$11*(1+F1174)/(D1174-F1174) )/(1+D1174)^7</f>
        <v>446.13648176397822</v>
      </c>
      <c r="H1174" s="7">
        <f ca="1">(G1174-$C$8)/$C$9</f>
        <v>2.4574088747398135</v>
      </c>
    </row>
    <row r="1175" spans="3:8" x14ac:dyDescent="0.35">
      <c r="C1175" s="8">
        <f t="shared" ca="1" si="72"/>
        <v>0.70341486393856001</v>
      </c>
      <c r="D1175" s="7">
        <f t="shared" ca="1" si="73"/>
        <v>9.4790252923604448E-2</v>
      </c>
      <c r="E1175" s="7">
        <f t="shared" ca="1" si="74"/>
        <v>0.43852784511338427</v>
      </c>
      <c r="F1175" s="7">
        <f t="shared" ca="1" si="75"/>
        <v>1.9365125147197813E-2</v>
      </c>
      <c r="G1175" s="7">
        <f ca="1">$C$11/(1+D1175)^1
 +$D$11/(1+D1175)^2
 +$E$11/(1+D1175)^3
 +$F$11/(1+D1175)^4
 +$G$11/(1+D1175)^5
 +$H$11/(1+D1175)^6
 +$I$11/(1+D1175)^7
 + ( $I$11*(1+F1175)/(D1175-F1175) )/(1+D1175)^7</f>
        <v>353.50882261196205</v>
      </c>
      <c r="H1175" s="7">
        <f ca="1">(G1175-$C$8)/$C$9</f>
        <v>1.9337337325416215</v>
      </c>
    </row>
    <row r="1176" spans="3:8" x14ac:dyDescent="0.35">
      <c r="C1176" s="8">
        <f t="shared" ca="1" si="72"/>
        <v>0.1799330552416607</v>
      </c>
      <c r="D1176" s="7">
        <f t="shared" ca="1" si="73"/>
        <v>8.21468146152875E-2</v>
      </c>
      <c r="E1176" s="7">
        <f t="shared" ca="1" si="74"/>
        <v>0.11309409024474648</v>
      </c>
      <c r="F1176" s="7">
        <f t="shared" ca="1" si="75"/>
        <v>1.4755924520947455E-2</v>
      </c>
      <c r="G1176" s="7">
        <f ca="1">$C$11/(1+D1176)^1
 +$D$11/(1+D1176)^2
 +$E$11/(1+D1176)^3
 +$F$11/(1+D1176)^4
 +$G$11/(1+D1176)^5
 +$H$11/(1+D1176)^6
 +$I$11/(1+D1176)^7
 + ( $I$11*(1+F1176)/(D1176-F1176) )/(1+D1176)^7</f>
        <v>406.62724971680819</v>
      </c>
      <c r="H1176" s="7">
        <f ca="1">(G1176-$C$8)/$C$9</f>
        <v>2.2340414389236103</v>
      </c>
    </row>
    <row r="1177" spans="3:8" x14ac:dyDescent="0.35">
      <c r="C1177" s="8">
        <f t="shared" ca="1" si="72"/>
        <v>0.49599239952619056</v>
      </c>
      <c r="D1177" s="7">
        <f t="shared" ca="1" si="73"/>
        <v>9.0167145747762037E-2</v>
      </c>
      <c r="E1177" s="7">
        <f t="shared" ca="1" si="74"/>
        <v>0.68709613376640333</v>
      </c>
      <c r="F1177" s="7">
        <f t="shared" ca="1" si="75"/>
        <v>2.2089198950376813E-2</v>
      </c>
      <c r="G1177" s="7">
        <f ca="1">$C$11/(1+D1177)^1
 +$D$11/(1+D1177)^2
 +$E$11/(1+D1177)^3
 +$F$11/(1+D1177)^4
 +$G$11/(1+D1177)^5
 +$H$11/(1+D1177)^6
 +$I$11/(1+D1177)^7
 + ( $I$11*(1+F1177)/(D1177-F1177) )/(1+D1177)^7</f>
        <v>388.27308004631357</v>
      </c>
      <c r="H1177" s="7">
        <f ca="1">(G1177-$C$8)/$C$9</f>
        <v>2.1302752150967521</v>
      </c>
    </row>
    <row r="1178" spans="3:8" x14ac:dyDescent="0.35">
      <c r="C1178" s="8">
        <f t="shared" ca="1" si="72"/>
        <v>0.39763847618184989</v>
      </c>
      <c r="D1178" s="7">
        <f t="shared" ca="1" si="73"/>
        <v>8.8057229866984499E-2</v>
      </c>
      <c r="E1178" s="7">
        <f t="shared" ca="1" si="74"/>
        <v>0.30150818113462774</v>
      </c>
      <c r="F1178" s="7">
        <f t="shared" ca="1" si="75"/>
        <v>1.7765412817547149E-2</v>
      </c>
      <c r="G1178" s="7">
        <f ca="1">$C$11/(1+D1178)^1
 +$D$11/(1+D1178)^2
 +$E$11/(1+D1178)^3
 +$F$11/(1+D1178)^4
 +$G$11/(1+D1178)^5
 +$H$11/(1+D1178)^6
 +$I$11/(1+D1178)^7
 + ( $I$11*(1+F1178)/(D1178-F1178) )/(1+D1178)^7</f>
        <v>383.45727879766991</v>
      </c>
      <c r="H1178" s="7">
        <f ca="1">(G1178-$C$8)/$C$9</f>
        <v>2.1030488398782783</v>
      </c>
    </row>
    <row r="1179" spans="3:8" x14ac:dyDescent="0.35">
      <c r="C1179" s="8">
        <f t="shared" ca="1" si="72"/>
        <v>0.80538169086207556</v>
      </c>
      <c r="D1179" s="7">
        <f t="shared" ca="1" si="73"/>
        <v>9.7679193162475877E-2</v>
      </c>
      <c r="E1179" s="7">
        <f t="shared" ca="1" si="74"/>
        <v>5.276019731353343E-2</v>
      </c>
      <c r="F1179" s="7">
        <f t="shared" ca="1" si="75"/>
        <v>1.3248390287928267E-2</v>
      </c>
      <c r="G1179" s="7">
        <f ca="1">$C$11/(1+D1179)^1
 +$D$11/(1+D1179)^2
 +$E$11/(1+D1179)^3
 +$F$11/(1+D1179)^4
 +$G$11/(1+D1179)^5
 +$H$11/(1+D1179)^6
 +$I$11/(1+D1179)^7
 + ( $I$11*(1+F1179)/(D1179-F1179) )/(1+D1179)^7</f>
        <v>323.1949383352777</v>
      </c>
      <c r="H1179" s="7">
        <f ca="1">(G1179-$C$8)/$C$9</f>
        <v>1.7623526590642111</v>
      </c>
    </row>
    <row r="1180" spans="3:8" x14ac:dyDescent="0.35">
      <c r="C1180" s="8">
        <f t="shared" ca="1" si="72"/>
        <v>0.17529555279471642</v>
      </c>
      <c r="D1180" s="7">
        <f t="shared" ca="1" si="73"/>
        <v>8.1989259914259413E-2</v>
      </c>
      <c r="E1180" s="7">
        <f t="shared" ca="1" si="74"/>
        <v>0.68283621744216294</v>
      </c>
      <c r="F1180" s="7">
        <f t="shared" ca="1" si="75"/>
        <v>2.2035531624046249E-2</v>
      </c>
      <c r="G1180" s="7">
        <f ca="1">$C$11/(1+D1180)^1
 +$D$11/(1+D1180)^2
 +$E$11/(1+D1180)^3
 +$F$11/(1+D1180)^4
 +$G$11/(1+D1180)^5
 +$H$11/(1+D1180)^6
 +$I$11/(1+D1180)^7
 + ( $I$11*(1+F1180)/(D1180-F1180) )/(1+D1180)^7</f>
        <v>443.13551429372632</v>
      </c>
      <c r="H1180" s="7">
        <f ca="1">(G1180-$C$8)/$C$9</f>
        <v>2.4404427538089455</v>
      </c>
    </row>
    <row r="1181" spans="3:8" x14ac:dyDescent="0.35">
      <c r="C1181" s="8">
        <f t="shared" ca="1" si="72"/>
        <v>0.48658608419267679</v>
      </c>
      <c r="D1181" s="7">
        <f t="shared" ca="1" si="73"/>
        <v>8.9974999099824635E-2</v>
      </c>
      <c r="E1181" s="7">
        <f t="shared" ca="1" si="74"/>
        <v>0.39916018131322251</v>
      </c>
      <c r="F1181" s="7">
        <f t="shared" ca="1" si="75"/>
        <v>1.8934877518054991E-2</v>
      </c>
      <c r="G1181" s="7">
        <f ca="1">$C$11/(1+D1181)^1
 +$D$11/(1+D1181)^2
 +$E$11/(1+D1181)^3
 +$F$11/(1+D1181)^4
 +$G$11/(1+D1181)^5
 +$H$11/(1+D1181)^6
 +$I$11/(1+D1181)^7
 + ( $I$11*(1+F1181)/(D1181-F1181) )/(1+D1181)^7</f>
        <v>377.10957394394859</v>
      </c>
      <c r="H1181" s="7">
        <f ca="1">(G1181-$C$8)/$C$9</f>
        <v>2.0671617703751051</v>
      </c>
    </row>
    <row r="1182" spans="3:8" x14ac:dyDescent="0.35">
      <c r="C1182" s="8">
        <f t="shared" ca="1" si="72"/>
        <v>6.622641351783809E-3</v>
      </c>
      <c r="D1182" s="7">
        <f t="shared" ca="1" si="73"/>
        <v>7.233035746366577E-2</v>
      </c>
      <c r="E1182" s="7">
        <f t="shared" ca="1" si="74"/>
        <v>0.68458690721622606</v>
      </c>
      <c r="F1182" s="7">
        <f t="shared" ca="1" si="75"/>
        <v>2.2057543292106983E-2</v>
      </c>
      <c r="G1182" s="7">
        <f ca="1">$C$11/(1+D1182)^1
 +$D$11/(1+D1182)^2
 +$E$11/(1+D1182)^3
 +$F$11/(1+D1182)^4
 +$G$11/(1+D1182)^5
 +$H$11/(1+D1182)^6
 +$I$11/(1+D1182)^7
 + ( $I$11*(1+F1182)/(D1182-F1182) )/(1+D1182)^7</f>
        <v>531.57101008598852</v>
      </c>
      <c r="H1182" s="7">
        <f ca="1">(G1182-$C$8)/$C$9</f>
        <v>2.9404172890433542</v>
      </c>
    </row>
    <row r="1183" spans="3:8" x14ac:dyDescent="0.35">
      <c r="C1183" s="8">
        <f t="shared" ca="1" si="72"/>
        <v>0.1330526387451566</v>
      </c>
      <c r="D1183" s="7">
        <f t="shared" ca="1" si="73"/>
        <v>8.0445245989014744E-2</v>
      </c>
      <c r="E1183" s="7">
        <f t="shared" ca="1" si="74"/>
        <v>0.32543360199277327</v>
      </c>
      <c r="F1183" s="7">
        <f t="shared" ca="1" si="75"/>
        <v>1.806763412646822E-2</v>
      </c>
      <c r="G1183" s="7">
        <f ca="1">$C$11/(1+D1183)^1
 +$D$11/(1+D1183)^2
 +$E$11/(1+D1183)^3
 +$F$11/(1+D1183)^4
 +$G$11/(1+D1183)^5
 +$H$11/(1+D1183)^6
 +$I$11/(1+D1183)^7
 + ( $I$11*(1+F1183)/(D1183-F1183) )/(1+D1183)^7</f>
        <v>433.67638706139769</v>
      </c>
      <c r="H1183" s="7">
        <f ca="1">(G1183-$C$8)/$C$9</f>
        <v>2.3869651009803126</v>
      </c>
    </row>
    <row r="1184" spans="3:8" x14ac:dyDescent="0.35">
      <c r="C1184" s="8">
        <f t="shared" ca="1" si="72"/>
        <v>8.213729357569588E-3</v>
      </c>
      <c r="D1184" s="7">
        <f t="shared" ca="1" si="73"/>
        <v>7.2595237575484584E-2</v>
      </c>
      <c r="E1184" s="7">
        <f t="shared" ca="1" si="74"/>
        <v>0.78824267738499432</v>
      </c>
      <c r="F1184" s="7">
        <f t="shared" ca="1" si="75"/>
        <v>2.3492199717031786E-2</v>
      </c>
      <c r="G1184" s="7">
        <f ca="1">$C$11/(1+D1184)^1
 +$D$11/(1+D1184)^2
 +$E$11/(1+D1184)^3
 +$F$11/(1+D1184)^4
 +$G$11/(1+D1184)^5
 +$H$11/(1+D1184)^6
 +$I$11/(1+D1184)^7
 + ( $I$11*(1+F1184)/(D1184-F1184) )/(1+D1184)^7</f>
        <v>540.67567143835254</v>
      </c>
      <c r="H1184" s="7">
        <f ca="1">(G1184-$C$8)/$C$9</f>
        <v>2.9918909511440104</v>
      </c>
    </row>
    <row r="1185" spans="3:8" x14ac:dyDescent="0.35">
      <c r="C1185" s="8">
        <f t="shared" ca="1" si="72"/>
        <v>1.4920945231797211E-2</v>
      </c>
      <c r="D1185" s="7">
        <f t="shared" ca="1" si="73"/>
        <v>7.3497881514584751E-2</v>
      </c>
      <c r="E1185" s="7">
        <f t="shared" ca="1" si="74"/>
        <v>0.44324315344283649</v>
      </c>
      <c r="F1185" s="7">
        <f t="shared" ca="1" si="75"/>
        <v>1.9415340179120843E-2</v>
      </c>
      <c r="G1185" s="7">
        <f ca="1">$C$11/(1+D1185)^1
 +$D$11/(1+D1185)^2
 +$E$11/(1+D1185)^3
 +$F$11/(1+D1185)^4
 +$G$11/(1+D1185)^5
 +$H$11/(1+D1185)^6
 +$I$11/(1+D1185)^7
 + ( $I$11*(1+F1185)/(D1185-F1185) )/(1+D1185)^7</f>
        <v>499.54693118879612</v>
      </c>
      <c r="H1185" s="7">
        <f ca="1">(G1185-$C$8)/$C$9</f>
        <v>2.7593675440343515</v>
      </c>
    </row>
    <row r="1186" spans="3:8" x14ac:dyDescent="0.35">
      <c r="C1186" s="8">
        <f t="shared" ca="1" si="72"/>
        <v>0.64781379322074084</v>
      </c>
      <c r="D1186" s="7">
        <f t="shared" ca="1" si="73"/>
        <v>9.3425765740528993E-2</v>
      </c>
      <c r="E1186" s="7">
        <f t="shared" ca="1" si="74"/>
        <v>0.49173375124243046</v>
      </c>
      <c r="F1186" s="7">
        <f t="shared" ca="1" si="75"/>
        <v>1.9916993004358029E-2</v>
      </c>
      <c r="G1186" s="7">
        <f ca="1">$C$11/(1+D1186)^1
 +$D$11/(1+D1186)^2
 +$E$11/(1+D1186)^3
 +$F$11/(1+D1186)^4
 +$G$11/(1+D1186)^5
 +$H$11/(1+D1186)^6
 +$I$11/(1+D1186)^7
 + ( $I$11*(1+F1186)/(D1186-F1186) )/(1+D1186)^7</f>
        <v>362.18994664449303</v>
      </c>
      <c r="H1186" s="7">
        <f ca="1">(G1186-$C$8)/$C$9</f>
        <v>1.9828129050457544</v>
      </c>
    </row>
    <row r="1187" spans="3:8" x14ac:dyDescent="0.35">
      <c r="C1187" s="8">
        <f t="shared" ca="1" si="72"/>
        <v>0.32818167476454319</v>
      </c>
      <c r="D1187" s="7">
        <f t="shared" ca="1" si="73"/>
        <v>8.6404541240367727E-2</v>
      </c>
      <c r="E1187" s="7">
        <f t="shared" ca="1" si="74"/>
        <v>0.62071801351278721</v>
      </c>
      <c r="F1187" s="7">
        <f t="shared" ca="1" si="75"/>
        <v>2.129044218703139E-2</v>
      </c>
      <c r="G1187" s="7">
        <f ca="1">$C$11/(1+D1187)^1
 +$D$11/(1+D1187)^2
 +$E$11/(1+D1187)^3
 +$F$11/(1+D1187)^4
 +$G$11/(1+D1187)^5
 +$H$11/(1+D1187)^6
 +$I$11/(1+D1187)^7
 + ( $I$11*(1+F1187)/(D1187-F1187) )/(1+D1187)^7</f>
        <v>408.2386979368232</v>
      </c>
      <c r="H1187" s="7">
        <f ca="1">(G1187-$C$8)/$C$9</f>
        <v>2.2431518427002666</v>
      </c>
    </row>
    <row r="1188" spans="3:8" x14ac:dyDescent="0.35">
      <c r="C1188" s="8">
        <f t="shared" ca="1" si="72"/>
        <v>0.47121720517064636</v>
      </c>
      <c r="D1188" s="7">
        <f t="shared" ca="1" si="73"/>
        <v>8.965701168132964E-2</v>
      </c>
      <c r="E1188" s="7">
        <f t="shared" ca="1" si="74"/>
        <v>0.56302814989559491</v>
      </c>
      <c r="F1188" s="7">
        <f t="shared" ca="1" si="75"/>
        <v>2.0651504397985684E-2</v>
      </c>
      <c r="G1188" s="7">
        <f ca="1">$C$11/(1+D1188)^1
 +$D$11/(1+D1188)^2
 +$E$11/(1+D1188)^3
 +$F$11/(1+D1188)^4
 +$G$11/(1+D1188)^5
 +$H$11/(1+D1188)^6
 +$I$11/(1+D1188)^7
 + ( $I$11*(1+F1188)/(D1188-F1188) )/(1+D1188)^7</f>
        <v>385.50946174036051</v>
      </c>
      <c r="H1188" s="7">
        <f ca="1">(G1188-$C$8)/$C$9</f>
        <v>2.1146509596356879</v>
      </c>
    </row>
    <row r="1189" spans="3:8" x14ac:dyDescent="0.35">
      <c r="C1189" s="8">
        <f t="shared" ca="1" si="72"/>
        <v>0.18315448484986241</v>
      </c>
      <c r="D1189" s="7">
        <f t="shared" ca="1" si="73"/>
        <v>8.2255067424412132E-2</v>
      </c>
      <c r="E1189" s="7">
        <f t="shared" ca="1" si="74"/>
        <v>0.45890513723802162</v>
      </c>
      <c r="F1189" s="7">
        <f t="shared" ca="1" si="75"/>
        <v>1.9580241513010216E-2</v>
      </c>
      <c r="G1189" s="7">
        <f ca="1">$C$11/(1+D1189)^1
 +$D$11/(1+D1189)^2
 +$E$11/(1+D1189)^3
 +$F$11/(1+D1189)^4
 +$G$11/(1+D1189)^5
 +$H$11/(1+D1189)^6
 +$I$11/(1+D1189)^7
 + ( $I$11*(1+F1189)/(D1189-F1189) )/(1+D1189)^7</f>
        <v>428.33570854312779</v>
      </c>
      <c r="H1189" s="7">
        <f ca="1">(G1189-$C$8)/$C$9</f>
        <v>2.3567713056486195</v>
      </c>
    </row>
    <row r="1190" spans="3:8" x14ac:dyDescent="0.35">
      <c r="C1190" s="8">
        <f t="shared" ca="1" si="72"/>
        <v>0.18185016843820379</v>
      </c>
      <c r="D1190" s="7">
        <f t="shared" ca="1" si="73"/>
        <v>8.2211352837393864E-2</v>
      </c>
      <c r="E1190" s="7">
        <f t="shared" ca="1" si="74"/>
        <v>0.98883815292189359</v>
      </c>
      <c r="F1190" s="7">
        <f t="shared" ca="1" si="75"/>
        <v>2.8505888419286803E-2</v>
      </c>
      <c r="G1190" s="7">
        <f ca="1">$C$11/(1+D1190)^1
 +$D$11/(1+D1190)^2
 +$E$11/(1+D1190)^3
 +$F$11/(1+D1190)^4
 +$G$11/(1+D1190)^5
 +$H$11/(1+D1190)^6
 +$I$11/(1+D1190)^7
 + ( $I$11*(1+F1190)/(D1190-F1190) )/(1+D1190)^7</f>
        <v>480.76092018895952</v>
      </c>
      <c r="H1190" s="7">
        <f ca="1">(G1190-$C$8)/$C$9</f>
        <v>2.653159883474443</v>
      </c>
    </row>
    <row r="1191" spans="3:8" x14ac:dyDescent="0.35">
      <c r="C1191" s="8">
        <f t="shared" ca="1" si="72"/>
        <v>0.5446188792101696</v>
      </c>
      <c r="D1191" s="7">
        <f t="shared" ca="1" si="73"/>
        <v>9.1153321931542741E-2</v>
      </c>
      <c r="E1191" s="7">
        <f t="shared" ca="1" si="74"/>
        <v>0.23411133771250781</v>
      </c>
      <c r="F1191" s="7">
        <f t="shared" ca="1" si="75"/>
        <v>1.6842679850943017E-2</v>
      </c>
      <c r="G1191" s="7">
        <f ca="1">$C$11/(1+D1191)^1
 +$D$11/(1+D1191)^2
 +$E$11/(1+D1191)^3
 +$F$11/(1+D1191)^4
 +$G$11/(1+D1191)^5
 +$H$11/(1+D1191)^6
 +$I$11/(1+D1191)^7
 + ( $I$11*(1+F1191)/(D1191-F1191) )/(1+D1191)^7</f>
        <v>363.39939703788832</v>
      </c>
      <c r="H1191" s="7">
        <f ca="1">(G1191-$C$8)/$C$9</f>
        <v>1.9896505938369986</v>
      </c>
    </row>
    <row r="1192" spans="3:8" x14ac:dyDescent="0.35">
      <c r="C1192" s="8">
        <f t="shared" ca="1" si="72"/>
        <v>0.99421628639267701</v>
      </c>
      <c r="D1192" s="7">
        <f t="shared" ca="1" si="73"/>
        <v>0.10787601868800313</v>
      </c>
      <c r="E1192" s="7">
        <f t="shared" ca="1" si="74"/>
        <v>0.70821867425038554</v>
      </c>
      <c r="F1192" s="7">
        <f t="shared" ca="1" si="75"/>
        <v>2.2360872749461302E-2</v>
      </c>
      <c r="G1192" s="7">
        <f ca="1">$C$11/(1+D1192)^1
 +$D$11/(1+D1192)^2
 +$E$11/(1+D1192)^3
 +$F$11/(1+D1192)^4
 +$G$11/(1+D1192)^5
 +$H$11/(1+D1192)^6
 +$I$11/(1+D1192)^7
 + ( $I$11*(1+F1192)/(D1192-F1192) )/(1+D1192)^7</f>
        <v>305.6944451008834</v>
      </c>
      <c r="H1192" s="7">
        <f ca="1">(G1192-$C$8)/$C$9</f>
        <v>1.6634127380194674</v>
      </c>
    </row>
    <row r="1193" spans="3:8" x14ac:dyDescent="0.35">
      <c r="C1193" s="8">
        <f t="shared" ca="1" si="72"/>
        <v>0.70611308592012312</v>
      </c>
      <c r="D1193" s="7">
        <f t="shared" ca="1" si="73"/>
        <v>9.4859597330906154E-2</v>
      </c>
      <c r="E1193" s="7">
        <f t="shared" ca="1" si="74"/>
        <v>0.73855018013700202</v>
      </c>
      <c r="F1193" s="7">
        <f t="shared" ca="1" si="75"/>
        <v>2.2768820015198102E-2</v>
      </c>
      <c r="G1193" s="7">
        <f ca="1">$C$11/(1+D1193)^1
 +$D$11/(1+D1193)^2
 +$E$11/(1+D1193)^3
 +$F$11/(1+D1193)^4
 +$G$11/(1+D1193)^5
 +$H$11/(1+D1193)^6
 +$I$11/(1+D1193)^7
 + ( $I$11*(1+F1193)/(D1193-F1193) )/(1+D1193)^7</f>
        <v>364.62461861639451</v>
      </c>
      <c r="H1193" s="7">
        <f ca="1">(G1193-$C$8)/$C$9</f>
        <v>1.996577445818603</v>
      </c>
    </row>
    <row r="1194" spans="3:8" x14ac:dyDescent="0.35">
      <c r="C1194" s="8">
        <f t="shared" ca="1" si="72"/>
        <v>0.30364338663940094</v>
      </c>
      <c r="D1194" s="7">
        <f t="shared" ca="1" si="73"/>
        <v>8.5779340196735374E-2</v>
      </c>
      <c r="E1194" s="7">
        <f t="shared" ca="1" si="74"/>
        <v>0.25169387462996762</v>
      </c>
      <c r="F1194" s="7">
        <f t="shared" ca="1" si="75"/>
        <v>1.7094982376721843E-2</v>
      </c>
      <c r="G1194" s="7">
        <f ca="1">$C$11/(1+D1194)^1
 +$D$11/(1+D1194)^2
 +$E$11/(1+D1194)^3
 +$F$11/(1+D1194)^4
 +$G$11/(1+D1194)^5
 +$H$11/(1+D1194)^6
 +$I$11/(1+D1194)^7
 + ( $I$11*(1+F1194)/(D1194-F1194) )/(1+D1194)^7</f>
        <v>394.11330599506982</v>
      </c>
      <c r="H1194" s="7">
        <f ca="1">(G1194-$C$8)/$C$9</f>
        <v>2.1632932270187122</v>
      </c>
    </row>
    <row r="1195" spans="3:8" x14ac:dyDescent="0.35">
      <c r="C1195" s="8">
        <f t="shared" ca="1" si="72"/>
        <v>0.58454596430186545</v>
      </c>
      <c r="D1195" s="7">
        <f t="shared" ca="1" si="73"/>
        <v>9.1998495956044535E-2</v>
      </c>
      <c r="E1195" s="7">
        <f t="shared" ca="1" si="74"/>
        <v>0.39502845955470467</v>
      </c>
      <c r="F1195" s="7">
        <f t="shared" ca="1" si="75"/>
        <v>1.8888514606554961E-2</v>
      </c>
      <c r="G1195" s="7">
        <f ca="1">$C$11/(1+D1195)^1
 +$D$11/(1+D1195)^2
 +$E$11/(1+D1195)^3
 +$F$11/(1+D1195)^4
 +$G$11/(1+D1195)^5
 +$H$11/(1+D1195)^6
 +$I$11/(1+D1195)^7
 + ( $I$11*(1+F1195)/(D1195-F1195) )/(1+D1195)^7</f>
        <v>366.04736975457416</v>
      </c>
      <c r="H1195" s="7">
        <f ca="1">(G1195-$C$8)/$C$9</f>
        <v>2.0046210411271717</v>
      </c>
    </row>
    <row r="1196" spans="3:8" x14ac:dyDescent="0.35">
      <c r="C1196" s="8">
        <f t="shared" ca="1" si="72"/>
        <v>0.57013800577031915</v>
      </c>
      <c r="D1196" s="7">
        <f t="shared" ca="1" si="73"/>
        <v>9.1689009980365582E-2</v>
      </c>
      <c r="E1196" s="7">
        <f t="shared" ca="1" si="74"/>
        <v>0.53836423214506746</v>
      </c>
      <c r="F1196" s="7">
        <f t="shared" ca="1" si="75"/>
        <v>2.039129802881854E-2</v>
      </c>
      <c r="G1196" s="7">
        <f ca="1">$C$11/(1+D1196)^1
 +$D$11/(1+D1196)^2
 +$E$11/(1+D1196)^3
 +$F$11/(1+D1196)^4
 +$G$11/(1+D1196)^5
 +$H$11/(1+D1196)^6
 +$I$11/(1+D1196)^7
 + ( $I$11*(1+F1196)/(D1196-F1196) )/(1+D1196)^7</f>
        <v>373.06963335388929</v>
      </c>
      <c r="H1196" s="7">
        <f ca="1">(G1196-$C$8)/$C$9</f>
        <v>2.0443217625163346</v>
      </c>
    </row>
    <row r="1197" spans="3:8" x14ac:dyDescent="0.35">
      <c r="C1197" s="8">
        <f t="shared" ca="1" si="72"/>
        <v>0.33812529661980983</v>
      </c>
      <c r="D1197" s="7">
        <f t="shared" ca="1" si="73"/>
        <v>8.6651208461497445E-2</v>
      </c>
      <c r="E1197" s="7">
        <f t="shared" ca="1" si="74"/>
        <v>0.75739477589459636</v>
      </c>
      <c r="F1197" s="7">
        <f t="shared" ca="1" si="75"/>
        <v>2.3034295095176602E-2</v>
      </c>
      <c r="G1197" s="7">
        <f ca="1">$C$11/(1+D1197)^1
 +$D$11/(1+D1197)^2
 +$E$11/(1+D1197)^3
 +$F$11/(1+D1197)^4
 +$G$11/(1+D1197)^5
 +$H$11/(1+D1197)^6
 +$I$11/(1+D1197)^7
 + ( $I$11*(1+F1197)/(D1197-F1197) )/(1+D1197)^7</f>
        <v>414.67443180942604</v>
      </c>
      <c r="H1197" s="7">
        <f ca="1">(G1197-$C$8)/$C$9</f>
        <v>2.2795365887009611</v>
      </c>
    </row>
    <row r="1198" spans="3:8" x14ac:dyDescent="0.35">
      <c r="C1198" s="8">
        <f t="shared" ca="1" si="72"/>
        <v>0.61337585901665237</v>
      </c>
      <c r="D1198" s="7">
        <f t="shared" ca="1" si="73"/>
        <v>9.2634320342497065E-2</v>
      </c>
      <c r="E1198" s="7">
        <f t="shared" ca="1" si="74"/>
        <v>0.89654877891048146</v>
      </c>
      <c r="F1198" s="7">
        <f t="shared" ca="1" si="75"/>
        <v>2.5451346988623585E-2</v>
      </c>
      <c r="G1198" s="7">
        <f ca="1">$C$11/(1+D1198)^1
 +$D$11/(1+D1198)^2
 +$E$11/(1+D1198)^3
 +$F$11/(1+D1198)^4
 +$G$11/(1+D1198)^5
 +$H$11/(1+D1198)^6
 +$I$11/(1+D1198)^7
 + ( $I$11*(1+F1198)/(D1198-F1198) )/(1+D1198)^7</f>
        <v>387.31088149372067</v>
      </c>
      <c r="H1198" s="7">
        <f ca="1">(G1198-$C$8)/$C$9</f>
        <v>2.1248353770563129</v>
      </c>
    </row>
    <row r="1199" spans="3:8" x14ac:dyDescent="0.35">
      <c r="C1199" s="8">
        <f t="shared" ca="1" si="72"/>
        <v>0.38446881531065136</v>
      </c>
      <c r="D1199" s="7">
        <f t="shared" ca="1" si="73"/>
        <v>8.7755687217191403E-2</v>
      </c>
      <c r="E1199" s="7">
        <f t="shared" ca="1" si="74"/>
        <v>0.53324463395064448</v>
      </c>
      <c r="F1199" s="7">
        <f t="shared" ca="1" si="75"/>
        <v>2.0338164086993037E-2</v>
      </c>
      <c r="G1199" s="7">
        <f ca="1">$C$11/(1+D1199)^1
 +$D$11/(1+D1199)^2
 +$E$11/(1+D1199)^3
 +$F$11/(1+D1199)^4
 +$G$11/(1+D1199)^5
 +$H$11/(1+D1199)^6
 +$I$11/(1+D1199)^7
 + ( $I$11*(1+F1199)/(D1199-F1199) )/(1+D1199)^7</f>
        <v>395.56802602480496</v>
      </c>
      <c r="H1199" s="7">
        <f ca="1">(G1199-$C$8)/$C$9</f>
        <v>2.1715175600678704</v>
      </c>
    </row>
    <row r="1200" spans="3:8" x14ac:dyDescent="0.35">
      <c r="C1200" s="8">
        <f t="shared" ca="1" si="72"/>
        <v>0.4834382336222014</v>
      </c>
      <c r="D1200" s="7">
        <f t="shared" ca="1" si="73"/>
        <v>8.9910282558773619E-2</v>
      </c>
      <c r="E1200" s="7">
        <f t="shared" ca="1" si="74"/>
        <v>0.39772353213304801</v>
      </c>
      <c r="F1200" s="7">
        <f t="shared" ca="1" si="75"/>
        <v>1.8918783909626334E-2</v>
      </c>
      <c r="G1200" s="7">
        <f ca="1">$C$11/(1+D1200)^1
 +$D$11/(1+D1200)^2
 +$E$11/(1+D1200)^3
 +$F$11/(1+D1200)^4
 +$G$11/(1+D1200)^5
 +$H$11/(1+D1200)^6
 +$I$11/(1+D1200)^7
 + ( $I$11*(1+F1200)/(D1200-F1200) )/(1+D1200)^7</f>
        <v>377.40841966329185</v>
      </c>
      <c r="H1200" s="7">
        <f ca="1">(G1200-$C$8)/$C$9</f>
        <v>2.0688513097201029</v>
      </c>
    </row>
    <row r="1201" spans="3:8" x14ac:dyDescent="0.35">
      <c r="C1201" s="8">
        <f t="shared" ca="1" si="72"/>
        <v>0.96440409871934152</v>
      </c>
      <c r="D1201" s="7">
        <f t="shared" ca="1" si="73"/>
        <v>0.1047307682724221</v>
      </c>
      <c r="E1201" s="7">
        <f t="shared" ca="1" si="74"/>
        <v>0.51169766007201645</v>
      </c>
      <c r="F1201" s="7">
        <f t="shared" ca="1" si="75"/>
        <v>2.0117668899212258E-2</v>
      </c>
      <c r="G1201" s="7">
        <f ca="1">$C$11/(1+D1201)^1
 +$D$11/(1+D1201)^2
 +$E$11/(1+D1201)^3
 +$F$11/(1+D1201)^4
 +$G$11/(1+D1201)^5
 +$H$11/(1+D1201)^6
 +$I$11/(1+D1201)^7
 + ( $I$11*(1+F1201)/(D1201-F1201) )/(1+D1201)^7</f>
        <v>312.32493823256891</v>
      </c>
      <c r="H1201" s="7">
        <f ca="1">(G1201-$C$8)/$C$9</f>
        <v>1.7008985653130309</v>
      </c>
    </row>
    <row r="1202" spans="3:8" x14ac:dyDescent="0.35">
      <c r="C1202" s="8">
        <f t="shared" ca="1" si="72"/>
        <v>0.55946016763701534</v>
      </c>
      <c r="D1202" s="7">
        <f t="shared" ca="1" si="73"/>
        <v>9.1462981112295103E-2</v>
      </c>
      <c r="E1202" s="7">
        <f t="shared" ca="1" si="74"/>
        <v>0.35635788477730401</v>
      </c>
      <c r="F1202" s="7">
        <f t="shared" ca="1" si="75"/>
        <v>1.8442249519853154E-2</v>
      </c>
      <c r="G1202" s="7">
        <f ca="1">$C$11/(1+D1202)^1
 +$D$11/(1+D1202)^2
 +$E$11/(1+D1202)^3
 +$F$11/(1+D1202)^4
 +$G$11/(1+D1202)^5
 +$H$11/(1+D1202)^6
 +$I$11/(1+D1202)^7
 + ( $I$11*(1+F1202)/(D1202-F1202) )/(1+D1202)^7</f>
        <v>367.29826566799062</v>
      </c>
      <c r="H1202" s="7">
        <f ca="1">(G1202-$C$8)/$C$9</f>
        <v>2.0116930442559395</v>
      </c>
    </row>
    <row r="1203" spans="3:8" x14ac:dyDescent="0.35">
      <c r="C1203" s="8">
        <f t="shared" ca="1" si="72"/>
        <v>1.3018095989296707E-2</v>
      </c>
      <c r="D1203" s="7">
        <f t="shared" ca="1" si="73"/>
        <v>7.3267237167887161E-2</v>
      </c>
      <c r="E1203" s="7">
        <f t="shared" ca="1" si="74"/>
        <v>8.4967323923525462E-2</v>
      </c>
      <c r="F1203" s="7">
        <f t="shared" ca="1" si="75"/>
        <v>1.4122313038174697E-2</v>
      </c>
      <c r="G1203" s="7">
        <f ca="1">$C$11/(1+D1203)^1
 +$D$11/(1+D1203)^2
 +$E$11/(1+D1203)^3
 +$F$11/(1+D1203)^4
 +$G$11/(1+D1203)^5
 +$H$11/(1+D1203)^6
 +$I$11/(1+D1203)^7
 + ( $I$11*(1+F1203)/(D1203-F1203) )/(1+D1203)^7</f>
        <v>467.45890263523609</v>
      </c>
      <c r="H1203" s="7">
        <f ca="1">(G1203-$C$8)/$C$9</f>
        <v>2.5779562564181142</v>
      </c>
    </row>
    <row r="1204" spans="3:8" x14ac:dyDescent="0.35">
      <c r="C1204" s="8">
        <f t="shared" ca="1" si="72"/>
        <v>0.35045351425176974</v>
      </c>
      <c r="D1204" s="7">
        <f t="shared" ca="1" si="73"/>
        <v>8.6952046533868746E-2</v>
      </c>
      <c r="E1204" s="7">
        <f t="shared" ca="1" si="74"/>
        <v>0.45440981048430462</v>
      </c>
      <c r="F1204" s="7">
        <f t="shared" ca="1" si="75"/>
        <v>1.9533203139389242E-2</v>
      </c>
      <c r="G1204" s="7">
        <f ca="1">$C$11/(1+D1204)^1
 +$D$11/(1+D1204)^2
 +$E$11/(1+D1204)^3
 +$F$11/(1+D1204)^4
 +$G$11/(1+D1204)^5
 +$H$11/(1+D1204)^6
 +$I$11/(1+D1204)^7
 + ( $I$11*(1+F1204)/(D1204-F1204) )/(1+D1204)^7</f>
        <v>397.10744104543238</v>
      </c>
      <c r="H1204" s="7">
        <f ca="1">(G1204-$C$8)/$C$9</f>
        <v>2.1802207205191788</v>
      </c>
    </row>
    <row r="1205" spans="3:8" x14ac:dyDescent="0.35">
      <c r="C1205" s="8">
        <f t="shared" ca="1" si="72"/>
        <v>0.14314755750550467</v>
      </c>
      <c r="D1205" s="7">
        <f t="shared" ca="1" si="73"/>
        <v>8.0834251111844974E-2</v>
      </c>
      <c r="E1205" s="7">
        <f t="shared" ca="1" si="74"/>
        <v>0.73345919706161034</v>
      </c>
      <c r="F1205" s="7">
        <f t="shared" ca="1" si="75"/>
        <v>2.269875623008806E-2</v>
      </c>
      <c r="G1205" s="7">
        <f ca="1">$C$11/(1+D1205)^1
 +$D$11/(1+D1205)^2
 +$E$11/(1+D1205)^3
 +$F$11/(1+D1205)^4
 +$G$11/(1+D1205)^5
 +$H$11/(1+D1205)^6
 +$I$11/(1+D1205)^7
 + ( $I$11*(1+F1205)/(D1205-F1205) )/(1+D1205)^7</f>
        <v>455.99598330560184</v>
      </c>
      <c r="H1205" s="7">
        <f ca="1">(G1205-$C$8)/$C$9</f>
        <v>2.5131500639167901</v>
      </c>
    </row>
    <row r="1206" spans="3:8" x14ac:dyDescent="0.35">
      <c r="C1206" s="8">
        <f t="shared" ca="1" si="72"/>
        <v>0.8648503855683668</v>
      </c>
      <c r="D1206" s="7">
        <f t="shared" ca="1" si="73"/>
        <v>9.973273652540883E-2</v>
      </c>
      <c r="E1206" s="7">
        <f t="shared" ca="1" si="74"/>
        <v>0.99605395933688823</v>
      </c>
      <c r="F1206" s="7">
        <f t="shared" ca="1" si="75"/>
        <v>2.9111626130155575E-2</v>
      </c>
      <c r="G1206" s="7">
        <f ca="1">$C$11/(1+D1206)^1
 +$D$11/(1+D1206)^2
 +$E$11/(1+D1206)^3
 +$F$11/(1+D1206)^4
 +$G$11/(1+D1206)^5
 +$H$11/(1+D1206)^6
 +$I$11/(1+D1206)^7
 + ( $I$11*(1+F1206)/(D1206-F1206) )/(1+D1206)^7</f>
        <v>361.41983153496398</v>
      </c>
      <c r="H1206" s="7">
        <f ca="1">(G1206-$C$8)/$C$9</f>
        <v>1.9784590204373811</v>
      </c>
    </row>
    <row r="1207" spans="3:8" x14ac:dyDescent="0.35">
      <c r="C1207" s="8">
        <f t="shared" ca="1" si="72"/>
        <v>0.79447289184362579</v>
      </c>
      <c r="D1207" s="7">
        <f t="shared" ca="1" si="73"/>
        <v>9.7338596272056876E-2</v>
      </c>
      <c r="E1207" s="7">
        <f t="shared" ca="1" si="74"/>
        <v>0.11540289426352868</v>
      </c>
      <c r="F1207" s="7">
        <f t="shared" ca="1" si="75"/>
        <v>1.4804225104291611E-2</v>
      </c>
      <c r="G1207" s="7">
        <f ca="1">$C$11/(1+D1207)^1
 +$D$11/(1+D1207)^2
 +$E$11/(1+D1207)^3
 +$F$11/(1+D1207)^4
 +$G$11/(1+D1207)^5
 +$H$11/(1+D1207)^6
 +$I$11/(1+D1207)^7
 + ( $I$11*(1+F1207)/(D1207-F1207) )/(1+D1207)^7</f>
        <v>328.62748600357969</v>
      </c>
      <c r="H1207" s="7">
        <f ca="1">(G1207-$C$8)/$C$9</f>
        <v>1.7930658412685418</v>
      </c>
    </row>
    <row r="1208" spans="3:8" x14ac:dyDescent="0.35">
      <c r="C1208" s="8">
        <f t="shared" ca="1" si="72"/>
        <v>2.7228066267865558E-2</v>
      </c>
      <c r="D1208" s="7">
        <f t="shared" ca="1" si="73"/>
        <v>7.4725147017781546E-2</v>
      </c>
      <c r="E1208" s="7">
        <f t="shared" ca="1" si="74"/>
        <v>0.45546926024836532</v>
      </c>
      <c r="F1208" s="7">
        <f t="shared" ca="1" si="75"/>
        <v>1.9544309930512163E-2</v>
      </c>
      <c r="G1208" s="7">
        <f ca="1">$C$11/(1+D1208)^1
 +$D$11/(1+D1208)^2
 +$E$11/(1+D1208)^3
 +$F$11/(1+D1208)^4
 +$G$11/(1+D1208)^5
 +$H$11/(1+D1208)^6
 +$I$11/(1+D1208)^7
 + ( $I$11*(1+F1208)/(D1208-F1208) )/(1+D1208)^7</f>
        <v>488.93589378162875</v>
      </c>
      <c r="H1208" s="7">
        <f ca="1">(G1208-$C$8)/$C$9</f>
        <v>2.6993775089418177</v>
      </c>
    </row>
    <row r="1209" spans="3:8" x14ac:dyDescent="0.35">
      <c r="C1209" s="8">
        <f t="shared" ca="1" si="72"/>
        <v>0.98682919725353158</v>
      </c>
      <c r="D1209" s="7">
        <f t="shared" ca="1" si="73"/>
        <v>0.10679481261979189</v>
      </c>
      <c r="E1209" s="7">
        <f t="shared" ca="1" si="74"/>
        <v>0.63572521788979874</v>
      </c>
      <c r="F1209" s="7">
        <f t="shared" ca="1" si="75"/>
        <v>2.1464488508470027E-2</v>
      </c>
      <c r="G1209" s="7">
        <f ca="1">$C$11/(1+D1209)^1
 +$D$11/(1+D1209)^2
 +$E$11/(1+D1209)^3
 +$F$11/(1+D1209)^4
 +$G$11/(1+D1209)^5
 +$H$11/(1+D1209)^6
 +$I$11/(1+D1209)^7
 + ( $I$11*(1+F1209)/(D1209-F1209) )/(1+D1209)^7</f>
        <v>307.65519757134257</v>
      </c>
      <c r="H1209" s="7">
        <f ca="1">(G1209-$C$8)/$C$9</f>
        <v>1.674497950991308</v>
      </c>
    </row>
    <row r="1210" spans="3:8" x14ac:dyDescent="0.35">
      <c r="C1210" s="8">
        <f t="shared" ca="1" si="72"/>
        <v>0.72488983299843068</v>
      </c>
      <c r="D1210" s="7">
        <f t="shared" ca="1" si="73"/>
        <v>9.5351248167122774E-2</v>
      </c>
      <c r="E1210" s="7">
        <f t="shared" ca="1" si="74"/>
        <v>0.91232372972618225</v>
      </c>
      <c r="F1210" s="7">
        <f t="shared" ca="1" si="75"/>
        <v>2.581248832183556E-2</v>
      </c>
      <c r="G1210" s="7">
        <f ca="1">$C$11/(1+D1210)^1
 +$D$11/(1+D1210)^2
 +$E$11/(1+D1210)^3
 +$F$11/(1+D1210)^4
 +$G$11/(1+D1210)^5
 +$H$11/(1+D1210)^6
 +$I$11/(1+D1210)^7
 + ( $I$11*(1+F1210)/(D1210-F1210) )/(1+D1210)^7</f>
        <v>373.07002719345854</v>
      </c>
      <c r="H1210" s="7">
        <f ca="1">(G1210-$C$8)/$C$9</f>
        <v>2.0443239891082006</v>
      </c>
    </row>
    <row r="1211" spans="3:8" x14ac:dyDescent="0.35">
      <c r="C1211" s="8">
        <f t="shared" ca="1" si="72"/>
        <v>0.12846815623823171</v>
      </c>
      <c r="D1211" s="7">
        <f t="shared" ca="1" si="73"/>
        <v>8.0263717071088328E-2</v>
      </c>
      <c r="E1211" s="7">
        <f t="shared" ca="1" si="74"/>
        <v>0.22797867072943068</v>
      </c>
      <c r="F1211" s="7">
        <f t="shared" ca="1" si="75"/>
        <v>1.6752461339829064E-2</v>
      </c>
      <c r="G1211" s="7">
        <f ca="1">$C$11/(1+D1211)^1
 +$D$11/(1+D1211)^2
 +$E$11/(1+D1211)^3
 +$F$11/(1+D1211)^4
 +$G$11/(1+D1211)^5
 +$H$11/(1+D1211)^6
 +$I$11/(1+D1211)^7
 + ( $I$11*(1+F1211)/(D1211-F1211) )/(1+D1211)^7</f>
        <v>428.38382890089713</v>
      </c>
      <c r="H1211" s="7">
        <f ca="1">(G1211-$C$8)/$C$9</f>
        <v>2.3570433565179618</v>
      </c>
    </row>
    <row r="1212" spans="3:8" x14ac:dyDescent="0.35">
      <c r="C1212" s="8">
        <f t="shared" ca="1" si="72"/>
        <v>0.54254683644132862</v>
      </c>
      <c r="D1212" s="7">
        <f t="shared" ca="1" si="73"/>
        <v>9.1110493188657271E-2</v>
      </c>
      <c r="E1212" s="7">
        <f t="shared" ca="1" si="74"/>
        <v>0.63114041936264986</v>
      </c>
      <c r="F1212" s="7">
        <f t="shared" ca="1" si="75"/>
        <v>2.1410942069850149E-2</v>
      </c>
      <c r="G1212" s="7">
        <f ca="1">$C$11/(1+D1212)^1
 +$D$11/(1+D1212)^2
 +$E$11/(1+D1212)^3
 +$F$11/(1+D1212)^4
 +$G$11/(1+D1212)^5
 +$H$11/(1+D1212)^6
 +$I$11/(1+D1212)^7
 + ( $I$11*(1+F1212)/(D1212-F1212) )/(1+D1212)^7</f>
        <v>380.1197812898024</v>
      </c>
      <c r="H1212" s="7">
        <f ca="1">(G1212-$C$8)/$C$9</f>
        <v>2.0841801294086522</v>
      </c>
    </row>
    <row r="1213" spans="3:8" x14ac:dyDescent="0.35">
      <c r="C1213" s="8">
        <f t="shared" ca="1" si="72"/>
        <v>0.28629329217825117</v>
      </c>
      <c r="D1213" s="7">
        <f t="shared" ca="1" si="73"/>
        <v>8.5321896083258297E-2</v>
      </c>
      <c r="E1213" s="7">
        <f t="shared" ca="1" si="74"/>
        <v>7.9250841460042021E-2</v>
      </c>
      <c r="F1213" s="7">
        <f t="shared" ca="1" si="75"/>
        <v>1.3981226983231225E-2</v>
      </c>
      <c r="G1213" s="7">
        <f ca="1">$C$11/(1+D1213)^1
 +$D$11/(1+D1213)^2
 +$E$11/(1+D1213)^3
 +$F$11/(1+D1213)^4
 +$G$11/(1+D1213)^5
 +$H$11/(1+D1213)^6
 +$I$11/(1+D1213)^7
 + ( $I$11*(1+F1213)/(D1213-F1213) )/(1+D1213)^7</f>
        <v>384.52437350972843</v>
      </c>
      <c r="H1213" s="7">
        <f ca="1">(G1213-$C$8)/$C$9</f>
        <v>2.1090817136461353</v>
      </c>
    </row>
    <row r="1214" spans="3:8" x14ac:dyDescent="0.35">
      <c r="C1214" s="8">
        <f t="shared" ca="1" si="72"/>
        <v>0.66209383669499233</v>
      </c>
      <c r="D1214" s="7">
        <f t="shared" ca="1" si="73"/>
        <v>9.376525924512788E-2</v>
      </c>
      <c r="E1214" s="7">
        <f t="shared" ca="1" si="74"/>
        <v>0.5878706219815476</v>
      </c>
      <c r="F1214" s="7">
        <f t="shared" ca="1" si="75"/>
        <v>2.0921130268381945E-2</v>
      </c>
      <c r="G1214" s="7">
        <f ca="1">$C$11/(1+D1214)^1
 +$D$11/(1+D1214)^2
 +$E$11/(1+D1214)^3
 +$F$11/(1+D1214)^4
 +$G$11/(1+D1214)^5
 +$H$11/(1+D1214)^6
 +$I$11/(1+D1214)^7
 + ( $I$11*(1+F1214)/(D1214-F1214) )/(1+D1214)^7</f>
        <v>363.89121696836276</v>
      </c>
      <c r="H1214" s="7">
        <f ca="1">(G1214-$C$8)/$C$9</f>
        <v>1.9924311226162525</v>
      </c>
    </row>
    <row r="1215" spans="3:8" x14ac:dyDescent="0.35">
      <c r="C1215" s="8">
        <f t="shared" ca="1" si="72"/>
        <v>0.34572308265124163</v>
      </c>
      <c r="D1215" s="7">
        <f t="shared" ca="1" si="73"/>
        <v>8.6837248224517521E-2</v>
      </c>
      <c r="E1215" s="7">
        <f t="shared" ca="1" si="74"/>
        <v>0.73702056541680427</v>
      </c>
      <c r="F1215" s="7">
        <f t="shared" ca="1" si="75"/>
        <v>2.274769781954453E-2</v>
      </c>
      <c r="G1215" s="7">
        <f ca="1">$C$11/(1+D1215)^1
 +$D$11/(1+D1215)^2
 +$E$11/(1+D1215)^3
 +$F$11/(1+D1215)^4
 +$G$11/(1+D1215)^5
 +$H$11/(1+D1215)^6
 +$I$11/(1+D1215)^7
 + ( $I$11*(1+F1215)/(D1215-F1215) )/(1+D1215)^7</f>
        <v>412.07888430330462</v>
      </c>
      <c r="H1215" s="7">
        <f ca="1">(G1215-$C$8)/$C$9</f>
        <v>2.2648625299825</v>
      </c>
    </row>
    <row r="1216" spans="3:8" x14ac:dyDescent="0.35">
      <c r="C1216" s="8">
        <f t="shared" ca="1" si="72"/>
        <v>0.21545416563458886</v>
      </c>
      <c r="D1216" s="7">
        <f t="shared" ca="1" si="73"/>
        <v>8.3291817626659007E-2</v>
      </c>
      <c r="E1216" s="7">
        <f t="shared" ca="1" si="74"/>
        <v>0.11441848771659524</v>
      </c>
      <c r="F1216" s="7">
        <f t="shared" ca="1" si="75"/>
        <v>1.4783690786758594E-2</v>
      </c>
      <c r="G1216" s="7">
        <f ca="1">$C$11/(1+D1216)^1
 +$D$11/(1+D1216)^2
 +$E$11/(1+D1216)^3
 +$F$11/(1+D1216)^4
 +$G$11/(1+D1216)^5
 +$H$11/(1+D1216)^6
 +$I$11/(1+D1216)^7
 + ( $I$11*(1+F1216)/(D1216-F1216) )/(1+D1216)^7</f>
        <v>399.6373466370909</v>
      </c>
      <c r="H1216" s="7">
        <f ca="1">(G1216-$C$8)/$C$9</f>
        <v>2.1945236693639241</v>
      </c>
    </row>
    <row r="1217" spans="3:8" x14ac:dyDescent="0.35">
      <c r="C1217" s="8">
        <f t="shared" ca="1" si="72"/>
        <v>0.32193592796706638</v>
      </c>
      <c r="D1217" s="7">
        <f t="shared" ca="1" si="73"/>
        <v>8.6247690941576721E-2</v>
      </c>
      <c r="E1217" s="7">
        <f t="shared" ca="1" si="74"/>
        <v>0.5081978037711159</v>
      </c>
      <c r="F1217" s="7">
        <f t="shared" ca="1" si="75"/>
        <v>2.0082316840825332E-2</v>
      </c>
      <c r="G1217" s="7">
        <f ca="1">$C$11/(1+D1217)^1
 +$D$11/(1+D1217)^2
 +$E$11/(1+D1217)^3
 +$F$11/(1+D1217)^4
 +$G$11/(1+D1217)^5
 +$H$11/(1+D1217)^6
 +$I$11/(1+D1217)^7
 + ( $I$11*(1+F1217)/(D1217-F1217) )/(1+D1217)^7</f>
        <v>403.86450322234191</v>
      </c>
      <c r="H1217" s="7">
        <f ca="1">(G1217-$C$8)/$C$9</f>
        <v>2.2184221122927514</v>
      </c>
    </row>
    <row r="1218" spans="3:8" x14ac:dyDescent="0.35">
      <c r="C1218" s="8">
        <f t="shared" ca="1" si="72"/>
        <v>0.96727954058547538</v>
      </c>
      <c r="D1218" s="7">
        <f t="shared" ca="1" si="73"/>
        <v>0.10494807379870517</v>
      </c>
      <c r="E1218" s="7">
        <f t="shared" ca="1" si="74"/>
        <v>0.13398855975364776</v>
      </c>
      <c r="F1218" s="7">
        <f t="shared" ca="1" si="75"/>
        <v>1.5176650649863245E-2</v>
      </c>
      <c r="G1218" s="7">
        <f ca="1">$C$11/(1+D1218)^1
 +$D$11/(1+D1218)^2
 +$E$11/(1+D1218)^3
 +$F$11/(1+D1218)^4
 +$G$11/(1+D1218)^5
 +$H$11/(1+D1218)^6
 +$I$11/(1+D1218)^7
 + ( $I$11*(1+F1218)/(D1218-F1218) )/(1+D1218)^7</f>
        <v>300.23824245094613</v>
      </c>
      <c r="H1218" s="7">
        <f ca="1">(G1218-$C$8)/$C$9</f>
        <v>1.6325658211835488</v>
      </c>
    </row>
    <row r="1219" spans="3:8" x14ac:dyDescent="0.35">
      <c r="C1219" s="8">
        <f t="shared" ca="1" si="72"/>
        <v>0.22090581156801903</v>
      </c>
      <c r="D1219" s="7">
        <f t="shared" ca="1" si="73"/>
        <v>8.3458928838721733E-2</v>
      </c>
      <c r="E1219" s="7">
        <f t="shared" ca="1" si="74"/>
        <v>0.14728266427122971</v>
      </c>
      <c r="F1219" s="7">
        <f t="shared" ca="1" si="75"/>
        <v>1.5427387295397846E-2</v>
      </c>
      <c r="G1219" s="7">
        <f ca="1">$C$11/(1+D1219)^1
 +$D$11/(1+D1219)^2
 +$E$11/(1+D1219)^3
 +$F$11/(1+D1219)^4
 +$G$11/(1+D1219)^5
 +$H$11/(1+D1219)^6
 +$I$11/(1+D1219)^7
 + ( $I$11*(1+F1219)/(D1219-F1219) )/(1+D1219)^7</f>
        <v>401.30678167406273</v>
      </c>
      <c r="H1219" s="7">
        <f ca="1">(G1219-$C$8)/$C$9</f>
        <v>2.203961904534502</v>
      </c>
    </row>
    <row r="1220" spans="3:8" x14ac:dyDescent="0.35">
      <c r="C1220" s="8">
        <f t="shared" ca="1" si="72"/>
        <v>0.11273440833282211</v>
      </c>
      <c r="D1220" s="7">
        <f t="shared" ca="1" si="73"/>
        <v>7.9614687453730057E-2</v>
      </c>
      <c r="E1220" s="7">
        <f t="shared" ca="1" si="74"/>
        <v>0.92200133501917869</v>
      </c>
      <c r="F1220" s="7">
        <f t="shared" ca="1" si="75"/>
        <v>2.6050350269180282E-2</v>
      </c>
      <c r="G1220" s="7">
        <f ca="1">$C$11/(1+D1220)^1
 +$D$11/(1+D1220)^2
 +$E$11/(1+D1220)^3
 +$F$11/(1+D1220)^4
 +$G$11/(1+D1220)^5
 +$H$11/(1+D1220)^6
 +$I$11/(1+D1220)^7
 + ( $I$11*(1+F1220)/(D1220-F1220) )/(1+D1220)^7</f>
        <v>488.01247251153364</v>
      </c>
      <c r="H1220" s="7">
        <f ca="1">(G1220-$C$8)/$C$9</f>
        <v>2.6941569002235055</v>
      </c>
    </row>
    <row r="1221" spans="3:8" x14ac:dyDescent="0.35">
      <c r="C1221" s="8">
        <f t="shared" ca="1" si="72"/>
        <v>8.244044090655156E-3</v>
      </c>
      <c r="D1221" s="7">
        <f t="shared" ca="1" si="73"/>
        <v>7.2600022337276596E-2</v>
      </c>
      <c r="E1221" s="7">
        <f t="shared" ca="1" si="74"/>
        <v>0.92296325032809379</v>
      </c>
      <c r="F1221" s="7">
        <f t="shared" ca="1" si="75"/>
        <v>2.6074780269286668E-2</v>
      </c>
      <c r="G1221" s="7">
        <f ca="1">$C$11/(1+D1221)^1
 +$D$11/(1+D1221)^2
 +$E$11/(1+D1221)^3
 +$F$11/(1+D1221)^4
 +$G$11/(1+D1221)^5
 +$H$11/(1+D1221)^6
 +$I$11/(1+D1221)^7
 + ( $I$11*(1+F1221)/(D1221-F1221) )/(1+D1221)^7</f>
        <v>564.04142411167288</v>
      </c>
      <c r="H1221" s="7">
        <f ca="1">(G1221-$C$8)/$C$9</f>
        <v>3.1239904122098197</v>
      </c>
    </row>
    <row r="1222" spans="3:8" x14ac:dyDescent="0.35">
      <c r="C1222" s="8">
        <f t="shared" ca="1" si="72"/>
        <v>0.46464840976278965</v>
      </c>
      <c r="D1222" s="7">
        <f t="shared" ca="1" si="73"/>
        <v>8.9519520895900276E-2</v>
      </c>
      <c r="E1222" s="7">
        <f t="shared" ca="1" si="74"/>
        <v>0.72442666376718012</v>
      </c>
      <c r="F1222" s="7">
        <f t="shared" ca="1" si="75"/>
        <v>2.2576074673963647E-2</v>
      </c>
      <c r="G1222" s="7">
        <f ca="1">$C$11/(1+D1222)^1
 +$D$11/(1+D1222)^2
 +$E$11/(1+D1222)^3
 +$F$11/(1+D1222)^4
 +$G$11/(1+D1222)^5
 +$H$11/(1+D1222)^6
 +$I$11/(1+D1222)^7
 + ( $I$11*(1+F1222)/(D1222-F1222) )/(1+D1222)^7</f>
        <v>394.18505575441804</v>
      </c>
      <c r="H1222" s="7">
        <f ca="1">(G1222-$C$8)/$C$9</f>
        <v>2.1636988679015041</v>
      </c>
    </row>
    <row r="1223" spans="3:8" x14ac:dyDescent="0.35">
      <c r="C1223" s="8">
        <f t="shared" ca="1" si="72"/>
        <v>0.61940080492812899</v>
      </c>
      <c r="D1223" s="7">
        <f t="shared" ca="1" si="73"/>
        <v>9.2770160414093833E-2</v>
      </c>
      <c r="E1223" s="7">
        <f t="shared" ca="1" si="74"/>
        <v>0.76098739232646606</v>
      </c>
      <c r="F1223" s="7">
        <f t="shared" ca="1" si="75"/>
        <v>2.3086063239028953E-2</v>
      </c>
      <c r="G1223" s="7">
        <f ca="1">$C$11/(1+D1223)^1
 +$D$11/(1+D1223)^2
 +$E$11/(1+D1223)^3
 +$F$11/(1+D1223)^4
 +$G$11/(1+D1223)^5
 +$H$11/(1+D1223)^6
 +$I$11/(1+D1223)^7
 + ( $I$11*(1+F1223)/(D1223-F1223) )/(1+D1223)^7</f>
        <v>377.15895321534242</v>
      </c>
      <c r="H1223" s="7">
        <f ca="1">(G1223-$C$8)/$C$9</f>
        <v>2.0674409385761106</v>
      </c>
    </row>
    <row r="1224" spans="3:8" x14ac:dyDescent="0.35">
      <c r="C1224" s="8">
        <f t="shared" ca="1" si="72"/>
        <v>0.60085290528241475</v>
      </c>
      <c r="D1224" s="7">
        <f t="shared" ca="1" si="73"/>
        <v>9.2355319955303342E-2</v>
      </c>
      <c r="E1224" s="7">
        <f t="shared" ca="1" si="74"/>
        <v>0.33223634890238851</v>
      </c>
      <c r="F1224" s="7">
        <f t="shared" ca="1" si="75"/>
        <v>1.8151519476789446E-2</v>
      </c>
      <c r="G1224" s="7">
        <f ca="1">$C$11/(1+D1224)^1
 +$D$11/(1+D1224)^2
 +$E$11/(1+D1224)^3
 +$F$11/(1+D1224)^4
 +$G$11/(1+D1224)^5
 +$H$11/(1+D1224)^6
 +$I$11/(1+D1224)^7
 + ( $I$11*(1+F1224)/(D1224-F1224) )/(1+D1224)^7</f>
        <v>361.67925704383276</v>
      </c>
      <c r="H1224" s="7">
        <f ca="1">(G1224-$C$8)/$C$9</f>
        <v>1.9799256956345135</v>
      </c>
    </row>
    <row r="1225" spans="3:8" x14ac:dyDescent="0.35">
      <c r="C1225" s="8">
        <f t="shared" ca="1" si="72"/>
        <v>3.303887154599805E-2</v>
      </c>
      <c r="D1225" s="7">
        <f t="shared" ca="1" si="73"/>
        <v>7.5204985558838602E-2</v>
      </c>
      <c r="E1225" s="7">
        <f t="shared" ca="1" si="74"/>
        <v>0.40939856938420349</v>
      </c>
      <c r="F1225" s="7">
        <f t="shared" ca="1" si="75"/>
        <v>1.9048741010595935E-2</v>
      </c>
      <c r="G1225" s="7">
        <f ca="1">$C$11/(1+D1225)^1
 +$D$11/(1+D1225)^2
 +$E$11/(1+D1225)^3
 +$F$11/(1+D1225)^4
 +$G$11/(1+D1225)^5
 +$H$11/(1+D1225)^6
 +$I$11/(1+D1225)^7
 + ( $I$11*(1+F1225)/(D1225-F1225) )/(1+D1225)^7</f>
        <v>481.3321988366564</v>
      </c>
      <c r="H1225" s="7">
        <f ca="1">(G1225-$C$8)/$C$9</f>
        <v>2.656389636118591</v>
      </c>
    </row>
    <row r="1226" spans="3:8" x14ac:dyDescent="0.35">
      <c r="C1226" s="8">
        <f t="shared" ca="1" si="72"/>
        <v>0.29263720754001343</v>
      </c>
      <c r="D1226" s="7">
        <f t="shared" ca="1" si="73"/>
        <v>8.5490723358927143E-2</v>
      </c>
      <c r="E1226" s="7">
        <f t="shared" ca="1" si="74"/>
        <v>0.54420276597989992</v>
      </c>
      <c r="F1226" s="7">
        <f t="shared" ca="1" si="75"/>
        <v>2.0452254360110968E-2</v>
      </c>
      <c r="G1226" s="7">
        <f ca="1">$C$11/(1+D1226)^1
 +$D$11/(1+D1226)^2
 +$E$11/(1+D1226)^3
 +$F$11/(1+D1226)^4
 +$G$11/(1+D1226)^5
 +$H$11/(1+D1226)^6
 +$I$11/(1+D1226)^7
 + ( $I$11*(1+F1226)/(D1226-F1226) )/(1+D1226)^7</f>
        <v>410.40612688239469</v>
      </c>
      <c r="H1226" s="7">
        <f ca="1">(G1226-$C$8)/$C$9</f>
        <v>2.2554055115467815</v>
      </c>
    </row>
    <row r="1227" spans="3:8" x14ac:dyDescent="0.35">
      <c r="C1227" s="8">
        <f t="shared" ca="1" si="72"/>
        <v>0.66469458663939607</v>
      </c>
      <c r="D1227" s="7">
        <f t="shared" ca="1" si="73"/>
        <v>9.3827856591618075E-2</v>
      </c>
      <c r="E1227" s="7">
        <f t="shared" ca="1" si="74"/>
        <v>0.90602695740881223</v>
      </c>
      <c r="F1227" s="7">
        <f t="shared" ca="1" si="75"/>
        <v>2.5664725093118367E-2</v>
      </c>
      <c r="G1227" s="7">
        <f ca="1">$C$11/(1+D1227)^1
 +$D$11/(1+D1227)^2
 +$E$11/(1+D1227)^3
 +$F$11/(1+D1227)^4
 +$G$11/(1+D1227)^5
 +$H$11/(1+D1227)^6
 +$I$11/(1+D1227)^7
 + ( $I$11*(1+F1227)/(D1227-F1227) )/(1+D1227)^7</f>
        <v>381.14852226896528</v>
      </c>
      <c r="H1227" s="7">
        <f ca="1">(G1227-$C$8)/$C$9</f>
        <v>2.0899961684134172</v>
      </c>
    </row>
    <row r="1228" spans="3:8" x14ac:dyDescent="0.35">
      <c r="C1228" s="8">
        <f t="shared" ca="1" si="72"/>
        <v>0.98158407036075046</v>
      </c>
      <c r="D1228" s="7">
        <f t="shared" ca="1" si="73"/>
        <v>0.10620995710860488</v>
      </c>
      <c r="E1228" s="7">
        <f t="shared" ca="1" si="74"/>
        <v>0.77184661189933945</v>
      </c>
      <c r="F1228" s="7">
        <f t="shared" ca="1" si="75"/>
        <v>2.324495169372327E-2</v>
      </c>
      <c r="G1228" s="7">
        <f ca="1">$C$11/(1+D1228)^1
 +$D$11/(1+D1228)^2
 +$E$11/(1+D1228)^3
 +$F$11/(1+D1228)^4
 +$G$11/(1+D1228)^5
 +$H$11/(1+D1228)^6
 +$I$11/(1+D1228)^7
 + ( $I$11*(1+F1228)/(D1228-F1228) )/(1+D1228)^7</f>
        <v>314.23877842321122</v>
      </c>
      <c r="H1228" s="7">
        <f ca="1">(G1228-$C$8)/$C$9</f>
        <v>1.7117185573451561</v>
      </c>
    </row>
    <row r="1229" spans="3:8" x14ac:dyDescent="0.35">
      <c r="C1229" s="8">
        <f t="shared" ca="1" si="72"/>
        <v>0.28836366858422102</v>
      </c>
      <c r="D1229" s="7">
        <f t="shared" ca="1" si="73"/>
        <v>8.5377197671847149E-2</v>
      </c>
      <c r="E1229" s="7">
        <f t="shared" ca="1" si="74"/>
        <v>0.48490881335369584</v>
      </c>
      <c r="F1229" s="7">
        <f t="shared" ca="1" si="75"/>
        <v>1.9847931898157055E-2</v>
      </c>
      <c r="G1229" s="7">
        <f ca="1">$C$11/(1+D1229)^1
 +$D$11/(1+D1229)^2
 +$E$11/(1+D1229)^3
 +$F$11/(1+D1229)^4
 +$G$11/(1+D1229)^5
 +$H$11/(1+D1229)^6
 +$I$11/(1+D1229)^7
 + ( $I$11*(1+F1229)/(D1229-F1229) )/(1+D1229)^7</f>
        <v>408.41119307443972</v>
      </c>
      <c r="H1229" s="7">
        <f ca="1">(G1229-$C$8)/$C$9</f>
        <v>2.2441270526596546</v>
      </c>
    </row>
    <row r="1230" spans="3:8" x14ac:dyDescent="0.35">
      <c r="C1230" s="8">
        <f t="shared" ca="1" si="72"/>
        <v>0.63230521773974269</v>
      </c>
      <c r="D1230" s="7">
        <f t="shared" ca="1" si="73"/>
        <v>9.3064772509263399E-2</v>
      </c>
      <c r="E1230" s="7">
        <f t="shared" ca="1" si="74"/>
        <v>0.55587673608575638</v>
      </c>
      <c r="F1230" s="7">
        <f t="shared" ca="1" si="75"/>
        <v>2.057531683382148E-2</v>
      </c>
      <c r="G1230" s="7">
        <f ca="1">$C$11/(1+D1230)^1
 +$D$11/(1+D1230)^2
 +$E$11/(1+D1230)^3
 +$F$11/(1+D1230)^4
 +$G$11/(1+D1230)^5
 +$H$11/(1+D1230)^6
 +$I$11/(1+D1230)^7
 + ( $I$11*(1+F1230)/(D1230-F1230) )/(1+D1230)^7</f>
        <v>366.35284405183427</v>
      </c>
      <c r="H1230" s="7">
        <f ca="1">(G1230-$C$8)/$C$9</f>
        <v>2.0063480554716997</v>
      </c>
    </row>
    <row r="1231" spans="3:8" x14ac:dyDescent="0.35">
      <c r="C1231" s="8">
        <f t="shared" ca="1" si="72"/>
        <v>0.77115073223540886</v>
      </c>
      <c r="D1231" s="7">
        <f t="shared" ca="1" si="73"/>
        <v>9.6639519886756273E-2</v>
      </c>
      <c r="E1231" s="7">
        <f t="shared" ca="1" si="74"/>
        <v>0.71326654003341328</v>
      </c>
      <c r="F1231" s="7">
        <f t="shared" ca="1" si="75"/>
        <v>2.2427240133655539E-2</v>
      </c>
      <c r="G1231" s="7">
        <f ca="1">$C$11/(1+D1231)^1
 +$D$11/(1+D1231)^2
 +$E$11/(1+D1231)^3
 +$F$11/(1+D1231)^4
 +$G$11/(1+D1231)^5
 +$H$11/(1+D1231)^6
 +$I$11/(1+D1231)^7
 + ( $I$11*(1+F1231)/(D1231-F1231) )/(1+D1231)^7</f>
        <v>354.35200032342436</v>
      </c>
      <c r="H1231" s="7">
        <f ca="1">(G1231-$C$8)/$C$9</f>
        <v>1.9385006802545475</v>
      </c>
    </row>
    <row r="1232" spans="3:8" x14ac:dyDescent="0.35">
      <c r="C1232" s="8">
        <f t="shared" ca="1" si="72"/>
        <v>9.621676193158113E-2</v>
      </c>
      <c r="D1232" s="7">
        <f t="shared" ca="1" si="73"/>
        <v>7.8882440249385108E-2</v>
      </c>
      <c r="E1232" s="7">
        <f t="shared" ca="1" si="74"/>
        <v>7.5336227778008635E-2</v>
      </c>
      <c r="F1232" s="7">
        <f t="shared" ca="1" si="75"/>
        <v>1.3881655002135266E-2</v>
      </c>
      <c r="G1232" s="7">
        <f ca="1">$C$11/(1+D1232)^1
 +$D$11/(1+D1232)^2
 +$E$11/(1+D1232)^3
 +$F$11/(1+D1232)^4
 +$G$11/(1+D1232)^5
 +$H$11/(1+D1232)^6
 +$I$11/(1+D1232)^7
 + ( $I$11*(1+F1232)/(D1232-F1232) )/(1+D1232)^7</f>
        <v>424.09115272915233</v>
      </c>
      <c r="H1232" s="7">
        <f ca="1">(G1232-$C$8)/$C$9</f>
        <v>2.3327744953027607</v>
      </c>
    </row>
    <row r="1233" spans="3:8" x14ac:dyDescent="0.35">
      <c r="C1233" s="8">
        <f t="shared" ref="C1233:C1296" ca="1" si="76">RAND()</f>
        <v>0.74492150528206436</v>
      </c>
      <c r="D1233" s="7">
        <f t="shared" ref="D1233:D1296" ca="1" si="77">IF(C1233&lt;(0.0905-0.07)/(0.11-0.07),
 0.07+SQRT(C1233*(0.11-0.07)*(0.0905-0.07)),
 0.11-SQRT((1-C1233)*(0.11-0.07)*(0.11-0.0905))
)</f>
        <v>9.5894638399530843E-2</v>
      </c>
      <c r="E1233" s="7">
        <f t="shared" ref="E1233:E1296" ca="1" si="78">RAND()</f>
        <v>0.25019419384124941</v>
      </c>
      <c r="F1233" s="7">
        <f t="shared" ref="F1233:F1296" ca="1" si="79">MIN(
 IF(E1233&lt;(0.02-0.01)/(0.03-0.01),
   0.01+SQRT(E1233*(0.03-0.01)*(0.02-0.01)),
   0.03-SQRT((1-E1233)*(0.03-0.01)*(0.03-0.02))
 ),
 D1233-0.005
)</f>
        <v>1.7073813594395165E-2</v>
      </c>
      <c r="G1233" s="7">
        <f ca="1">$C$11/(1+D1233)^1
 +$D$11/(1+D1233)^2
 +$E$11/(1+D1233)^3
 +$F$11/(1+D1233)^4
 +$G$11/(1+D1233)^5
 +$H$11/(1+D1233)^6
 +$I$11/(1+D1233)^7
 + ( $I$11*(1+F1233)/(D1233-F1233) )/(1+D1233)^7</f>
        <v>341.25800321497945</v>
      </c>
      <c r="H1233" s="7">
        <f ca="1">(G1233-$C$8)/$C$9</f>
        <v>1.8644731072760032</v>
      </c>
    </row>
    <row r="1234" spans="3:8" x14ac:dyDescent="0.35">
      <c r="C1234" s="8">
        <f t="shared" ca="1" si="76"/>
        <v>0.74535621670210184</v>
      </c>
      <c r="D1234" s="7">
        <f t="shared" ca="1" si="77"/>
        <v>9.5906662887294561E-2</v>
      </c>
      <c r="E1234" s="7">
        <f t="shared" ca="1" si="78"/>
        <v>0.92572092607654421</v>
      </c>
      <c r="F1234" s="7">
        <f t="shared" ca="1" si="79"/>
        <v>2.6145675832951881E-2</v>
      </c>
      <c r="G1234" s="7">
        <f ca="1">$C$11/(1+D1234)^1
 +$D$11/(1+D1234)^2
 +$E$11/(1+D1234)^3
 +$F$11/(1+D1234)^4
 +$G$11/(1+D1234)^5
 +$H$11/(1+D1234)^6
 +$I$11/(1+D1234)^7
 + ( $I$11*(1+F1234)/(D1234-F1234) )/(1+D1234)^7</f>
        <v>371.24578974410304</v>
      </c>
      <c r="H1234" s="7">
        <f ca="1">(G1234-$C$8)/$C$9</f>
        <v>2.0340105706925771</v>
      </c>
    </row>
    <row r="1235" spans="3:8" x14ac:dyDescent="0.35">
      <c r="C1235" s="8">
        <f t="shared" ca="1" si="76"/>
        <v>0.22599126061610997</v>
      </c>
      <c r="D1235" s="7">
        <f t="shared" ca="1" si="77"/>
        <v>8.3612965646956222E-2</v>
      </c>
      <c r="E1235" s="7">
        <f t="shared" ca="1" si="78"/>
        <v>0.2521197312081177</v>
      </c>
      <c r="F1235" s="7">
        <f t="shared" ca="1" si="79"/>
        <v>1.7100982061773115E-2</v>
      </c>
      <c r="G1235" s="7">
        <f ca="1">$C$11/(1+D1235)^1
 +$D$11/(1+D1235)^2
 +$E$11/(1+D1235)^3
 +$F$11/(1+D1235)^4
 +$G$11/(1+D1235)^5
 +$H$11/(1+D1235)^6
 +$I$11/(1+D1235)^7
 + ( $I$11*(1+F1235)/(D1235-F1235) )/(1+D1235)^7</f>
        <v>407.55010543968717</v>
      </c>
      <c r="H1235" s="7">
        <f ca="1">(G1235-$C$8)/$C$9</f>
        <v>2.2392588502922157</v>
      </c>
    </row>
    <row r="1236" spans="3:8" x14ac:dyDescent="0.35">
      <c r="C1236" s="8">
        <f t="shared" ca="1" si="76"/>
        <v>0.97030042403005456</v>
      </c>
      <c r="D1236" s="7">
        <f t="shared" ca="1" si="77"/>
        <v>0.10518692725417977</v>
      </c>
      <c r="E1236" s="7">
        <f t="shared" ca="1" si="78"/>
        <v>0.83020619566962928</v>
      </c>
      <c r="F1236" s="7">
        <f t="shared" ca="1" si="79"/>
        <v>2.4172585404652065E-2</v>
      </c>
      <c r="G1236" s="7">
        <f ca="1">$C$11/(1+D1236)^1
 +$D$11/(1+D1236)^2
 +$E$11/(1+D1236)^3
 +$F$11/(1+D1236)^4
 +$G$11/(1+D1236)^5
 +$H$11/(1+D1236)^6
 +$I$11/(1+D1236)^7
 + ( $I$11*(1+F1236)/(D1236-F1236) )/(1+D1236)^7</f>
        <v>320.75602107564549</v>
      </c>
      <c r="H1236" s="7">
        <f ca="1">(G1236-$C$8)/$C$9</f>
        <v>1.7485641173430884</v>
      </c>
    </row>
    <row r="1237" spans="3:8" x14ac:dyDescent="0.35">
      <c r="C1237" s="8">
        <f t="shared" ca="1" si="76"/>
        <v>0.24318401328683326</v>
      </c>
      <c r="D1237" s="7">
        <f t="shared" ca="1" si="77"/>
        <v>8.4121292111389925E-2</v>
      </c>
      <c r="E1237" s="7">
        <f t="shared" ca="1" si="78"/>
        <v>0.46277371698950431</v>
      </c>
      <c r="F1237" s="7">
        <f t="shared" ca="1" si="79"/>
        <v>1.9620537583622907E-2</v>
      </c>
      <c r="G1237" s="7">
        <f ca="1">$C$11/(1+D1237)^1
 +$D$11/(1+D1237)^2
 +$E$11/(1+D1237)^3
 +$F$11/(1+D1237)^4
 +$G$11/(1+D1237)^5
 +$H$11/(1+D1237)^6
 +$I$11/(1+D1237)^7
 + ( $I$11*(1+F1237)/(D1237-F1237) )/(1+D1237)^7</f>
        <v>415.65082831359166</v>
      </c>
      <c r="H1237" s="7">
        <f ca="1">(G1237-$C$8)/$C$9</f>
        <v>2.2850566955766149</v>
      </c>
    </row>
    <row r="1238" spans="3:8" x14ac:dyDescent="0.35">
      <c r="C1238" s="8">
        <f t="shared" ca="1" si="76"/>
        <v>0.14536554729845852</v>
      </c>
      <c r="D1238" s="7">
        <f t="shared" ca="1" si="77"/>
        <v>8.0917863746389956E-2</v>
      </c>
      <c r="E1238" s="7">
        <f t="shared" ca="1" si="78"/>
        <v>0.46445867442625488</v>
      </c>
      <c r="F1238" s="7">
        <f t="shared" ca="1" si="79"/>
        <v>1.9638035841666651E-2</v>
      </c>
      <c r="G1238" s="7">
        <f ca="1">$C$11/(1+D1238)^1
 +$D$11/(1+D1238)^2
 +$E$11/(1+D1238)^3
 +$F$11/(1+D1238)^4
 +$G$11/(1+D1238)^5
 +$H$11/(1+D1238)^6
 +$I$11/(1+D1238)^7
 + ( $I$11*(1+F1238)/(D1238-F1238) )/(1+D1238)^7</f>
        <v>438.3482065722539</v>
      </c>
      <c r="H1238" s="7">
        <f ca="1">(G1238-$C$8)/$C$9</f>
        <v>2.4133774681832536</v>
      </c>
    </row>
    <row r="1239" spans="3:8" x14ac:dyDescent="0.35">
      <c r="C1239" s="8">
        <f t="shared" ca="1" si="76"/>
        <v>0.850551184478606</v>
      </c>
      <c r="D1239" s="7">
        <f t="shared" ca="1" si="77"/>
        <v>9.920323770259401E-2</v>
      </c>
      <c r="E1239" s="7">
        <f t="shared" ca="1" si="78"/>
        <v>0.7621638768693193</v>
      </c>
      <c r="F1239" s="7">
        <f t="shared" ca="1" si="79"/>
        <v>2.3103100361311892E-2</v>
      </c>
      <c r="G1239" s="7">
        <f ca="1">$C$11/(1+D1239)^1
 +$D$11/(1+D1239)^2
 +$E$11/(1+D1239)^3
 +$F$11/(1+D1239)^4
 +$G$11/(1+D1239)^5
 +$H$11/(1+D1239)^6
 +$I$11/(1+D1239)^7
 + ( $I$11*(1+F1239)/(D1239-F1239) )/(1+D1239)^7</f>
        <v>344.09508874491593</v>
      </c>
      <c r="H1239" s="7">
        <f ca="1">(G1239-$C$8)/$C$9</f>
        <v>1.8805127133927855</v>
      </c>
    </row>
    <row r="1240" spans="3:8" x14ac:dyDescent="0.35">
      <c r="C1240" s="8">
        <f t="shared" ca="1" si="76"/>
        <v>0.98739924111619692</v>
      </c>
      <c r="D1240" s="7">
        <f t="shared" ca="1" si="77"/>
        <v>0.10686494147911615</v>
      </c>
      <c r="E1240" s="7">
        <f t="shared" ca="1" si="78"/>
        <v>0.93687754207017071</v>
      </c>
      <c r="F1240" s="7">
        <f t="shared" ca="1" si="79"/>
        <v>2.6446903943605542E-2</v>
      </c>
      <c r="G1240" s="7">
        <f ca="1">$C$11/(1+D1240)^1
 +$D$11/(1+D1240)^2
 +$E$11/(1+D1240)^3
 +$F$11/(1+D1240)^4
 +$G$11/(1+D1240)^5
 +$H$11/(1+D1240)^6
 +$I$11/(1+D1240)^7
 + ( $I$11*(1+F1240)/(D1240-F1240) )/(1+D1240)^7</f>
        <v>319.83745013123655</v>
      </c>
      <c r="H1240" s="7">
        <f ca="1">(G1240-$C$8)/$C$9</f>
        <v>1.743370930185643</v>
      </c>
    </row>
    <row r="1241" spans="3:8" x14ac:dyDescent="0.35">
      <c r="C1241" s="8">
        <f t="shared" ca="1" si="76"/>
        <v>0.60330646710690139</v>
      </c>
      <c r="D1241" s="7">
        <f t="shared" ca="1" si="77"/>
        <v>9.2409634578650257E-2</v>
      </c>
      <c r="E1241" s="7">
        <f t="shared" ca="1" si="78"/>
        <v>0.39726038647299367</v>
      </c>
      <c r="F1241" s="7">
        <f t="shared" ca="1" si="79"/>
        <v>1.8913589473079785E-2</v>
      </c>
      <c r="G1241" s="7">
        <f ca="1">$C$11/(1+D1241)^1
 +$D$11/(1+D1241)^2
 +$E$11/(1+D1241)^3
 +$F$11/(1+D1241)^4
 +$G$11/(1+D1241)^5
 +$H$11/(1+D1241)^6
 +$I$11/(1+D1241)^7
 + ( $I$11*(1+F1241)/(D1241-F1241) )/(1+D1241)^7</f>
        <v>363.99475772385335</v>
      </c>
      <c r="H1241" s="7">
        <f ca="1">(G1241-$C$8)/$C$9</f>
        <v>1.9930164954989447</v>
      </c>
    </row>
    <row r="1242" spans="3:8" x14ac:dyDescent="0.35">
      <c r="C1242" s="8">
        <f t="shared" ca="1" si="76"/>
        <v>0.31049048991813577</v>
      </c>
      <c r="D1242" s="7">
        <f t="shared" ca="1" si="77"/>
        <v>8.5956259014345171E-2</v>
      </c>
      <c r="E1242" s="7">
        <f t="shared" ca="1" si="78"/>
        <v>0.35393165141931715</v>
      </c>
      <c r="F1242" s="7">
        <f t="shared" ca="1" si="79"/>
        <v>1.841346125467179E-2</v>
      </c>
      <c r="G1242" s="7">
        <f ca="1">$C$11/(1+D1242)^1
 +$D$11/(1+D1242)^2
 +$E$11/(1+D1242)^3
 +$F$11/(1+D1242)^4
 +$G$11/(1+D1242)^5
 +$H$11/(1+D1242)^6
 +$I$11/(1+D1242)^7
 + ( $I$11*(1+F1242)/(D1242-F1242) )/(1+D1242)^7</f>
        <v>398.50876392739167</v>
      </c>
      <c r="H1242" s="7">
        <f ca="1">(G1242-$C$8)/$C$9</f>
        <v>2.1881431701005858</v>
      </c>
    </row>
    <row r="1243" spans="3:8" x14ac:dyDescent="0.35">
      <c r="C1243" s="8">
        <f t="shared" ca="1" si="76"/>
        <v>0.20780185227886216</v>
      </c>
      <c r="D1243" s="7">
        <f t="shared" ca="1" si="77"/>
        <v>8.3053640062015918E-2</v>
      </c>
      <c r="E1243" s="7">
        <f t="shared" ca="1" si="78"/>
        <v>0.66243434606607499</v>
      </c>
      <c r="F1243" s="7">
        <f t="shared" ca="1" si="79"/>
        <v>2.1783362562046139E-2</v>
      </c>
      <c r="G1243" s="7">
        <f ca="1">$C$11/(1+D1243)^1
 +$D$11/(1+D1243)^2
 +$E$11/(1+D1243)^3
 +$F$11/(1+D1243)^4
 +$G$11/(1+D1243)^5
 +$H$11/(1+D1243)^6
 +$I$11/(1+D1243)^7
 + ( $I$11*(1+F1243)/(D1243-F1243) )/(1+D1243)^7</f>
        <v>433.80786268516209</v>
      </c>
      <c r="H1243" s="7">
        <f ca="1">(G1243-$C$8)/$C$9</f>
        <v>2.387708405049537</v>
      </c>
    </row>
    <row r="1244" spans="3:8" x14ac:dyDescent="0.35">
      <c r="C1244" s="8">
        <f t="shared" ca="1" si="76"/>
        <v>0.17530326257289131</v>
      </c>
      <c r="D1244" s="7">
        <f t="shared" ca="1" si="77"/>
        <v>8.1989523564753142E-2</v>
      </c>
      <c r="E1244" s="7">
        <f t="shared" ca="1" si="78"/>
        <v>0.60228517572252016</v>
      </c>
      <c r="F1244" s="7">
        <f t="shared" ca="1" si="79"/>
        <v>2.1081313725918153E-2</v>
      </c>
      <c r="G1244" s="7">
        <f ca="1">$C$11/(1+D1244)^1
 +$D$11/(1+D1244)^2
 +$E$11/(1+D1244)^3
 +$F$11/(1+D1244)^4
 +$G$11/(1+D1244)^5
 +$H$11/(1+D1244)^6
 +$I$11/(1+D1244)^7
 + ( $I$11*(1+F1244)/(D1244-F1244) )/(1+D1244)^7</f>
        <v>437.99525192220364</v>
      </c>
      <c r="H1244" s="7">
        <f ca="1">(G1244-$C$8)/$C$9</f>
        <v>2.4113820212698078</v>
      </c>
    </row>
    <row r="1245" spans="3:8" x14ac:dyDescent="0.35">
      <c r="C1245" s="8">
        <f t="shared" ca="1" si="76"/>
        <v>0.87625107233871868</v>
      </c>
      <c r="D1245" s="7">
        <f t="shared" ca="1" si="77"/>
        <v>0.10017532883116186</v>
      </c>
      <c r="E1245" s="7">
        <f t="shared" ca="1" si="78"/>
        <v>0.3138218268296864</v>
      </c>
      <c r="F1245" s="7">
        <f t="shared" ca="1" si="79"/>
        <v>1.7922396440846498E-2</v>
      </c>
      <c r="G1245" s="7">
        <f ca="1">$C$11/(1+D1245)^1
 +$D$11/(1+D1245)^2
 +$E$11/(1+D1245)^3
 +$F$11/(1+D1245)^4
 +$G$11/(1+D1245)^5
 +$H$11/(1+D1245)^6
 +$I$11/(1+D1245)^7
 + ( $I$11*(1+F1245)/(D1245-F1245) )/(1+D1245)^7</f>
        <v>325.03303112616493</v>
      </c>
      <c r="H1245" s="7">
        <f ca="1">(G1245-$C$8)/$C$9</f>
        <v>1.7727444093519047</v>
      </c>
    </row>
    <row r="1246" spans="3:8" x14ac:dyDescent="0.35">
      <c r="C1246" s="8">
        <f t="shared" ca="1" si="76"/>
        <v>0.67676018046132613</v>
      </c>
      <c r="D1246" s="7">
        <f t="shared" ca="1" si="77"/>
        <v>9.4121490648043635E-2</v>
      </c>
      <c r="E1246" s="7">
        <f t="shared" ca="1" si="78"/>
        <v>0.56480706439932682</v>
      </c>
      <c r="F1246" s="7">
        <f t="shared" ca="1" si="79"/>
        <v>2.0670552689460397E-2</v>
      </c>
      <c r="G1246" s="7">
        <f ca="1">$C$11/(1+D1246)^1
 +$D$11/(1+D1246)^2
 +$E$11/(1+D1246)^3
 +$F$11/(1+D1246)^4
 +$G$11/(1+D1246)^5
 +$H$11/(1+D1246)^6
 +$I$11/(1+D1246)^7
 + ( $I$11*(1+F1246)/(D1246-F1246) )/(1+D1246)^7</f>
        <v>361.18743426540345</v>
      </c>
      <c r="H1246" s="7">
        <f ca="1">(G1246-$C$8)/$C$9</f>
        <v>1.9771451507542031</v>
      </c>
    </row>
    <row r="1247" spans="3:8" x14ac:dyDescent="0.35">
      <c r="C1247" s="8">
        <f t="shared" ca="1" si="76"/>
        <v>0.26806020050821466</v>
      </c>
      <c r="D1247" s="7">
        <f t="shared" ca="1" si="77"/>
        <v>8.4825969257243727E-2</v>
      </c>
      <c r="E1247" s="7">
        <f t="shared" ca="1" si="78"/>
        <v>0.19027453074106604</v>
      </c>
      <c r="F1247" s="7">
        <f t="shared" ca="1" si="79"/>
        <v>1.6168865872120516E-2</v>
      </c>
      <c r="G1247" s="7">
        <f ca="1">$C$11/(1+D1247)^1
 +$D$11/(1+D1247)^2
 +$E$11/(1+D1247)^3
 +$F$11/(1+D1247)^4
 +$G$11/(1+D1247)^5
 +$H$11/(1+D1247)^6
 +$I$11/(1+D1247)^7
 + ( $I$11*(1+F1247)/(D1247-F1247) )/(1+D1247)^7</f>
        <v>396.05343764147244</v>
      </c>
      <c r="H1247" s="7">
        <f ca="1">(G1247-$C$8)/$C$9</f>
        <v>2.1742618591218479</v>
      </c>
    </row>
    <row r="1248" spans="3:8" x14ac:dyDescent="0.35">
      <c r="C1248" s="8">
        <f t="shared" ca="1" si="76"/>
        <v>0.2274167536662437</v>
      </c>
      <c r="D1248" s="7">
        <f t="shared" ca="1" si="77"/>
        <v>8.3655831648285647E-2</v>
      </c>
      <c r="E1248" s="7">
        <f t="shared" ca="1" si="78"/>
        <v>0.69160534646537053</v>
      </c>
      <c r="F1248" s="7">
        <f t="shared" ca="1" si="79"/>
        <v>2.2146406509951901E-2</v>
      </c>
      <c r="G1248" s="7">
        <f ca="1">$C$11/(1+D1248)^1
 +$D$11/(1+D1248)^2
 +$E$11/(1+D1248)^3
 +$F$11/(1+D1248)^4
 +$G$11/(1+D1248)^5
 +$H$11/(1+D1248)^6
 +$I$11/(1+D1248)^7
 + ( $I$11*(1+F1248)/(D1248-F1248) )/(1+D1248)^7</f>
        <v>431.28814410410575</v>
      </c>
      <c r="H1248" s="7">
        <f ca="1">(G1248-$C$8)/$C$9</f>
        <v>2.3734630489829587</v>
      </c>
    </row>
    <row r="1249" spans="3:8" x14ac:dyDescent="0.35">
      <c r="C1249" s="8">
        <f t="shared" ca="1" si="76"/>
        <v>0.11740501405034376</v>
      </c>
      <c r="D1249" s="7">
        <f t="shared" ca="1" si="77"/>
        <v>7.9811835277932563E-2</v>
      </c>
      <c r="E1249" s="7">
        <f t="shared" ca="1" si="78"/>
        <v>0.58983493959481847</v>
      </c>
      <c r="F1249" s="7">
        <f t="shared" ca="1" si="79"/>
        <v>2.0942792258039109E-2</v>
      </c>
      <c r="G1249" s="7">
        <f ca="1">$C$11/(1+D1249)^1
 +$D$11/(1+D1249)^2
 +$E$11/(1+D1249)^3
 +$F$11/(1+D1249)^4
 +$G$11/(1+D1249)^5
 +$H$11/(1+D1249)^6
 +$I$11/(1+D1249)^7
 + ( $I$11*(1+F1249)/(D1249-F1249) )/(1+D1249)^7</f>
        <v>454.04962800314229</v>
      </c>
      <c r="H1249" s="7">
        <f ca="1">(G1249-$C$8)/$C$9</f>
        <v>2.5021462460602799</v>
      </c>
    </row>
    <row r="1250" spans="3:8" x14ac:dyDescent="0.35">
      <c r="C1250" s="8">
        <f t="shared" ca="1" si="76"/>
        <v>0.42101642845576548</v>
      </c>
      <c r="D1250" s="7">
        <f t="shared" ca="1" si="77"/>
        <v>8.8580459395120659E-2</v>
      </c>
      <c r="E1250" s="7">
        <f t="shared" ca="1" si="78"/>
        <v>0.98401220238273679</v>
      </c>
      <c r="F1250" s="7">
        <f t="shared" ca="1" si="79"/>
        <v>2.8211827882039135E-2</v>
      </c>
      <c r="G1250" s="7">
        <f ca="1">$C$11/(1+D1250)^1
 +$D$11/(1+D1250)^2
 +$E$11/(1+D1250)^3
 +$F$11/(1+D1250)^4
 +$G$11/(1+D1250)^5
 +$H$11/(1+D1250)^6
 +$I$11/(1+D1250)^7
 + ( $I$11*(1+F1250)/(D1250-F1250) )/(1+D1250)^7</f>
        <v>426.82804884719116</v>
      </c>
      <c r="H1250" s="7">
        <f ca="1">(G1250-$C$8)/$C$9</f>
        <v>2.3482476755268609</v>
      </c>
    </row>
    <row r="1251" spans="3:8" x14ac:dyDescent="0.35">
      <c r="C1251" s="8">
        <f t="shared" ca="1" si="76"/>
        <v>0.35165344666420628</v>
      </c>
      <c r="D1251" s="7">
        <f t="shared" ca="1" si="77"/>
        <v>8.6981043144184311E-2</v>
      </c>
      <c r="E1251" s="7">
        <f t="shared" ca="1" si="78"/>
        <v>0.6287220499822338</v>
      </c>
      <c r="F1251" s="7">
        <f t="shared" ca="1" si="79"/>
        <v>2.1382831671392669E-2</v>
      </c>
      <c r="G1251" s="7">
        <f ca="1">$C$11/(1+D1251)^1
 +$D$11/(1+D1251)^2
 +$E$11/(1+D1251)^3
 +$F$11/(1+D1251)^4
 +$G$11/(1+D1251)^5
 +$H$11/(1+D1251)^6
 +$I$11/(1+D1251)^7
 + ( $I$11*(1+F1251)/(D1251-F1251) )/(1+D1251)^7</f>
        <v>404.92594470639699</v>
      </c>
      <c r="H1251" s="7">
        <f ca="1">(G1251-$C$8)/$C$9</f>
        <v>2.2244230252510007</v>
      </c>
    </row>
    <row r="1252" spans="3:8" x14ac:dyDescent="0.35">
      <c r="C1252" s="8">
        <f t="shared" ca="1" si="76"/>
        <v>2.4410902776781818E-2</v>
      </c>
      <c r="D1252" s="7">
        <f t="shared" ca="1" si="77"/>
        <v>7.447402953465454E-2</v>
      </c>
      <c r="E1252" s="7">
        <f t="shared" ca="1" si="78"/>
        <v>0.83520405325966807</v>
      </c>
      <c r="F1252" s="7">
        <f t="shared" ca="1" si="79"/>
        <v>2.425899056366684E-2</v>
      </c>
      <c r="G1252" s="7">
        <f ca="1">$C$11/(1+D1252)^1
 +$D$11/(1+D1252)^2
 +$E$11/(1+D1252)^3
 +$F$11/(1+D1252)^4
 +$G$11/(1+D1252)^5
 +$H$11/(1+D1252)^6
 +$I$11/(1+D1252)^7
 + ( $I$11*(1+F1252)/(D1252-F1252) )/(1+D1252)^7</f>
        <v>526.29714887190835</v>
      </c>
      <c r="H1252" s="7">
        <f ca="1">(G1252-$C$8)/$C$9</f>
        <v>2.9106012487104724</v>
      </c>
    </row>
    <row r="1253" spans="3:8" x14ac:dyDescent="0.35">
      <c r="C1253" s="8">
        <f t="shared" ca="1" si="76"/>
        <v>0.57714614159558419</v>
      </c>
      <c r="D1253" s="7">
        <f t="shared" ca="1" si="77"/>
        <v>9.1838887436188163E-2</v>
      </c>
      <c r="E1253" s="7">
        <f t="shared" ca="1" si="78"/>
        <v>0.26553834694420131</v>
      </c>
      <c r="F1253" s="7">
        <f t="shared" ca="1" si="79"/>
        <v>1.7287500901464112E-2</v>
      </c>
      <c r="G1253" s="7">
        <f ca="1">$C$11/(1+D1253)^1
 +$D$11/(1+D1253)^2
 +$E$11/(1+D1253)^3
 +$F$11/(1+D1253)^4
 +$G$11/(1+D1253)^5
 +$H$11/(1+D1253)^6
 +$I$11/(1+D1253)^7
 + ( $I$11*(1+F1253)/(D1253-F1253) )/(1+D1253)^7</f>
        <v>361.40194100469523</v>
      </c>
      <c r="H1253" s="7">
        <f ca="1">(G1253-$C$8)/$C$9</f>
        <v>1.9783578754222932</v>
      </c>
    </row>
    <row r="1254" spans="3:8" x14ac:dyDescent="0.35">
      <c r="C1254" s="8">
        <f t="shared" ca="1" si="76"/>
        <v>0.93309006500645153</v>
      </c>
      <c r="D1254" s="7">
        <f t="shared" ca="1" si="77"/>
        <v>0.10277575268315323</v>
      </c>
      <c r="E1254" s="7">
        <f t="shared" ca="1" si="78"/>
        <v>0.14450872908993484</v>
      </c>
      <c r="F1254" s="7">
        <f t="shared" ca="1" si="79"/>
        <v>1.5376034395164056E-2</v>
      </c>
      <c r="G1254" s="7">
        <f ca="1">$C$11/(1+D1254)^1
 +$D$11/(1+D1254)^2
 +$E$11/(1+D1254)^3
 +$F$11/(1+D1254)^4
 +$G$11/(1+D1254)^5
 +$H$11/(1+D1254)^6
 +$I$11/(1+D1254)^7
 + ( $I$11*(1+F1254)/(D1254-F1254) )/(1+D1254)^7</f>
        <v>308.55697538595859</v>
      </c>
      <c r="H1254" s="7">
        <f ca="1">(G1254-$C$8)/$C$9</f>
        <v>1.679596197342597</v>
      </c>
    </row>
    <row r="1255" spans="3:8" x14ac:dyDescent="0.35">
      <c r="C1255" s="8">
        <f t="shared" ca="1" si="76"/>
        <v>0.11395167728929922</v>
      </c>
      <c r="D1255" s="7">
        <f t="shared" ca="1" si="77"/>
        <v>7.9666456195381291E-2</v>
      </c>
      <c r="E1255" s="7">
        <f t="shared" ca="1" si="78"/>
        <v>0.140276972948295</v>
      </c>
      <c r="F1255" s="7">
        <f t="shared" ca="1" si="79"/>
        <v>1.5296734332554258E-2</v>
      </c>
      <c r="G1255" s="7">
        <f ca="1">$C$11/(1+D1255)^1
 +$D$11/(1+D1255)^2
 +$E$11/(1+D1255)^3
 +$F$11/(1+D1255)^4
 +$G$11/(1+D1255)^5
 +$H$11/(1+D1255)^6
 +$I$11/(1+D1255)^7
 + ( $I$11*(1+F1255)/(D1255-F1255) )/(1+D1255)^7</f>
        <v>425.46312045665502</v>
      </c>
      <c r="H1255" s="7">
        <f ca="1">(G1255-$C$8)/$C$9</f>
        <v>2.3405309840380766</v>
      </c>
    </row>
    <row r="1256" spans="3:8" x14ac:dyDescent="0.35">
      <c r="C1256" s="8">
        <f t="shared" ca="1" si="76"/>
        <v>0.44599753995985003</v>
      </c>
      <c r="D1256" s="7">
        <f t="shared" ca="1" si="77"/>
        <v>8.9123754410864953E-2</v>
      </c>
      <c r="E1256" s="7">
        <f t="shared" ca="1" si="78"/>
        <v>1.4427824794438604E-2</v>
      </c>
      <c r="F1256" s="7">
        <f t="shared" ca="1" si="79"/>
        <v>1.1698695075311552E-2</v>
      </c>
      <c r="G1256" s="7">
        <f ca="1">$C$11/(1+D1256)^1
 +$D$11/(1+D1256)^2
 +$E$11/(1+D1256)^3
 +$F$11/(1+D1256)^4
 +$G$11/(1+D1256)^5
 +$H$11/(1+D1256)^6
 +$I$11/(1+D1256)^7
 + ( $I$11*(1+F1256)/(D1256-F1256) )/(1+D1256)^7</f>
        <v>356.71371552577125</v>
      </c>
      <c r="H1256" s="7">
        <f ca="1">(G1256-$C$8)/$C$9</f>
        <v>1.9518527562515333</v>
      </c>
    </row>
    <row r="1257" spans="3:8" x14ac:dyDescent="0.35">
      <c r="C1257" s="8">
        <f t="shared" ca="1" si="76"/>
        <v>0.59823833508204582</v>
      </c>
      <c r="D1257" s="7">
        <f t="shared" ca="1" si="77"/>
        <v>9.2297624491724156E-2</v>
      </c>
      <c r="E1257" s="7">
        <f t="shared" ca="1" si="78"/>
        <v>0.24969537285210763</v>
      </c>
      <c r="F1257" s="7">
        <f t="shared" ca="1" si="79"/>
        <v>1.7066758420267496E-2</v>
      </c>
      <c r="G1257" s="7">
        <f ca="1">$C$11/(1+D1257)^1
 +$D$11/(1+D1257)^2
 +$E$11/(1+D1257)^3
 +$F$11/(1+D1257)^4
 +$G$11/(1+D1257)^5
 +$H$11/(1+D1257)^6
 +$I$11/(1+D1257)^7
 + ( $I$11*(1+F1257)/(D1257-F1257) )/(1+D1257)^7</f>
        <v>358.36119632731123</v>
      </c>
      <c r="H1257" s="7">
        <f ca="1">(G1257-$C$8)/$C$9</f>
        <v>1.9611668720449527</v>
      </c>
    </row>
    <row r="1258" spans="3:8" x14ac:dyDescent="0.35">
      <c r="C1258" s="8">
        <f t="shared" ca="1" si="76"/>
        <v>0.2880003635381051</v>
      </c>
      <c r="D1258" s="7">
        <f t="shared" ca="1" si="77"/>
        <v>8.5367507868917669E-2</v>
      </c>
      <c r="E1258" s="7">
        <f t="shared" ca="1" si="78"/>
        <v>0.30919075985769306</v>
      </c>
      <c r="F1258" s="7">
        <f t="shared" ca="1" si="79"/>
        <v>1.7863723798019523E-2</v>
      </c>
      <c r="G1258" s="7">
        <f ca="1">$C$11/(1+D1258)^1
 +$D$11/(1+D1258)^2
 +$E$11/(1+D1258)^3
 +$F$11/(1+D1258)^4
 +$G$11/(1+D1258)^5
 +$H$11/(1+D1258)^6
 +$I$11/(1+D1258)^7
 + ( $I$11*(1+F1258)/(D1258-F1258) )/(1+D1258)^7</f>
        <v>399.81586998507242</v>
      </c>
      <c r="H1258" s="7">
        <f ca="1">(G1258-$C$8)/$C$9</f>
        <v>2.195532960114611</v>
      </c>
    </row>
    <row r="1259" spans="3:8" x14ac:dyDescent="0.35">
      <c r="C1259" s="8">
        <f t="shared" ca="1" si="76"/>
        <v>1.9725674547583449E-2</v>
      </c>
      <c r="D1259" s="7">
        <f t="shared" ca="1" si="77"/>
        <v>7.4021822115536498E-2</v>
      </c>
      <c r="E1259" s="7">
        <f t="shared" ca="1" si="78"/>
        <v>0.43689772247083447</v>
      </c>
      <c r="F1259" s="7">
        <f t="shared" ca="1" si="79"/>
        <v>1.9347702631885916E-2</v>
      </c>
      <c r="G1259" s="7">
        <f ca="1">$C$11/(1+D1259)^1
 +$D$11/(1+D1259)^2
 +$E$11/(1+D1259)^3
 +$F$11/(1+D1259)^4
 +$G$11/(1+D1259)^5
 +$H$11/(1+D1259)^6
 +$I$11/(1+D1259)^7
 + ( $I$11*(1+F1259)/(D1259-F1259) )/(1+D1259)^7</f>
        <v>494.1184729553438</v>
      </c>
      <c r="H1259" s="7">
        <f ca="1">(G1259-$C$8)/$C$9</f>
        <v>2.7286774816561725</v>
      </c>
    </row>
    <row r="1260" spans="3:8" x14ac:dyDescent="0.35">
      <c r="C1260" s="8">
        <f t="shared" ca="1" si="76"/>
        <v>9.0615391735399675E-2</v>
      </c>
      <c r="D1260" s="7">
        <f t="shared" ca="1" si="77"/>
        <v>7.8620012831952621E-2</v>
      </c>
      <c r="E1260" s="7">
        <f t="shared" ca="1" si="78"/>
        <v>4.5994553860405074E-2</v>
      </c>
      <c r="F1260" s="7">
        <f t="shared" ca="1" si="79"/>
        <v>1.3032970618400551E-2</v>
      </c>
      <c r="G1260" s="7">
        <f ca="1">$C$11/(1+D1260)^1
 +$D$11/(1+D1260)^2
 +$E$11/(1+D1260)^3
 +$F$11/(1+D1260)^4
 +$G$11/(1+D1260)^5
 +$H$11/(1+D1260)^6
 +$I$11/(1+D1260)^7
 + ( $I$11*(1+F1260)/(D1260-F1260) )/(1+D1260)^7</f>
        <v>421.88417039909729</v>
      </c>
      <c r="H1260" s="7">
        <f ca="1">(G1260-$C$8)/$C$9</f>
        <v>2.3202972094024044</v>
      </c>
    </row>
    <row r="1261" spans="3:8" x14ac:dyDescent="0.35">
      <c r="C1261" s="8">
        <f t="shared" ca="1" si="76"/>
        <v>0.40782173246848985</v>
      </c>
      <c r="D1261" s="7">
        <f t="shared" ca="1" si="77"/>
        <v>8.8286985006396257E-2</v>
      </c>
      <c r="E1261" s="7">
        <f t="shared" ca="1" si="78"/>
        <v>0.60468103309658994</v>
      </c>
      <c r="F1261" s="7">
        <f t="shared" ca="1" si="79"/>
        <v>2.1108217648824167E-2</v>
      </c>
      <c r="G1261" s="7">
        <f ca="1">$C$11/(1+D1261)^1
 +$D$11/(1+D1261)^2
 +$E$11/(1+D1261)^3
 +$F$11/(1+D1261)^4
 +$G$11/(1+D1261)^5
 +$H$11/(1+D1261)^6
 +$I$11/(1+D1261)^7
 + ( $I$11*(1+F1261)/(D1261-F1261) )/(1+D1261)^7</f>
        <v>395.55192743209875</v>
      </c>
      <c r="H1261" s="7">
        <f ca="1">(G1261-$C$8)/$C$9</f>
        <v>2.1714265458621593</v>
      </c>
    </row>
    <row r="1262" spans="3:8" x14ac:dyDescent="0.35">
      <c r="C1262" s="8">
        <f t="shared" ca="1" si="76"/>
        <v>0.37830592498707538</v>
      </c>
      <c r="D1262" s="7">
        <f t="shared" ca="1" si="77"/>
        <v>8.7612803822486693E-2</v>
      </c>
      <c r="E1262" s="7">
        <f t="shared" ca="1" si="78"/>
        <v>0.30839135821398533</v>
      </c>
      <c r="F1262" s="7">
        <f t="shared" ca="1" si="79"/>
        <v>1.7853551530536811E-2</v>
      </c>
      <c r="G1262" s="7">
        <f ca="1">$C$11/(1+D1262)^1
 +$D$11/(1+D1262)^2
 +$E$11/(1+D1262)^3
 +$F$11/(1+D1262)^4
 +$G$11/(1+D1262)^5
 +$H$11/(1+D1262)^6
 +$I$11/(1+D1262)^7
 + ( $I$11*(1+F1262)/(D1262-F1262) )/(1+D1262)^7</f>
        <v>386.35107913740978</v>
      </c>
      <c r="H1262" s="7">
        <f ca="1">(G1262-$C$8)/$C$9</f>
        <v>2.1194090860323933</v>
      </c>
    </row>
    <row r="1263" spans="3:8" x14ac:dyDescent="0.35">
      <c r="C1263" s="8">
        <f t="shared" ca="1" si="76"/>
        <v>0.99478855506890485</v>
      </c>
      <c r="D1263" s="7">
        <f t="shared" ca="1" si="77"/>
        <v>0.10798383357674665</v>
      </c>
      <c r="E1263" s="7">
        <f t="shared" ca="1" si="78"/>
        <v>0.8571368265221927</v>
      </c>
      <c r="F1263" s="7">
        <f t="shared" ca="1" si="79"/>
        <v>2.465466234036039E-2</v>
      </c>
      <c r="G1263" s="7">
        <f ca="1">$C$11/(1+D1263)^1
 +$D$11/(1+D1263)^2
 +$E$11/(1+D1263)^3
 +$F$11/(1+D1263)^4
 +$G$11/(1+D1263)^5
 +$H$11/(1+D1263)^6
 +$I$11/(1+D1263)^7
 + ( $I$11*(1+F1263)/(D1263-F1263) )/(1+D1263)^7</f>
        <v>310.774041213663</v>
      </c>
      <c r="H1263" s="7">
        <f ca="1">(G1263-$C$8)/$C$9</f>
        <v>1.6921304908054215</v>
      </c>
    </row>
    <row r="1264" spans="3:8" x14ac:dyDescent="0.35">
      <c r="C1264" s="8">
        <f t="shared" ca="1" si="76"/>
        <v>0.66971336983553975</v>
      </c>
      <c r="D1264" s="7">
        <f t="shared" ca="1" si="77"/>
        <v>9.3949343579520533E-2</v>
      </c>
      <c r="E1264" s="7">
        <f t="shared" ca="1" si="78"/>
        <v>0.79983036869479485</v>
      </c>
      <c r="F1264" s="7">
        <f t="shared" ca="1" si="79"/>
        <v>2.3672763141699131E-2</v>
      </c>
      <c r="G1264" s="7">
        <f ca="1">$C$11/(1+D1264)^1
 +$D$11/(1+D1264)^2
 +$E$11/(1+D1264)^3
 +$F$11/(1+D1264)^4
 +$G$11/(1+D1264)^5
 +$H$11/(1+D1264)^6
 +$I$11/(1+D1264)^7
 + ( $I$11*(1+F1264)/(D1264-F1264) )/(1+D1264)^7</f>
        <v>372.80440618166097</v>
      </c>
      <c r="H1264" s="7">
        <f ca="1">(G1264-$C$8)/$C$9</f>
        <v>2.042822287322823</v>
      </c>
    </row>
    <row r="1265" spans="3:8" x14ac:dyDescent="0.35">
      <c r="C1265" s="8">
        <f t="shared" ca="1" si="76"/>
        <v>0.39795523009860023</v>
      </c>
      <c r="D1265" s="7">
        <f t="shared" ca="1" si="77"/>
        <v>8.8064420518822406E-2</v>
      </c>
      <c r="E1265" s="7">
        <f t="shared" ca="1" si="78"/>
        <v>0.75942410557847273</v>
      </c>
      <c r="F1265" s="7">
        <f t="shared" ca="1" si="79"/>
        <v>2.3063489430246251E-2</v>
      </c>
      <c r="G1265" s="7">
        <f ca="1">$C$11/(1+D1265)^1
 +$D$11/(1+D1265)^2
 +$E$11/(1+D1265)^3
 +$F$11/(1+D1265)^4
 +$G$11/(1+D1265)^5
 +$H$11/(1+D1265)^6
 +$I$11/(1+D1265)^7
 + ( $I$11*(1+F1265)/(D1265-F1265) )/(1+D1265)^7</f>
        <v>405.46186546850254</v>
      </c>
      <c r="H1265" s="7">
        <f ca="1">(G1265-$C$8)/$C$9</f>
        <v>2.2274528803058713</v>
      </c>
    </row>
    <row r="1266" spans="3:8" x14ac:dyDescent="0.35">
      <c r="C1266" s="8">
        <f t="shared" ca="1" si="76"/>
        <v>0.76656932693433488</v>
      </c>
      <c r="D1266" s="7">
        <f t="shared" ca="1" si="77"/>
        <v>9.6506448762789729E-2</v>
      </c>
      <c r="E1266" s="7">
        <f t="shared" ca="1" si="78"/>
        <v>0.58095082648438068</v>
      </c>
      <c r="F1266" s="7">
        <f t="shared" ca="1" si="79"/>
        <v>2.0845228855775593E-2</v>
      </c>
      <c r="G1266" s="7">
        <f ca="1">$C$11/(1+D1266)^1
 +$D$11/(1+D1266)^2
 +$E$11/(1+D1266)^3
 +$F$11/(1+D1266)^4
 +$G$11/(1+D1266)^5
 +$H$11/(1+D1266)^6
 +$I$11/(1+D1266)^7
 + ( $I$11*(1+F1266)/(D1266-F1266) )/(1+D1266)^7</f>
        <v>349.89167854020775</v>
      </c>
      <c r="H1266" s="7">
        <f ca="1">(G1266-$C$8)/$C$9</f>
        <v>1.9132840261205775</v>
      </c>
    </row>
    <row r="1267" spans="3:8" x14ac:dyDescent="0.35">
      <c r="C1267" s="8">
        <f t="shared" ca="1" si="76"/>
        <v>0.30808634117774125</v>
      </c>
      <c r="D1267" s="7">
        <f t="shared" ca="1" si="77"/>
        <v>8.5894363773544008E-2</v>
      </c>
      <c r="E1267" s="7">
        <f t="shared" ca="1" si="78"/>
        <v>0.14292950838443286</v>
      </c>
      <c r="F1267" s="7">
        <f t="shared" ca="1" si="79"/>
        <v>1.5346578501891334E-2</v>
      </c>
      <c r="G1267" s="7">
        <f ca="1">$C$11/(1+D1267)^1
 +$D$11/(1+D1267)^2
 +$E$11/(1+D1267)^3
 +$F$11/(1+D1267)^4
 +$G$11/(1+D1267)^5
 +$H$11/(1+D1267)^6
 +$I$11/(1+D1267)^7
 + ( $I$11*(1+F1267)/(D1267-F1267) )/(1+D1267)^7</f>
        <v>386.49322313541074</v>
      </c>
      <c r="H1267" s="7">
        <f ca="1">(G1267-$C$8)/$C$9</f>
        <v>2.1202127042933667</v>
      </c>
    </row>
    <row r="1268" spans="3:8" x14ac:dyDescent="0.35">
      <c r="C1268" s="8">
        <f t="shared" ca="1" si="76"/>
        <v>0.27717255731293955</v>
      </c>
      <c r="D1268" s="7">
        <f t="shared" ca="1" si="77"/>
        <v>8.5075858084918771E-2</v>
      </c>
      <c r="E1268" s="7">
        <f t="shared" ca="1" si="78"/>
        <v>0.13667771057298084</v>
      </c>
      <c r="F1268" s="7">
        <f t="shared" ca="1" si="79"/>
        <v>1.5228340282976632E-2</v>
      </c>
      <c r="G1268" s="7">
        <f ca="1">$C$11/(1+D1268)^1
 +$D$11/(1+D1268)^2
 +$E$11/(1+D1268)^3
 +$F$11/(1+D1268)^4
 +$G$11/(1+D1268)^5
 +$H$11/(1+D1268)^6
 +$I$11/(1+D1268)^7
 + ( $I$11*(1+F1268)/(D1268-F1268) )/(1+D1268)^7</f>
        <v>390.77459503838327</v>
      </c>
      <c r="H1268" s="7">
        <f ca="1">(G1268-$C$8)/$C$9</f>
        <v>2.1444176562549937</v>
      </c>
    </row>
    <row r="1269" spans="3:8" x14ac:dyDescent="0.35">
      <c r="C1269" s="8">
        <f t="shared" ca="1" si="76"/>
        <v>0.52116356447370493</v>
      </c>
      <c r="D1269" s="7">
        <f t="shared" ca="1" si="77"/>
        <v>9.0674048025763121E-2</v>
      </c>
      <c r="E1269" s="7">
        <f t="shared" ca="1" si="78"/>
        <v>0.39992327394758576</v>
      </c>
      <c r="F1269" s="7">
        <f t="shared" ca="1" si="79"/>
        <v>1.8943414045515118E-2</v>
      </c>
      <c r="G1269" s="7">
        <f ca="1">$C$11/(1+D1269)^1
 +$D$11/(1+D1269)^2
 +$E$11/(1+D1269)^3
 +$F$11/(1+D1269)^4
 +$G$11/(1+D1269)^5
 +$H$11/(1+D1269)^6
 +$I$11/(1+D1269)^7
 + ( $I$11*(1+F1269)/(D1269-F1269) )/(1+D1269)^7</f>
        <v>373.30482729359176</v>
      </c>
      <c r="H1269" s="7">
        <f ca="1">(G1269-$C$8)/$C$9</f>
        <v>2.0456514433151951</v>
      </c>
    </row>
    <row r="1270" spans="3:8" x14ac:dyDescent="0.35">
      <c r="C1270" s="8">
        <f t="shared" ca="1" si="76"/>
        <v>0.19367974634815877</v>
      </c>
      <c r="D1270" s="7">
        <f t="shared" ca="1" si="77"/>
        <v>8.2602277254746073E-2</v>
      </c>
      <c r="E1270" s="7">
        <f t="shared" ca="1" si="78"/>
        <v>0.34330789935760619</v>
      </c>
      <c r="F1270" s="7">
        <f t="shared" ca="1" si="79"/>
        <v>1.8286228326055302E-2</v>
      </c>
      <c r="G1270" s="7">
        <f ca="1">$C$11/(1+D1270)^1
 +$D$11/(1+D1270)^2
 +$E$11/(1+D1270)^3
 +$F$11/(1+D1270)^4
 +$G$11/(1+D1270)^5
 +$H$11/(1+D1270)^6
 +$I$11/(1+D1270)^7
 + ( $I$11*(1+F1270)/(D1270-F1270) )/(1+D1270)^7</f>
        <v>419.62641303164548</v>
      </c>
      <c r="H1270" s="7">
        <f ca="1">(G1270-$C$8)/$C$9</f>
        <v>2.3075328642675568</v>
      </c>
    </row>
    <row r="1271" spans="3:8" x14ac:dyDescent="0.35">
      <c r="C1271" s="8">
        <f t="shared" ca="1" si="76"/>
        <v>0.49940088790016302</v>
      </c>
      <c r="D1271" s="7">
        <f t="shared" ca="1" si="77"/>
        <v>9.023632199976403E-2</v>
      </c>
      <c r="E1271" s="7">
        <f t="shared" ca="1" si="78"/>
        <v>0.1677386393165925</v>
      </c>
      <c r="F1271" s="7">
        <f t="shared" ca="1" si="79"/>
        <v>1.5792040043311036E-2</v>
      </c>
      <c r="G1271" s="7">
        <f ca="1">$C$11/(1+D1271)^1
 +$D$11/(1+D1271)^2
 +$E$11/(1+D1271)^3
 +$F$11/(1+D1271)^4
 +$G$11/(1+D1271)^5
 +$H$11/(1+D1271)^6
 +$I$11/(1+D1271)^7
 + ( $I$11*(1+F1271)/(D1271-F1271) )/(1+D1271)^7</f>
        <v>364.54259897287636</v>
      </c>
      <c r="H1271" s="7">
        <f ca="1">(G1271-$C$8)/$C$9</f>
        <v>1.9961137436277496</v>
      </c>
    </row>
    <row r="1272" spans="3:8" x14ac:dyDescent="0.35">
      <c r="C1272" s="8">
        <f t="shared" ca="1" si="76"/>
        <v>0.22107106129758913</v>
      </c>
      <c r="D1272" s="7">
        <f t="shared" ca="1" si="77"/>
        <v>8.3463961908146617E-2</v>
      </c>
      <c r="E1272" s="7">
        <f t="shared" ca="1" si="78"/>
        <v>0.45112714238885909</v>
      </c>
      <c r="F1272" s="7">
        <f t="shared" ca="1" si="79"/>
        <v>1.9498706673951555E-2</v>
      </c>
      <c r="G1272" s="7">
        <f ca="1">$C$11/(1+D1272)^1
 +$D$11/(1+D1272)^2
 +$E$11/(1+D1272)^3
 +$F$11/(1+D1272)^4
 +$G$11/(1+D1272)^5
 +$H$11/(1+D1272)^6
 +$I$11/(1+D1272)^7
 + ( $I$11*(1+F1272)/(D1272-F1272) )/(1+D1272)^7</f>
        <v>419.52146167548915</v>
      </c>
      <c r="H1272" s="7">
        <f ca="1">(G1272-$C$8)/$C$9</f>
        <v>2.3069395164828648</v>
      </c>
    </row>
    <row r="1273" spans="3:8" x14ac:dyDescent="0.35">
      <c r="C1273" s="8">
        <f t="shared" ca="1" si="76"/>
        <v>0.3798919797572482</v>
      </c>
      <c r="D1273" s="7">
        <f t="shared" ca="1" si="77"/>
        <v>8.7649686212534869E-2</v>
      </c>
      <c r="E1273" s="7">
        <f t="shared" ca="1" si="78"/>
        <v>0.70358708350000831</v>
      </c>
      <c r="F1273" s="7">
        <f t="shared" ca="1" si="79"/>
        <v>2.2300481618958343E-2</v>
      </c>
      <c r="G1273" s="7">
        <f ca="1">$C$11/(1+D1273)^1
 +$D$11/(1+D1273)^2
 +$E$11/(1+D1273)^3
 +$F$11/(1+D1273)^4
 +$G$11/(1+D1273)^5
 +$H$11/(1+D1273)^6
 +$I$11/(1+D1273)^7
 + ( $I$11*(1+F1273)/(D1273-F1273) )/(1+D1273)^7</f>
        <v>404.71820849109292</v>
      </c>
      <c r="H1273" s="7">
        <f ca="1">(G1273-$C$8)/$C$9</f>
        <v>2.2232485780817104</v>
      </c>
    </row>
    <row r="1274" spans="3:8" x14ac:dyDescent="0.35">
      <c r="C1274" s="8">
        <f t="shared" ca="1" si="76"/>
        <v>0.65833258416531515</v>
      </c>
      <c r="D1274" s="7">
        <f t="shared" ca="1" si="77"/>
        <v>9.3675154385077508E-2</v>
      </c>
      <c r="E1274" s="7">
        <f t="shared" ca="1" si="78"/>
        <v>0.55709489398322265</v>
      </c>
      <c r="F1274" s="7">
        <f t="shared" ca="1" si="79"/>
        <v>2.0588250895643496E-2</v>
      </c>
      <c r="G1274" s="7">
        <f ca="1">$C$11/(1+D1274)^1
 +$D$11/(1+D1274)^2
 +$E$11/(1+D1274)^3
 +$F$11/(1+D1274)^4
 +$G$11/(1+D1274)^5
 +$H$11/(1+D1274)^6
 +$I$11/(1+D1274)^7
 + ( $I$11*(1+F1274)/(D1274-F1274) )/(1+D1274)^7</f>
        <v>363.2070546145502</v>
      </c>
      <c r="H1274" s="7">
        <f ca="1">(G1274-$C$8)/$C$9</f>
        <v>1.9885631762468916</v>
      </c>
    </row>
    <row r="1275" spans="3:8" x14ac:dyDescent="0.35">
      <c r="C1275" s="8">
        <f t="shared" ca="1" si="76"/>
        <v>0.56854325638887648</v>
      </c>
      <c r="D1275" s="7">
        <f t="shared" ca="1" si="77"/>
        <v>9.1655075360834087E-2</v>
      </c>
      <c r="E1275" s="7">
        <f t="shared" ca="1" si="78"/>
        <v>0.60144869402420609</v>
      </c>
      <c r="F1275" s="7">
        <f t="shared" ca="1" si="79"/>
        <v>2.107193967341401E-2</v>
      </c>
      <c r="G1275" s="7">
        <f ca="1">$C$11/(1+D1275)^1
 +$D$11/(1+D1275)^2
 +$E$11/(1+D1275)^3
 +$F$11/(1+D1275)^4
 +$G$11/(1+D1275)^5
 +$H$11/(1+D1275)^6
 +$I$11/(1+D1275)^7
 + ( $I$11*(1+F1275)/(D1275-F1275) )/(1+D1275)^7</f>
        <v>375.77739010681307</v>
      </c>
      <c r="H1275" s="7">
        <f ca="1">(G1275-$C$8)/$C$9</f>
        <v>2.0596302018702684</v>
      </c>
    </row>
    <row r="1276" spans="3:8" x14ac:dyDescent="0.35">
      <c r="C1276" s="8">
        <f t="shared" ca="1" si="76"/>
        <v>0.37897191338615022</v>
      </c>
      <c r="D1276" s="7">
        <f t="shared" ca="1" si="77"/>
        <v>8.762830022936538E-2</v>
      </c>
      <c r="E1276" s="7">
        <f t="shared" ca="1" si="78"/>
        <v>0.14608011762892403</v>
      </c>
      <c r="F1276" s="7">
        <f t="shared" ca="1" si="79"/>
        <v>1.5405184874339155E-2</v>
      </c>
      <c r="G1276" s="7">
        <f ca="1">$C$11/(1+D1276)^1
 +$D$11/(1+D1276)^2
 +$E$11/(1+D1276)^3
 +$F$11/(1+D1276)^4
 +$G$11/(1+D1276)^5
 +$H$11/(1+D1276)^6
 +$I$11/(1+D1276)^7
 + ( $I$11*(1+F1276)/(D1276-F1276) )/(1+D1276)^7</f>
        <v>377.00131127056545</v>
      </c>
      <c r="H1276" s="7">
        <f ca="1">(G1276-$C$8)/$C$9</f>
        <v>2.0665497018914825</v>
      </c>
    </row>
    <row r="1277" spans="3:8" x14ac:dyDescent="0.35">
      <c r="C1277" s="8">
        <f t="shared" ca="1" si="76"/>
        <v>0.93750070175799871</v>
      </c>
      <c r="D1277" s="7">
        <f t="shared" ca="1" si="77"/>
        <v>0.10301791917629415</v>
      </c>
      <c r="E1277" s="7">
        <f t="shared" ca="1" si="78"/>
        <v>0.10699505838526724</v>
      </c>
      <c r="F1277" s="7">
        <f t="shared" ca="1" si="79"/>
        <v>1.462590657893709E-2</v>
      </c>
      <c r="G1277" s="7">
        <f ca="1">$C$11/(1+D1277)^1
 +$D$11/(1+D1277)^2
 +$E$11/(1+D1277)^3
 +$F$11/(1+D1277)^4
 +$G$11/(1+D1277)^5
 +$H$11/(1+D1277)^6
 +$I$11/(1+D1277)^7
 + ( $I$11*(1+F1277)/(D1277-F1277) )/(1+D1277)^7</f>
        <v>305.9616199216689</v>
      </c>
      <c r="H1277" s="7">
        <f ca="1">(G1277-$C$8)/$C$9</f>
        <v>1.6649232243423162</v>
      </c>
    </row>
    <row r="1278" spans="3:8" x14ac:dyDescent="0.35">
      <c r="C1278" s="8">
        <f t="shared" ca="1" si="76"/>
        <v>0.42996707601617112</v>
      </c>
      <c r="D1278" s="7">
        <f t="shared" ca="1" si="77"/>
        <v>8.8776927393300009E-2</v>
      </c>
      <c r="E1278" s="7">
        <f t="shared" ca="1" si="78"/>
        <v>7.176207204701246E-2</v>
      </c>
      <c r="F1278" s="7">
        <f t="shared" ca="1" si="79"/>
        <v>1.3788458051688376E-2</v>
      </c>
      <c r="G1278" s="7">
        <f ca="1">$C$11/(1+D1278)^1
 +$D$11/(1+D1278)^2
 +$E$11/(1+D1278)^3
 +$F$11/(1+D1278)^4
 +$G$11/(1+D1278)^5
 +$H$11/(1+D1278)^6
 +$I$11/(1+D1278)^7
 + ( $I$11*(1+F1278)/(D1278-F1278) )/(1+D1278)^7</f>
        <v>365.25291638820647</v>
      </c>
      <c r="H1278" s="7">
        <f ca="1">(G1278-$C$8)/$C$9</f>
        <v>2.0001295589563912</v>
      </c>
    </row>
    <row r="1279" spans="3:8" x14ac:dyDescent="0.35">
      <c r="C1279" s="8">
        <f t="shared" ca="1" si="76"/>
        <v>0.26776950830331037</v>
      </c>
      <c r="D1279" s="7">
        <f t="shared" ca="1" si="77"/>
        <v>8.481792822255238E-2</v>
      </c>
      <c r="E1279" s="7">
        <f t="shared" ca="1" si="78"/>
        <v>0.84256844419101995</v>
      </c>
      <c r="F1279" s="7">
        <f t="shared" ca="1" si="79"/>
        <v>2.4388733550989045E-2</v>
      </c>
      <c r="G1279" s="7">
        <f ca="1">$C$11/(1+D1279)^1
 +$D$11/(1+D1279)^2
 +$E$11/(1+D1279)^3
 +$F$11/(1+D1279)^4
 +$G$11/(1+D1279)^5
 +$H$11/(1+D1279)^6
 +$I$11/(1+D1279)^7
 + ( $I$11*(1+F1279)/(D1279-F1279) )/(1+D1279)^7</f>
        <v>434.45867052275548</v>
      </c>
      <c r="H1279" s="7">
        <f ca="1">(G1279-$C$8)/$C$9</f>
        <v>2.3913877799793957</v>
      </c>
    </row>
    <row r="1280" spans="3:8" x14ac:dyDescent="0.35">
      <c r="C1280" s="8">
        <f t="shared" ca="1" si="76"/>
        <v>0.73335114653803124</v>
      </c>
      <c r="D1280" s="7">
        <f t="shared" ca="1" si="77"/>
        <v>9.5578276604360496E-2</v>
      </c>
      <c r="E1280" s="7">
        <f t="shared" ca="1" si="78"/>
        <v>0.47214574413988408</v>
      </c>
      <c r="F1280" s="7">
        <f t="shared" ca="1" si="79"/>
        <v>1.9717466173235533E-2</v>
      </c>
      <c r="G1280" s="7">
        <f ca="1">$C$11/(1+D1280)^1
 +$D$11/(1+D1280)^2
 +$E$11/(1+D1280)^3
 +$F$11/(1+D1280)^4
 +$G$11/(1+D1280)^5
 +$H$11/(1+D1280)^6
 +$I$11/(1+D1280)^7
 + ( $I$11*(1+F1280)/(D1280-F1280) )/(1+D1280)^7</f>
        <v>350.79982724127842</v>
      </c>
      <c r="H1280" s="7">
        <f ca="1">(G1280-$C$8)/$C$9</f>
        <v>1.9184182905997196</v>
      </c>
    </row>
    <row r="1281" spans="3:8" x14ac:dyDescent="0.35">
      <c r="C1281" s="8">
        <f t="shared" ca="1" si="76"/>
        <v>0.89711309377331649</v>
      </c>
      <c r="D1281" s="7">
        <f t="shared" ca="1" si="77"/>
        <v>0.10104166383434886</v>
      </c>
      <c r="E1281" s="7">
        <f t="shared" ca="1" si="78"/>
        <v>0.12853501310202842</v>
      </c>
      <c r="F1281" s="7">
        <f t="shared" ca="1" si="79"/>
        <v>1.5070207354774131E-2</v>
      </c>
      <c r="G1281" s="7">
        <f ca="1">$C$11/(1+D1281)^1
 +$D$11/(1+D1281)^2
 +$E$11/(1+D1281)^3
 +$F$11/(1+D1281)^4
 +$G$11/(1+D1281)^5
 +$H$11/(1+D1281)^6
 +$I$11/(1+D1281)^7
 + ( $I$11*(1+F1281)/(D1281-F1281) )/(1+D1281)^7</f>
        <v>314.40924230203558</v>
      </c>
      <c r="H1281" s="7">
        <f ca="1">(G1281-$C$8)/$C$9</f>
        <v>1.7126822834805266</v>
      </c>
    </row>
    <row r="1282" spans="3:8" x14ac:dyDescent="0.35">
      <c r="C1282" s="8">
        <f t="shared" ca="1" si="76"/>
        <v>0.12309131928704609</v>
      </c>
      <c r="D1282" s="7">
        <f t="shared" ca="1" si="77"/>
        <v>8.0046635347984813E-2</v>
      </c>
      <c r="E1282" s="7">
        <f t="shared" ca="1" si="78"/>
        <v>0.87311812447206805</v>
      </c>
      <c r="F1282" s="7">
        <f t="shared" ca="1" si="79"/>
        <v>2.496250309125788E-2</v>
      </c>
      <c r="G1282" s="7">
        <f ca="1">$C$11/(1+D1282)^1
 +$D$11/(1+D1282)^2
 +$E$11/(1+D1282)^3
 +$F$11/(1+D1282)^4
 +$G$11/(1+D1282)^5
 +$H$11/(1+D1282)^6
 +$I$11/(1+D1282)^7
 + ( $I$11*(1+F1282)/(D1282-F1282) )/(1+D1282)^7</f>
        <v>476.7211125279573</v>
      </c>
      <c r="H1282" s="7">
        <f ca="1">(G1282-$C$8)/$C$9</f>
        <v>2.6303206271368005</v>
      </c>
    </row>
    <row r="1283" spans="3:8" x14ac:dyDescent="0.35">
      <c r="C1283" s="8">
        <f t="shared" ca="1" si="76"/>
        <v>0.37256375185518986</v>
      </c>
      <c r="D1283" s="7">
        <f t="shared" ca="1" si="77"/>
        <v>8.7478623416083312E-2</v>
      </c>
      <c r="E1283" s="7">
        <f t="shared" ca="1" si="78"/>
        <v>0.20184305810377567</v>
      </c>
      <c r="F1283" s="7">
        <f t="shared" ca="1" si="79"/>
        <v>1.6353629798843739E-2</v>
      </c>
      <c r="G1283" s="7">
        <f ca="1">$C$11/(1+D1283)^1
 +$D$11/(1+D1283)^2
 +$E$11/(1+D1283)^3
 +$F$11/(1+D1283)^4
 +$G$11/(1+D1283)^5
 +$H$11/(1+D1283)^6
 +$I$11/(1+D1283)^7
 + ( $I$11*(1+F1283)/(D1283-F1283) )/(1+D1283)^7</f>
        <v>381.35097732743873</v>
      </c>
      <c r="H1283" s="7">
        <f ca="1">(G1283-$C$8)/$C$9</f>
        <v>2.0911407582962389</v>
      </c>
    </row>
    <row r="1284" spans="3:8" x14ac:dyDescent="0.35">
      <c r="C1284" s="8">
        <f t="shared" ca="1" si="76"/>
        <v>0.50343453196482701</v>
      </c>
      <c r="D1284" s="7">
        <f t="shared" ca="1" si="77"/>
        <v>9.0317881686119705E-2</v>
      </c>
      <c r="E1284" s="7">
        <f t="shared" ca="1" si="78"/>
        <v>0.4114087838852114</v>
      </c>
      <c r="F1284" s="7">
        <f t="shared" ca="1" si="79"/>
        <v>1.9070929212436964E-2</v>
      </c>
      <c r="G1284" s="7">
        <f ca="1">$C$11/(1+D1284)^1
 +$D$11/(1+D1284)^2
 +$E$11/(1+D1284)^3
 +$F$11/(1+D1284)^4
 +$G$11/(1+D1284)^5
 +$H$11/(1+D1284)^6
 +$I$11/(1+D1284)^7
 + ( $I$11*(1+F1284)/(D1284-F1284) )/(1+D1284)^7</f>
        <v>375.72101659883856</v>
      </c>
      <c r="H1284" s="7">
        <f ca="1">(G1284-$C$8)/$C$9</f>
        <v>2.0593114914000368</v>
      </c>
    </row>
    <row r="1285" spans="3:8" x14ac:dyDescent="0.35">
      <c r="C1285" s="8">
        <f t="shared" ca="1" si="76"/>
        <v>0.71846936499650682</v>
      </c>
      <c r="D1285" s="7">
        <f t="shared" ca="1" si="77"/>
        <v>9.5181299135797204E-2</v>
      </c>
      <c r="E1285" s="7">
        <f t="shared" ca="1" si="78"/>
        <v>0.31439841774186073</v>
      </c>
      <c r="F1285" s="7">
        <f t="shared" ca="1" si="79"/>
        <v>1.7929671087023227E-2</v>
      </c>
      <c r="G1285" s="7">
        <f ca="1">$C$11/(1+D1285)^1
 +$D$11/(1+D1285)^2
 +$E$11/(1+D1285)^3
 +$F$11/(1+D1285)^4
 +$G$11/(1+D1285)^5
 +$H$11/(1+D1285)^6
 +$I$11/(1+D1285)^7
 + ( $I$11*(1+F1285)/(D1285-F1285) )/(1+D1285)^7</f>
        <v>347.12147526701614</v>
      </c>
      <c r="H1285" s="7">
        <f ca="1">(G1285-$C$8)/$C$9</f>
        <v>1.8976225422151523</v>
      </c>
    </row>
    <row r="1286" spans="3:8" x14ac:dyDescent="0.35">
      <c r="C1286" s="8">
        <f t="shared" ca="1" si="76"/>
        <v>0.94808800352299505</v>
      </c>
      <c r="D1286" s="7">
        <f t="shared" ca="1" si="77"/>
        <v>0.10363671804396003</v>
      </c>
      <c r="E1286" s="7">
        <f t="shared" ca="1" si="78"/>
        <v>0.40383073124968627</v>
      </c>
      <c r="F1286" s="7">
        <f t="shared" ca="1" si="79"/>
        <v>1.8986998734279274E-2</v>
      </c>
      <c r="G1286" s="7">
        <f ca="1">$C$11/(1+D1286)^1
 +$D$11/(1+D1286)^2
 +$E$11/(1+D1286)^3
 +$F$11/(1+D1286)^4
 +$G$11/(1+D1286)^5
 +$H$11/(1+D1286)^6
 +$I$11/(1+D1286)^7
 + ( $I$11*(1+F1286)/(D1286-F1286) )/(1+D1286)^7</f>
        <v>313.82205051401644</v>
      </c>
      <c r="H1286" s="7">
        <f ca="1">(G1286-$C$8)/$C$9</f>
        <v>1.7093625650950726</v>
      </c>
    </row>
    <row r="1287" spans="3:8" x14ac:dyDescent="0.35">
      <c r="C1287" s="8">
        <f t="shared" ca="1" si="76"/>
        <v>2.5227742207065251E-2</v>
      </c>
      <c r="D1287" s="7">
        <f t="shared" ca="1" si="77"/>
        <v>7.4548268748633212E-2</v>
      </c>
      <c r="E1287" s="7">
        <f t="shared" ca="1" si="78"/>
        <v>0.65739638409403289</v>
      </c>
      <c r="F1287" s="7">
        <f t="shared" ca="1" si="79"/>
        <v>2.1722275482888222E-2</v>
      </c>
      <c r="G1287" s="7">
        <f ca="1">$C$11/(1+D1287)^1
 +$D$11/(1+D1287)^2
 +$E$11/(1+D1287)^3
 +$F$11/(1+D1287)^4
 +$G$11/(1+D1287)^5
 +$H$11/(1+D1287)^6
 +$I$11/(1+D1287)^7
 + ( $I$11*(1+F1287)/(D1287-F1287) )/(1+D1287)^7</f>
        <v>505.92685892585843</v>
      </c>
      <c r="H1287" s="7">
        <f ca="1">(G1287-$C$8)/$C$9</f>
        <v>2.7954367872334824</v>
      </c>
    </row>
    <row r="1288" spans="3:8" x14ac:dyDescent="0.35">
      <c r="C1288" s="8">
        <f t="shared" ca="1" si="76"/>
        <v>0.32243362082150351</v>
      </c>
      <c r="D1288" s="7">
        <f t="shared" ca="1" si="77"/>
        <v>8.6260245049618198E-2</v>
      </c>
      <c r="E1288" s="7">
        <f t="shared" ca="1" si="78"/>
        <v>0.52858909727183334</v>
      </c>
      <c r="F1288" s="7">
        <f t="shared" ca="1" si="79"/>
        <v>2.0290098839553856E-2</v>
      </c>
      <c r="G1288" s="7">
        <f ca="1">$C$11/(1+D1288)^1
 +$D$11/(1+D1288)^2
 +$E$11/(1+D1288)^3
 +$F$11/(1+D1288)^4
 +$G$11/(1+D1288)^5
 +$H$11/(1+D1288)^6
 +$I$11/(1+D1288)^7
 + ( $I$11*(1+F1288)/(D1288-F1288) )/(1+D1288)^7</f>
        <v>404.69876462379472</v>
      </c>
      <c r="H1288" s="7">
        <f ca="1">(G1288-$C$8)/$C$9</f>
        <v>2.2231386511973921</v>
      </c>
    </row>
    <row r="1289" spans="3:8" x14ac:dyDescent="0.35">
      <c r="C1289" s="8">
        <f t="shared" ca="1" si="76"/>
        <v>0.30893389152976469</v>
      </c>
      <c r="D1289" s="7">
        <f t="shared" ca="1" si="77"/>
        <v>8.591621157984547E-2</v>
      </c>
      <c r="E1289" s="7">
        <f t="shared" ca="1" si="78"/>
        <v>0.59556232809272258</v>
      </c>
      <c r="F1289" s="7">
        <f t="shared" ca="1" si="79"/>
        <v>2.1006250260238755E-2</v>
      </c>
      <c r="G1289" s="7">
        <f ca="1">$C$11/(1+D1289)^1
 +$D$11/(1+D1289)^2
 +$E$11/(1+D1289)^3
 +$F$11/(1+D1289)^4
 +$G$11/(1+D1289)^5
 +$H$11/(1+D1289)^6
 +$I$11/(1+D1289)^7
 + ( $I$11*(1+F1289)/(D1289-F1289) )/(1+D1289)^7</f>
        <v>410.14091144316779</v>
      </c>
      <c r="H1289" s="7">
        <f ca="1">(G1289-$C$8)/$C$9</f>
        <v>2.2539061026863849</v>
      </c>
    </row>
    <row r="1290" spans="3:8" x14ac:dyDescent="0.35">
      <c r="C1290" s="8">
        <f t="shared" ca="1" si="76"/>
        <v>3.907511113898432E-2</v>
      </c>
      <c r="D1290" s="7">
        <f t="shared" ca="1" si="77"/>
        <v>7.5660529227375053E-2</v>
      </c>
      <c r="E1290" s="7">
        <f t="shared" ca="1" si="78"/>
        <v>0.47165074832871212</v>
      </c>
      <c r="F1290" s="7">
        <f t="shared" ca="1" si="79"/>
        <v>1.971237096005617E-2</v>
      </c>
      <c r="G1290" s="7">
        <f ca="1">$C$11/(1+D1290)^1
 +$D$11/(1+D1290)^2
 +$E$11/(1+D1290)^3
 +$F$11/(1+D1290)^4
 +$G$11/(1+D1290)^5
 +$H$11/(1+D1290)^6
 +$I$11/(1+D1290)^7
 + ( $I$11*(1+F1290)/(D1290-F1290) )/(1+D1290)^7</f>
        <v>481.58425763545137</v>
      </c>
      <c r="H1290" s="7">
        <f ca="1">(G1290-$C$8)/$C$9</f>
        <v>2.6578146632488204</v>
      </c>
    </row>
    <row r="1291" spans="3:8" x14ac:dyDescent="0.35">
      <c r="C1291" s="8">
        <f t="shared" ca="1" si="76"/>
        <v>0.81573367173968803</v>
      </c>
      <c r="D1291" s="7">
        <f t="shared" ca="1" si="77"/>
        <v>9.8011349698859204E-2</v>
      </c>
      <c r="E1291" s="7">
        <f t="shared" ca="1" si="78"/>
        <v>0.23584887583146263</v>
      </c>
      <c r="F1291" s="7">
        <f t="shared" ca="1" si="79"/>
        <v>1.686802556534937E-2</v>
      </c>
      <c r="G1291" s="7">
        <f ca="1">$C$11/(1+D1291)^1
 +$D$11/(1+D1291)^2
 +$E$11/(1+D1291)^3
 +$F$11/(1+D1291)^4
 +$G$11/(1+D1291)^5
 +$H$11/(1+D1291)^6
 +$I$11/(1+D1291)^7
 + ( $I$11*(1+F1291)/(D1291-F1291) )/(1+D1291)^7</f>
        <v>331.33289080079987</v>
      </c>
      <c r="H1291" s="7">
        <f ca="1">(G1291-$C$8)/$C$9</f>
        <v>1.8083609837222967</v>
      </c>
    </row>
    <row r="1292" spans="3:8" x14ac:dyDescent="0.35">
      <c r="C1292" s="8">
        <f t="shared" ca="1" si="76"/>
        <v>0.29141371853306519</v>
      </c>
      <c r="D1292" s="7">
        <f t="shared" ca="1" si="77"/>
        <v>8.5458306802399589E-2</v>
      </c>
      <c r="E1292" s="7">
        <f t="shared" ca="1" si="78"/>
        <v>0.51291736003515898</v>
      </c>
      <c r="F1292" s="7">
        <f t="shared" ca="1" si="79"/>
        <v>2.0130018845359015E-2</v>
      </c>
      <c r="G1292" s="7">
        <f ca="1">$C$11/(1+D1292)^1
 +$D$11/(1+D1292)^2
 +$E$11/(1+D1292)^3
 +$F$11/(1+D1292)^4
 +$G$11/(1+D1292)^5
 +$H$11/(1+D1292)^6
 +$I$11/(1+D1292)^7
 + ( $I$11*(1+F1292)/(D1292-F1292) )/(1+D1292)^7</f>
        <v>409.15528923074055</v>
      </c>
      <c r="H1292" s="7">
        <f ca="1">(G1292-$C$8)/$C$9</f>
        <v>2.2483338378038247</v>
      </c>
    </row>
    <row r="1293" spans="3:8" x14ac:dyDescent="0.35">
      <c r="C1293" s="8">
        <f t="shared" ca="1" si="76"/>
        <v>2.0784782680941971E-2</v>
      </c>
      <c r="D1293" s="7">
        <f t="shared" ca="1" si="77"/>
        <v>7.4128380045292888E-2</v>
      </c>
      <c r="E1293" s="7">
        <f t="shared" ca="1" si="78"/>
        <v>0.89750138191426587</v>
      </c>
      <c r="F1293" s="7">
        <f t="shared" ca="1" si="79"/>
        <v>2.5472337952414423E-2</v>
      </c>
      <c r="G1293" s="7">
        <f ca="1">$C$11/(1+D1293)^1
 +$D$11/(1+D1293)^2
 +$E$11/(1+D1293)^3
 +$F$11/(1+D1293)^4
 +$G$11/(1+D1293)^5
 +$H$11/(1+D1293)^6
 +$I$11/(1+D1293)^7
 + ( $I$11*(1+F1293)/(D1293-F1293) )/(1+D1293)^7</f>
        <v>540.32686453731344</v>
      </c>
      <c r="H1293" s="7">
        <f ca="1">(G1293-$C$8)/$C$9</f>
        <v>2.9899189537387687</v>
      </c>
    </row>
    <row r="1294" spans="3:8" x14ac:dyDescent="0.35">
      <c r="C1294" s="8">
        <f t="shared" ca="1" si="76"/>
        <v>0.30512459553817972</v>
      </c>
      <c r="D1294" s="7">
        <f t="shared" ca="1" si="77"/>
        <v>8.5817780133169999E-2</v>
      </c>
      <c r="E1294" s="7">
        <f t="shared" ca="1" si="78"/>
        <v>0.19664092018987578</v>
      </c>
      <c r="F1294" s="7">
        <f t="shared" ca="1" si="79"/>
        <v>1.6271218704364817E-2</v>
      </c>
      <c r="G1294" s="7">
        <f ca="1">$C$11/(1+D1294)^1
 +$D$11/(1+D1294)^2
 +$E$11/(1+D1294)^3
 +$F$11/(1+D1294)^4
 +$G$11/(1+D1294)^5
 +$H$11/(1+D1294)^6
 +$I$11/(1+D1294)^7
 + ( $I$11*(1+F1294)/(D1294-F1294) )/(1+D1294)^7</f>
        <v>390.56498177721289</v>
      </c>
      <c r="H1294" s="7">
        <f ca="1">(G1294-$C$8)/$C$9</f>
        <v>2.143232597112239</v>
      </c>
    </row>
    <row r="1295" spans="3:8" x14ac:dyDescent="0.35">
      <c r="C1295" s="8">
        <f t="shared" ca="1" si="76"/>
        <v>0.82464587740349671</v>
      </c>
      <c r="D1295" s="7">
        <f t="shared" ca="1" si="77"/>
        <v>9.8304863590993372E-2</v>
      </c>
      <c r="E1295" s="7">
        <f t="shared" ca="1" si="78"/>
        <v>0.98862208155505515</v>
      </c>
      <c r="F1295" s="7">
        <f t="shared" ca="1" si="79"/>
        <v>2.8491496208493672E-2</v>
      </c>
      <c r="G1295" s="7">
        <f ca="1">$C$11/(1+D1295)^1
 +$D$11/(1+D1295)^2
 +$E$11/(1+D1295)^3
 +$F$11/(1+D1295)^4
 +$G$11/(1+D1295)^5
 +$H$11/(1+D1295)^6
 +$I$11/(1+D1295)^7
 + ( $I$11*(1+F1295)/(D1295-F1295) )/(1+D1295)^7</f>
        <v>366.82704299531883</v>
      </c>
      <c r="H1295" s="7">
        <f ca="1">(G1295-$C$8)/$C$9</f>
        <v>2.0090289631123861</v>
      </c>
    </row>
    <row r="1296" spans="3:8" x14ac:dyDescent="0.35">
      <c r="C1296" s="8">
        <f t="shared" ca="1" si="76"/>
        <v>2.3774790601358231E-2</v>
      </c>
      <c r="D1296" s="7">
        <f t="shared" ca="1" si="77"/>
        <v>7.4415351434836616E-2</v>
      </c>
      <c r="E1296" s="7">
        <f t="shared" ca="1" si="78"/>
        <v>0.49846913427810635</v>
      </c>
      <c r="F1296" s="7">
        <f t="shared" ca="1" si="79"/>
        <v>1.9984679607059068E-2</v>
      </c>
      <c r="G1296" s="7">
        <f ca="1">$C$11/(1+D1296)^1
 +$D$11/(1+D1296)^2
 +$E$11/(1+D1296)^3
 +$F$11/(1+D1296)^4
 +$G$11/(1+D1296)^5
 +$H$11/(1+D1296)^6
 +$I$11/(1+D1296)^7
 + ( $I$11*(1+F1296)/(D1296-F1296) )/(1+D1296)^7</f>
        <v>494.81967382735377</v>
      </c>
      <c r="H1296" s="7">
        <f ca="1">(G1296-$C$8)/$C$9</f>
        <v>2.7326417561474092</v>
      </c>
    </row>
    <row r="1297" spans="3:8" x14ac:dyDescent="0.35">
      <c r="C1297" s="8">
        <f t="shared" ref="C1297:C1360" ca="1" si="80">RAND()</f>
        <v>1.2159434483143383E-2</v>
      </c>
      <c r="D1297" s="7">
        <f t="shared" ref="D1297:D1360" ca="1" si="81">IF(C1297&lt;(0.0905-0.07)/(0.11-0.07),
 0.07+SQRT(C1297*(0.11-0.07)*(0.0905-0.07)),
 0.11-SQRT((1-C1297)*(0.11-0.07)*(0.11-0.0905))
)</f>
        <v>7.3157647269119469E-2</v>
      </c>
      <c r="E1297" s="7">
        <f t="shared" ref="E1297:E1360" ca="1" si="82">RAND()</f>
        <v>0.61462921789158009</v>
      </c>
      <c r="F1297" s="7">
        <f t="shared" ref="F1297:F1360" ca="1" si="83">MIN(
 IF(E1297&lt;(0.02-0.01)/(0.03-0.01),
   0.01+SQRT(E1297*(0.03-0.01)*(0.02-0.01)),
   0.03-SQRT((1-E1297)*(0.03-0.01)*(0.03-0.02))
 ),
 D1297-0.005
)</f>
        <v>2.1220811175189133E-2</v>
      </c>
      <c r="G1297" s="7">
        <f ca="1">$C$11/(1+D1297)^1
 +$D$11/(1+D1297)^2
 +$E$11/(1+D1297)^3
 +$F$11/(1+D1297)^4
 +$G$11/(1+D1297)^5
 +$H$11/(1+D1297)^6
 +$I$11/(1+D1297)^7
 + ( $I$11*(1+F1297)/(D1297-F1297) )/(1+D1297)^7</f>
        <v>516.18201437841083</v>
      </c>
      <c r="H1297" s="7">
        <f ca="1">(G1297-$C$8)/$C$9</f>
        <v>2.8534148257485912</v>
      </c>
    </row>
    <row r="1298" spans="3:8" x14ac:dyDescent="0.35">
      <c r="C1298" s="8">
        <f t="shared" ca="1" si="80"/>
        <v>0.5037159309255701</v>
      </c>
      <c r="D1298" s="7">
        <f t="shared" ca="1" si="81"/>
        <v>9.0323559318164909E-2</v>
      </c>
      <c r="E1298" s="7">
        <f t="shared" ca="1" si="82"/>
        <v>0.73999374265303386</v>
      </c>
      <c r="F1298" s="7">
        <f t="shared" ca="1" si="83"/>
        <v>2.2788810675804357E-2</v>
      </c>
      <c r="G1298" s="7">
        <f ca="1">$C$11/(1+D1298)^1
 +$D$11/(1+D1298)^2
 +$E$11/(1+D1298)^3
 +$F$11/(1+D1298)^4
 +$G$11/(1+D1298)^5
 +$H$11/(1+D1298)^6
 +$I$11/(1+D1298)^7
 + ( $I$11*(1+F1298)/(D1298-F1298) )/(1+D1298)^7</f>
        <v>390.19865888053153</v>
      </c>
      <c r="H1298" s="7">
        <f ca="1">(G1298-$C$8)/$C$9</f>
        <v>2.1411615721423085</v>
      </c>
    </row>
    <row r="1299" spans="3:8" x14ac:dyDescent="0.35">
      <c r="C1299" s="8">
        <f t="shared" ca="1" si="80"/>
        <v>0.98971998098516334</v>
      </c>
      <c r="D1299" s="7">
        <f t="shared" ca="1" si="81"/>
        <v>0.10716831943334482</v>
      </c>
      <c r="E1299" s="7">
        <f t="shared" ca="1" si="82"/>
        <v>0.52140354324056304</v>
      </c>
      <c r="F1299" s="7">
        <f t="shared" ca="1" si="83"/>
        <v>2.0216376369060009E-2</v>
      </c>
      <c r="G1299" s="7">
        <f ca="1">$C$11/(1+D1299)^1
 +$D$11/(1+D1299)^2
 +$E$11/(1+D1299)^3
 +$F$11/(1+D1299)^4
 +$G$11/(1+D1299)^5
 +$H$11/(1+D1299)^6
 +$I$11/(1+D1299)^7
 + ( $I$11*(1+F1299)/(D1299-F1299) )/(1+D1299)^7</f>
        <v>303.38248134043806</v>
      </c>
      <c r="H1299" s="7">
        <f ca="1">(G1299-$C$8)/$C$9</f>
        <v>1.6503419343082204</v>
      </c>
    </row>
    <row r="1300" spans="3:8" x14ac:dyDescent="0.35">
      <c r="C1300" s="8">
        <f t="shared" ca="1" si="80"/>
        <v>0.64890330460284906</v>
      </c>
      <c r="D1300" s="7">
        <f t="shared" ca="1" si="81"/>
        <v>9.3451422344812296E-2</v>
      </c>
      <c r="E1300" s="7">
        <f t="shared" ca="1" si="82"/>
        <v>0.56036893400912091</v>
      </c>
      <c r="F1300" s="7">
        <f t="shared" ca="1" si="83"/>
        <v>2.0623102154860819E-2</v>
      </c>
      <c r="G1300" s="7">
        <f ca="1">$C$11/(1+D1300)^1
 +$D$11/(1+D1300)^2
 +$E$11/(1+D1300)^3
 +$F$11/(1+D1300)^4
 +$G$11/(1+D1300)^5
 +$H$11/(1+D1300)^6
 +$I$11/(1+D1300)^7
 + ( $I$11*(1+F1300)/(D1300-F1300) )/(1+D1300)^7</f>
        <v>364.49179856145588</v>
      </c>
      <c r="H1300" s="7">
        <f ca="1">(G1300-$C$8)/$C$9</f>
        <v>1.9958265409399358</v>
      </c>
    </row>
    <row r="1301" spans="3:8" x14ac:dyDescent="0.35">
      <c r="C1301" s="8">
        <f t="shared" ca="1" si="80"/>
        <v>0.59127515119457374</v>
      </c>
      <c r="D1301" s="7">
        <f t="shared" ca="1" si="81"/>
        <v>9.2144877987864873E-2</v>
      </c>
      <c r="E1301" s="7">
        <f t="shared" ca="1" si="82"/>
        <v>0.6606663611825504</v>
      </c>
      <c r="F1301" s="7">
        <f t="shared" ca="1" si="83"/>
        <v>2.1761873528314227E-2</v>
      </c>
      <c r="G1301" s="7">
        <f ca="1">$C$11/(1+D1301)^1
 +$D$11/(1+D1301)^2
 +$E$11/(1+D1301)^3
 +$F$11/(1+D1301)^4
 +$G$11/(1+D1301)^5
 +$H$11/(1+D1301)^6
 +$I$11/(1+D1301)^7
 + ( $I$11*(1+F1301)/(D1301-F1301) )/(1+D1301)^7</f>
        <v>375.64394242448611</v>
      </c>
      <c r="H1301" s="7">
        <f ca="1">(G1301-$C$8)/$C$9</f>
        <v>2.0588757486685103</v>
      </c>
    </row>
    <row r="1302" spans="3:8" x14ac:dyDescent="0.35">
      <c r="C1302" s="8">
        <f t="shared" ca="1" si="80"/>
        <v>0.79565950254799134</v>
      </c>
      <c r="D1302" s="7">
        <f t="shared" ca="1" si="81"/>
        <v>9.7375199486226846E-2</v>
      </c>
      <c r="E1302" s="7">
        <f t="shared" ca="1" si="82"/>
        <v>9.6790896730593046E-3</v>
      </c>
      <c r="F1302" s="7">
        <f t="shared" ca="1" si="83"/>
        <v>1.1391336743787018E-2</v>
      </c>
      <c r="G1302" s="7">
        <f ca="1">$C$11/(1+D1302)^1
 +$D$11/(1+D1302)^2
 +$E$11/(1+D1302)^3
 +$F$11/(1+D1302)^4
 +$G$11/(1+D1302)^5
 +$H$11/(1+D1302)^6
 +$I$11/(1+D1302)^7
 + ( $I$11*(1+F1302)/(D1302-F1302) )/(1+D1302)^7</f>
        <v>319.78955267244146</v>
      </c>
      <c r="H1302" s="7">
        <f ca="1">(G1302-$C$8)/$C$9</f>
        <v>1.7431001394868919</v>
      </c>
    </row>
    <row r="1303" spans="3:8" x14ac:dyDescent="0.35">
      <c r="C1303" s="8">
        <f t="shared" ca="1" si="80"/>
        <v>0.87382734621332614</v>
      </c>
      <c r="D1303" s="7">
        <f t="shared" ca="1" si="81"/>
        <v>0.10007958317641816</v>
      </c>
      <c r="E1303" s="7">
        <f t="shared" ca="1" si="82"/>
        <v>0.77833697129009805</v>
      </c>
      <c r="F1303" s="7">
        <f t="shared" ca="1" si="83"/>
        <v>2.3341726519436109E-2</v>
      </c>
      <c r="G1303" s="7">
        <f ca="1">$C$11/(1+D1303)^1
 +$D$11/(1+D1303)^2
 +$E$11/(1+D1303)^3
 +$F$11/(1+D1303)^4
 +$G$11/(1+D1303)^5
 +$H$11/(1+D1303)^6
 +$I$11/(1+D1303)^7
 + ( $I$11*(1+F1303)/(D1303-F1303) )/(1+D1303)^7</f>
        <v>340.73253980740714</v>
      </c>
      <c r="H1303" s="7">
        <f ca="1">(G1303-$C$8)/$C$9</f>
        <v>1.8615023734023468</v>
      </c>
    </row>
    <row r="1304" spans="3:8" x14ac:dyDescent="0.35">
      <c r="C1304" s="8">
        <f t="shared" ca="1" si="80"/>
        <v>0.16599831139689392</v>
      </c>
      <c r="D1304" s="7">
        <f t="shared" ca="1" si="81"/>
        <v>8.1666988272277169E-2</v>
      </c>
      <c r="E1304" s="7">
        <f t="shared" ca="1" si="82"/>
        <v>0.39526543382786494</v>
      </c>
      <c r="F1304" s="7">
        <f t="shared" ca="1" si="83"/>
        <v>1.8891180279668893E-2</v>
      </c>
      <c r="G1304" s="7">
        <f ca="1">$C$11/(1+D1304)^1
 +$D$11/(1+D1304)^2
 +$E$11/(1+D1304)^3
 +$F$11/(1+D1304)^4
 +$G$11/(1+D1304)^5
 +$H$11/(1+D1304)^6
 +$I$11/(1+D1304)^7
 + ( $I$11*(1+F1304)/(D1304-F1304) )/(1+D1304)^7</f>
        <v>429.07086910961772</v>
      </c>
      <c r="H1304" s="7">
        <f ca="1">(G1304-$C$8)/$C$9</f>
        <v>2.3609275729851746</v>
      </c>
    </row>
    <row r="1305" spans="3:8" x14ac:dyDescent="0.35">
      <c r="C1305" s="8">
        <f t="shared" ca="1" si="80"/>
        <v>0.87777386245312983</v>
      </c>
      <c r="D1305" s="7">
        <f t="shared" ca="1" si="81"/>
        <v>0.10023596460030185</v>
      </c>
      <c r="E1305" s="7">
        <f t="shared" ca="1" si="82"/>
        <v>0.52174056064099206</v>
      </c>
      <c r="F1305" s="7">
        <f t="shared" ca="1" si="83"/>
        <v>2.0219821685071301E-2</v>
      </c>
      <c r="G1305" s="7">
        <f ca="1">$C$11/(1+D1305)^1
 +$D$11/(1+D1305)^2
 +$E$11/(1+D1305)^3
 +$F$11/(1+D1305)^4
 +$G$11/(1+D1305)^5
 +$H$11/(1+D1305)^6
 +$I$11/(1+D1305)^7
 + ( $I$11*(1+F1305)/(D1305-F1305) )/(1+D1305)^7</f>
        <v>330.985772563963</v>
      </c>
      <c r="H1305" s="7">
        <f ca="1">(G1305-$C$8)/$C$9</f>
        <v>1.8063985332652814</v>
      </c>
    </row>
    <row r="1306" spans="3:8" x14ac:dyDescent="0.35">
      <c r="C1306" s="8">
        <f t="shared" ca="1" si="80"/>
        <v>0.96525853177389931</v>
      </c>
      <c r="D1306" s="7">
        <f t="shared" ca="1" si="81"/>
        <v>0.10479439290607152</v>
      </c>
      <c r="E1306" s="7">
        <f t="shared" ca="1" si="82"/>
        <v>0.28296474006100614</v>
      </c>
      <c r="F1306" s="7">
        <f t="shared" ca="1" si="83"/>
        <v>1.7522828458246355E-2</v>
      </c>
      <c r="G1306" s="7">
        <f ca="1">$C$11/(1+D1306)^1
 +$D$11/(1+D1306)^2
 +$E$11/(1+D1306)^3
 +$F$11/(1+D1306)^4
 +$G$11/(1+D1306)^5
 +$H$11/(1+D1306)^6
 +$I$11/(1+D1306)^7
 + ( $I$11*(1+F1306)/(D1306-F1306) )/(1+D1306)^7</f>
        <v>305.98658080694031</v>
      </c>
      <c r="H1306" s="7">
        <f ca="1">(G1306-$C$8)/$C$9</f>
        <v>1.6650643419659672</v>
      </c>
    </row>
    <row r="1307" spans="3:8" x14ac:dyDescent="0.35">
      <c r="C1307" s="8">
        <f t="shared" ca="1" si="80"/>
        <v>0.51169795231789783</v>
      </c>
      <c r="D1307" s="7">
        <f t="shared" ca="1" si="81"/>
        <v>9.0483952765535169E-2</v>
      </c>
      <c r="E1307" s="7">
        <f t="shared" ca="1" si="82"/>
        <v>0.2365454604946009</v>
      </c>
      <c r="F1307" s="7">
        <f t="shared" ca="1" si="83"/>
        <v>1.6878160517094683E-2</v>
      </c>
      <c r="G1307" s="7">
        <f ca="1">$C$11/(1+D1307)^1
 +$D$11/(1+D1307)^2
 +$E$11/(1+D1307)^3
 +$F$11/(1+D1307)^4
 +$G$11/(1+D1307)^5
 +$H$11/(1+D1307)^6
 +$I$11/(1+D1307)^7
 + ( $I$11*(1+F1307)/(D1307-F1307) )/(1+D1307)^7</f>
        <v>366.98208877563786</v>
      </c>
      <c r="H1307" s="7">
        <f ca="1">(G1307-$C$8)/$C$9</f>
        <v>2.0099055222503268</v>
      </c>
    </row>
    <row r="1308" spans="3:8" x14ac:dyDescent="0.35">
      <c r="C1308" s="8">
        <f t="shared" ca="1" si="80"/>
        <v>0.8039501718078127</v>
      </c>
      <c r="D1308" s="7">
        <f t="shared" ca="1" si="81"/>
        <v>9.7633963206026519E-2</v>
      </c>
      <c r="E1308" s="7">
        <f t="shared" ca="1" si="82"/>
        <v>0.93372551833224671</v>
      </c>
      <c r="F1308" s="7">
        <f t="shared" ca="1" si="83"/>
        <v>2.6359272554344303E-2</v>
      </c>
      <c r="G1308" s="7">
        <f ca="1">$C$11/(1+D1308)^1
 +$D$11/(1+D1308)^2
 +$E$11/(1+D1308)^3
 +$F$11/(1+D1308)^4
 +$G$11/(1+D1308)^5
 +$H$11/(1+D1308)^6
 +$I$11/(1+D1308)^7
 + ( $I$11*(1+F1308)/(D1308-F1308) )/(1+D1308)^7</f>
        <v>362.70403127386504</v>
      </c>
      <c r="H1308" s="7">
        <f ca="1">(G1308-$C$8)/$C$9</f>
        <v>1.9857193084230271</v>
      </c>
    </row>
    <row r="1309" spans="3:8" x14ac:dyDescent="0.35">
      <c r="C1309" s="8">
        <f t="shared" ca="1" si="80"/>
        <v>0.51682258033047834</v>
      </c>
      <c r="D1309" s="7">
        <f t="shared" ca="1" si="81"/>
        <v>9.0586644098914093E-2</v>
      </c>
      <c r="E1309" s="7">
        <f t="shared" ca="1" si="82"/>
        <v>0.83755834256475414</v>
      </c>
      <c r="F1309" s="7">
        <f t="shared" ca="1" si="83"/>
        <v>2.4300146362664286E-2</v>
      </c>
      <c r="G1309" s="7">
        <f ca="1">$C$11/(1+D1309)^1
 +$D$11/(1+D1309)^2
 +$E$11/(1+D1309)^3
 +$F$11/(1+D1309)^4
 +$G$11/(1+D1309)^5
 +$H$11/(1+D1309)^6
 +$I$11/(1+D1309)^7
 + ( $I$11*(1+F1309)/(D1309-F1309) )/(1+D1309)^7</f>
        <v>394.93174748282968</v>
      </c>
      <c r="H1309" s="7">
        <f ca="1">(G1309-$C$8)/$C$9</f>
        <v>2.1679203272434964</v>
      </c>
    </row>
    <row r="1310" spans="3:8" x14ac:dyDescent="0.35">
      <c r="C1310" s="8">
        <f t="shared" ca="1" si="80"/>
        <v>0.53425991372875326</v>
      </c>
      <c r="D1310" s="7">
        <f t="shared" ca="1" si="81"/>
        <v>9.0940166126338554E-2</v>
      </c>
      <c r="E1310" s="7">
        <f t="shared" ca="1" si="82"/>
        <v>0.55439571209762739</v>
      </c>
      <c r="F1310" s="7">
        <f t="shared" ca="1" si="83"/>
        <v>2.0559615602080892E-2</v>
      </c>
      <c r="G1310" s="7">
        <f ca="1">$C$11/(1+D1310)^1
 +$D$11/(1+D1310)^2
 +$E$11/(1+D1310)^3
 +$F$11/(1+D1310)^4
 +$G$11/(1+D1310)^5
 +$H$11/(1+D1310)^6
 +$I$11/(1+D1310)^7
 + ( $I$11*(1+F1310)/(D1310-F1310) )/(1+D1310)^7</f>
        <v>377.83331697894425</v>
      </c>
      <c r="H1310" s="7">
        <f ca="1">(G1310-$C$8)/$C$9</f>
        <v>2.0712534881215752</v>
      </c>
    </row>
    <row r="1311" spans="3:8" x14ac:dyDescent="0.35">
      <c r="C1311" s="8">
        <f t="shared" ca="1" si="80"/>
        <v>0.77956815741031693</v>
      </c>
      <c r="D1311" s="7">
        <f t="shared" ca="1" si="81"/>
        <v>9.6887531230925555E-2</v>
      </c>
      <c r="E1311" s="7">
        <f t="shared" ca="1" si="82"/>
        <v>0.19467107110158988</v>
      </c>
      <c r="F1311" s="7">
        <f t="shared" ca="1" si="83"/>
        <v>1.6239728697653284E-2</v>
      </c>
      <c r="G1311" s="7">
        <f ca="1">$C$11/(1+D1311)^1
 +$D$11/(1+D1311)^2
 +$E$11/(1+D1311)^3
 +$F$11/(1+D1311)^4
 +$G$11/(1+D1311)^5
 +$H$11/(1+D1311)^6
 +$I$11/(1+D1311)^7
 + ( $I$11*(1+F1311)/(D1311-F1311) )/(1+D1311)^7</f>
        <v>334.4573595108028</v>
      </c>
      <c r="H1311" s="7">
        <f ca="1">(G1311-$C$8)/$C$9</f>
        <v>1.8260253251402239</v>
      </c>
    </row>
    <row r="1312" spans="3:8" x14ac:dyDescent="0.35">
      <c r="C1312" s="8">
        <f t="shared" ca="1" si="80"/>
        <v>0.61530853825924015</v>
      </c>
      <c r="D1312" s="7">
        <f t="shared" ca="1" si="81"/>
        <v>9.26777790062073E-2</v>
      </c>
      <c r="E1312" s="7">
        <f t="shared" ca="1" si="82"/>
        <v>0.98730401033572457</v>
      </c>
      <c r="F1312" s="7">
        <f t="shared" ca="1" si="83"/>
        <v>2.8406513905659955E-2</v>
      </c>
      <c r="G1312" s="7">
        <f ca="1">$C$11/(1+D1312)^1
 +$D$11/(1+D1312)^2
 +$E$11/(1+D1312)^3
 +$F$11/(1+D1312)^4
 +$G$11/(1+D1312)^5
 +$H$11/(1+D1312)^6
 +$I$11/(1+D1312)^7
 + ( $I$11*(1+F1312)/(D1312-F1312) )/(1+D1312)^7</f>
        <v>399.73001927030816</v>
      </c>
      <c r="H1312" s="7">
        <f ca="1">(G1312-$C$8)/$C$9</f>
        <v>2.1950475987692681</v>
      </c>
    </row>
    <row r="1313" spans="3:8" x14ac:dyDescent="0.35">
      <c r="C1313" s="8">
        <f t="shared" ca="1" si="80"/>
        <v>0.40402642793247368</v>
      </c>
      <c r="D1313" s="7">
        <f t="shared" ca="1" si="81"/>
        <v>8.8201694176769055E-2</v>
      </c>
      <c r="E1313" s="7">
        <f t="shared" ca="1" si="82"/>
        <v>1.6513663261234379E-2</v>
      </c>
      <c r="F1313" s="7">
        <f t="shared" ca="1" si="83"/>
        <v>1.1817342194592663E-2</v>
      </c>
      <c r="G1313" s="7">
        <f ca="1">$C$11/(1+D1313)^1
 +$D$11/(1+D1313)^2
 +$E$11/(1+D1313)^3
 +$F$11/(1+D1313)^4
 +$G$11/(1+D1313)^5
 +$H$11/(1+D1313)^6
 +$I$11/(1+D1313)^7
 + ( $I$11*(1+F1313)/(D1313-F1313) )/(1+D1313)^7</f>
        <v>361.63089449276896</v>
      </c>
      <c r="H1313" s="7">
        <f ca="1">(G1313-$C$8)/$C$9</f>
        <v>1.9796522755131667</v>
      </c>
    </row>
    <row r="1314" spans="3:8" x14ac:dyDescent="0.35">
      <c r="C1314" s="8">
        <f t="shared" ca="1" si="80"/>
        <v>0.449581169726326</v>
      </c>
      <c r="D1314" s="7">
        <f t="shared" ca="1" si="81"/>
        <v>8.920043122368837E-2</v>
      </c>
      <c r="E1314" s="7">
        <f t="shared" ca="1" si="82"/>
        <v>0.85884057438990991</v>
      </c>
      <c r="F1314" s="7">
        <f t="shared" ca="1" si="83"/>
        <v>2.4686631471277566E-2</v>
      </c>
      <c r="G1314" s="7">
        <f ca="1">$C$11/(1+D1314)^1
 +$D$11/(1+D1314)^2
 +$E$11/(1+D1314)^3
 +$F$11/(1+D1314)^4
 +$G$11/(1+D1314)^5
 +$H$11/(1+D1314)^6
 +$I$11/(1+D1314)^7
 + ( $I$11*(1+F1314)/(D1314-F1314) )/(1+D1314)^7</f>
        <v>405.42451310716967</v>
      </c>
      <c r="H1314" s="7">
        <f ca="1">(G1314-$C$8)/$C$9</f>
        <v>2.2272417068474089</v>
      </c>
    </row>
    <row r="1315" spans="3:8" x14ac:dyDescent="0.35">
      <c r="C1315" s="8">
        <f t="shared" ca="1" si="80"/>
        <v>3.1315460207260504E-2</v>
      </c>
      <c r="D1315" s="7">
        <f t="shared" ca="1" si="81"/>
        <v>7.5067413281937209E-2</v>
      </c>
      <c r="E1315" s="7">
        <f t="shared" ca="1" si="82"/>
        <v>0.67531787076279348</v>
      </c>
      <c r="F1315" s="7">
        <f t="shared" ca="1" si="83"/>
        <v>2.1941685917796373E-2</v>
      </c>
      <c r="G1315" s="7">
        <f ca="1">$C$11/(1+D1315)^1
 +$D$11/(1+D1315)^2
 +$E$11/(1+D1315)^3
 +$F$11/(1+D1315)^4
 +$G$11/(1+D1315)^5
 +$H$11/(1+D1315)^6
 +$I$11/(1+D1315)^7
 + ( $I$11*(1+F1315)/(D1315-F1315) )/(1+D1315)^7</f>
        <v>502.42272603180163</v>
      </c>
      <c r="H1315" s="7">
        <f ca="1">(G1315-$C$8)/$C$9</f>
        <v>2.7756259952046678</v>
      </c>
    </row>
    <row r="1316" spans="3:8" x14ac:dyDescent="0.35">
      <c r="C1316" s="8">
        <f t="shared" ca="1" si="80"/>
        <v>0.15485573745663439</v>
      </c>
      <c r="D1316" s="7">
        <f t="shared" ca="1" si="81"/>
        <v>8.1268615918312248E-2</v>
      </c>
      <c r="E1316" s="7">
        <f t="shared" ca="1" si="82"/>
        <v>0.37459885434437212</v>
      </c>
      <c r="F1316" s="7">
        <f t="shared" ca="1" si="83"/>
        <v>1.865562076739008E-2</v>
      </c>
      <c r="G1316" s="7">
        <f ca="1">$C$11/(1+D1316)^1
 +$D$11/(1+D1316)^2
 +$E$11/(1+D1316)^3
 +$F$11/(1+D1316)^4
 +$G$11/(1+D1316)^5
 +$H$11/(1+D1316)^6
 +$I$11/(1+D1316)^7
 + ( $I$11*(1+F1316)/(D1316-F1316) )/(1+D1316)^7</f>
        <v>430.73058934363235</v>
      </c>
      <c r="H1316" s="7">
        <f ca="1">(G1316-$C$8)/$C$9</f>
        <v>2.3703108850273198</v>
      </c>
    </row>
    <row r="1317" spans="3:8" x14ac:dyDescent="0.35">
      <c r="C1317" s="8">
        <f t="shared" ca="1" si="80"/>
        <v>0.16107818662507145</v>
      </c>
      <c r="D1317" s="7">
        <f t="shared" ca="1" si="81"/>
        <v>8.1492785260003711E-2</v>
      </c>
      <c r="E1317" s="7">
        <f t="shared" ca="1" si="82"/>
        <v>0.71041427742236385</v>
      </c>
      <c r="F1317" s="7">
        <f t="shared" ca="1" si="83"/>
        <v>2.2389668567300947E-2</v>
      </c>
      <c r="G1317" s="7">
        <f ca="1">$C$11/(1+D1317)^1
 +$D$11/(1+D1317)^2
 +$E$11/(1+D1317)^3
 +$F$11/(1+D1317)^4
 +$G$11/(1+D1317)^5
 +$H$11/(1+D1317)^6
 +$I$11/(1+D1317)^7
 + ( $I$11*(1+F1317)/(D1317-F1317) )/(1+D1317)^7</f>
        <v>448.95696916736858</v>
      </c>
      <c r="H1317" s="7">
        <f ca="1">(G1317-$C$8)/$C$9</f>
        <v>2.4733546425111292</v>
      </c>
    </row>
    <row r="1318" spans="3:8" x14ac:dyDescent="0.35">
      <c r="C1318" s="8">
        <f t="shared" ca="1" si="80"/>
        <v>0.66365570943337715</v>
      </c>
      <c r="D1318" s="7">
        <f t="shared" ca="1" si="81"/>
        <v>9.3802822880453343E-2</v>
      </c>
      <c r="E1318" s="7">
        <f t="shared" ca="1" si="82"/>
        <v>0.5132388490798262</v>
      </c>
      <c r="F1318" s="7">
        <f t="shared" ca="1" si="83"/>
        <v>2.0133276623719769E-2</v>
      </c>
      <c r="G1318" s="7">
        <f ca="1">$C$11/(1+D1318)^1
 +$D$11/(1+D1318)^2
 +$E$11/(1+D1318)^3
 +$F$11/(1+D1318)^4
 +$G$11/(1+D1318)^5
 +$H$11/(1+D1318)^6
 +$I$11/(1+D1318)^7
 + ( $I$11*(1+F1318)/(D1318-F1318) )/(1+D1318)^7</f>
        <v>360.99227113890413</v>
      </c>
      <c r="H1318" s="7">
        <f ca="1">(G1318-$C$8)/$C$9</f>
        <v>1.9760417861765271</v>
      </c>
    </row>
    <row r="1319" spans="3:8" x14ac:dyDescent="0.35">
      <c r="C1319" s="8">
        <f t="shared" ca="1" si="80"/>
        <v>0.84779047428787113</v>
      </c>
      <c r="D1319" s="7">
        <f t="shared" ca="1" si="81"/>
        <v>9.9103971822014206E-2</v>
      </c>
      <c r="E1319" s="7">
        <f t="shared" ca="1" si="82"/>
        <v>0.47076152596800735</v>
      </c>
      <c r="F1319" s="7">
        <f t="shared" ca="1" si="83"/>
        <v>1.9703211076422148E-2</v>
      </c>
      <c r="G1319" s="7">
        <f ca="1">$C$11/(1+D1319)^1
 +$D$11/(1+D1319)^2
 +$E$11/(1+D1319)^3
 +$F$11/(1+D1319)^4
 +$G$11/(1+D1319)^5
 +$H$11/(1+D1319)^6
 +$I$11/(1+D1319)^7
 + ( $I$11*(1+F1319)/(D1319-F1319) )/(1+D1319)^7</f>
        <v>334.48044280235496</v>
      </c>
      <c r="H1319" s="7">
        <f ca="1">(G1319-$C$8)/$C$9</f>
        <v>1.8261558276930967</v>
      </c>
    </row>
    <row r="1320" spans="3:8" x14ac:dyDescent="0.35">
      <c r="C1320" s="8">
        <f t="shared" ca="1" si="80"/>
        <v>0.65627882553178896</v>
      </c>
      <c r="D1320" s="7">
        <f t="shared" ca="1" si="81"/>
        <v>9.3626163672333701E-2</v>
      </c>
      <c r="E1320" s="7">
        <f t="shared" ca="1" si="82"/>
        <v>0.24109713578109082</v>
      </c>
      <c r="F1320" s="7">
        <f t="shared" ca="1" si="83"/>
        <v>1.6944020964557792E-2</v>
      </c>
      <c r="G1320" s="7">
        <f ca="1">$C$11/(1+D1320)^1
 +$D$11/(1+D1320)^2
 +$E$11/(1+D1320)^3
 +$F$11/(1+D1320)^4
 +$G$11/(1+D1320)^5
 +$H$11/(1+D1320)^6
 +$I$11/(1+D1320)^7
 + ( $I$11*(1+F1320)/(D1320-F1320) )/(1+D1320)^7</f>
        <v>351.46210158146022</v>
      </c>
      <c r="H1320" s="7">
        <f ca="1">(G1320-$C$8)/$C$9</f>
        <v>1.9221624919802136</v>
      </c>
    </row>
    <row r="1321" spans="3:8" x14ac:dyDescent="0.35">
      <c r="C1321" s="8">
        <f t="shared" ca="1" si="80"/>
        <v>0.80878616001323655</v>
      </c>
      <c r="D1321" s="7">
        <f t="shared" ca="1" si="81"/>
        <v>9.7787432899276439E-2</v>
      </c>
      <c r="E1321" s="7">
        <f t="shared" ca="1" si="82"/>
        <v>0.31853295403343818</v>
      </c>
      <c r="F1321" s="7">
        <f t="shared" ca="1" si="83"/>
        <v>1.798164085929E-2</v>
      </c>
      <c r="G1321" s="7">
        <f ca="1">$C$11/(1+D1321)^1
 +$D$11/(1+D1321)^2
 +$E$11/(1+D1321)^3
 +$F$11/(1+D1321)^4
 +$G$11/(1+D1321)^5
 +$H$11/(1+D1321)^6
 +$I$11/(1+D1321)^7
 + ( $I$11*(1+F1321)/(D1321-F1321) )/(1+D1321)^7</f>
        <v>335.40430421163887</v>
      </c>
      <c r="H1321" s="7">
        <f ca="1">(G1321-$C$8)/$C$9</f>
        <v>1.8313789247605092</v>
      </c>
    </row>
    <row r="1322" spans="3:8" x14ac:dyDescent="0.35">
      <c r="C1322" s="8">
        <f t="shared" ca="1" si="80"/>
        <v>0.5494461828061673</v>
      </c>
      <c r="D1322" s="7">
        <f t="shared" ca="1" si="81"/>
        <v>9.1253480925484076E-2</v>
      </c>
      <c r="E1322" s="7">
        <f t="shared" ca="1" si="82"/>
        <v>0.40874594148432353</v>
      </c>
      <c r="F1322" s="7">
        <f t="shared" ca="1" si="83"/>
        <v>1.9041525772615191E-2</v>
      </c>
      <c r="G1322" s="7">
        <f ca="1">$C$11/(1+D1322)^1
 +$D$11/(1+D1322)^2
 +$E$11/(1+D1322)^3
 +$F$11/(1+D1322)^4
 +$G$11/(1+D1322)^5
 +$H$11/(1+D1322)^6
 +$I$11/(1+D1322)^7
 + ( $I$11*(1+F1322)/(D1322-F1322) )/(1+D1322)^7</f>
        <v>370.53239615559568</v>
      </c>
      <c r="H1322" s="7">
        <f ca="1">(G1322-$C$8)/$C$9</f>
        <v>2.0299773640637473</v>
      </c>
    </row>
    <row r="1323" spans="3:8" x14ac:dyDescent="0.35">
      <c r="C1323" s="8">
        <f t="shared" ca="1" si="80"/>
        <v>0.99375141311758697</v>
      </c>
      <c r="D1323" s="7">
        <f t="shared" ca="1" si="81"/>
        <v>0.10779230940386064</v>
      </c>
      <c r="E1323" s="7">
        <f t="shared" ca="1" si="82"/>
        <v>3.2228217629047373E-2</v>
      </c>
      <c r="F1323" s="7">
        <f t="shared" ca="1" si="83"/>
        <v>1.2538827194948383E-2</v>
      </c>
      <c r="G1323" s="7">
        <f ca="1">$C$11/(1+D1323)^1
 +$D$11/(1+D1323)^2
 +$E$11/(1+D1323)^3
 +$F$11/(1+D1323)^4
 +$G$11/(1+D1323)^5
 +$H$11/(1+D1323)^6
 +$I$11/(1+D1323)^7
 + ( $I$11*(1+F1323)/(D1323-F1323) )/(1+D1323)^7</f>
        <v>285.40378747652477</v>
      </c>
      <c r="H1323" s="7">
        <f ca="1">(G1323-$C$8)/$C$9</f>
        <v>1.5486984818889911</v>
      </c>
    </row>
    <row r="1324" spans="3:8" x14ac:dyDescent="0.35">
      <c r="C1324" s="8">
        <f t="shared" ca="1" si="80"/>
        <v>0.82987828201381852</v>
      </c>
      <c r="D1324" s="7">
        <f t="shared" ca="1" si="81"/>
        <v>9.8480671025219332E-2</v>
      </c>
      <c r="E1324" s="7">
        <f t="shared" ca="1" si="82"/>
        <v>0.46444383728181626</v>
      </c>
      <c r="F1324" s="7">
        <f t="shared" ca="1" si="83"/>
        <v>1.9637881896784337E-2</v>
      </c>
      <c r="G1324" s="7">
        <f ca="1">$C$11/(1+D1324)^1
 +$D$11/(1+D1324)^2
 +$E$11/(1+D1324)^3
 +$F$11/(1+D1324)^4
 +$G$11/(1+D1324)^5
 +$H$11/(1+D1324)^6
 +$I$11/(1+D1324)^7
 + ( $I$11*(1+F1324)/(D1324-F1324) )/(1+D1324)^7</f>
        <v>337.06181926662487</v>
      </c>
      <c r="H1324" s="7">
        <f ca="1">(G1324-$C$8)/$C$9</f>
        <v>1.8407497697118094</v>
      </c>
    </row>
    <row r="1325" spans="3:8" x14ac:dyDescent="0.35">
      <c r="C1325" s="8">
        <f t="shared" ca="1" si="80"/>
        <v>5.1560000542422157E-3</v>
      </c>
      <c r="D1325" s="7">
        <f t="shared" ca="1" si="81"/>
        <v>7.2056190663454783E-2</v>
      </c>
      <c r="E1325" s="7">
        <f t="shared" ca="1" si="82"/>
        <v>0.41905967444727332</v>
      </c>
      <c r="F1325" s="7">
        <f t="shared" ca="1" si="83"/>
        <v>1.9154885847975096E-2</v>
      </c>
      <c r="G1325" s="7">
        <f ca="1">$C$11/(1+D1325)^1
 +$D$11/(1+D1325)^2
 +$E$11/(1+D1325)^3
 +$F$11/(1+D1325)^4
 +$G$11/(1+D1325)^5
 +$H$11/(1+D1325)^6
 +$I$11/(1+D1325)^7
 + ( $I$11*(1+F1325)/(D1325-F1325) )/(1+D1325)^7</f>
        <v>511.77111637292774</v>
      </c>
      <c r="H1325" s="7">
        <f ca="1">(G1325-$C$8)/$C$9</f>
        <v>2.8284775914344626</v>
      </c>
    </row>
    <row r="1326" spans="3:8" x14ac:dyDescent="0.35">
      <c r="C1326" s="8">
        <f t="shared" ca="1" si="80"/>
        <v>0.31233167228605951</v>
      </c>
      <c r="D1326" s="7">
        <f t="shared" ca="1" si="81"/>
        <v>8.6003498719797775E-2</v>
      </c>
      <c r="E1326" s="7">
        <f t="shared" ca="1" si="82"/>
        <v>0.74118540282231815</v>
      </c>
      <c r="F1326" s="7">
        <f t="shared" ca="1" si="83"/>
        <v>2.2805354808224636E-2</v>
      </c>
      <c r="G1326" s="7">
        <f ca="1">$C$11/(1+D1326)^1
 +$D$11/(1+D1326)^2
 +$E$11/(1+D1326)^3
 +$F$11/(1+D1326)^4
 +$G$11/(1+D1326)^5
 +$H$11/(1+D1326)^6
 +$I$11/(1+D1326)^7
 + ( $I$11*(1+F1326)/(D1326-F1326) )/(1+D1326)^7</f>
        <v>417.99150619923205</v>
      </c>
      <c r="H1326" s="7">
        <f ca="1">(G1326-$C$8)/$C$9</f>
        <v>2.298289836042696</v>
      </c>
    </row>
    <row r="1327" spans="3:8" x14ac:dyDescent="0.35">
      <c r="C1327" s="8">
        <f t="shared" ca="1" si="80"/>
        <v>0.81709008493593316</v>
      </c>
      <c r="D1327" s="7">
        <f t="shared" ca="1" si="81"/>
        <v>9.8055556364988278E-2</v>
      </c>
      <c r="E1327" s="7">
        <f t="shared" ca="1" si="82"/>
        <v>0.8763403322560841</v>
      </c>
      <c r="F1327" s="7">
        <f t="shared" ca="1" si="83"/>
        <v>2.5026878892608469E-2</v>
      </c>
      <c r="G1327" s="7">
        <f ca="1">$C$11/(1+D1327)^1
 +$D$11/(1+D1327)^2
 +$E$11/(1+D1327)^3
 +$F$11/(1+D1327)^4
 +$G$11/(1+D1327)^5
 +$H$11/(1+D1327)^6
 +$I$11/(1+D1327)^7
 + ( $I$11*(1+F1327)/(D1327-F1327) )/(1+D1327)^7</f>
        <v>355.91191071063372</v>
      </c>
      <c r="H1327" s="7">
        <f ca="1">(G1327-$C$8)/$C$9</f>
        <v>1.9473197122944013</v>
      </c>
    </row>
    <row r="1328" spans="3:8" x14ac:dyDescent="0.35">
      <c r="C1328" s="8">
        <f t="shared" ca="1" si="80"/>
        <v>0.97645893628007596</v>
      </c>
      <c r="D1328" s="7">
        <f t="shared" ca="1" si="81"/>
        <v>0.10571490610353276</v>
      </c>
      <c r="E1328" s="7">
        <f t="shared" ca="1" si="82"/>
        <v>0.79897995236360586</v>
      </c>
      <c r="F1328" s="7">
        <f t="shared" ca="1" si="83"/>
        <v>2.3659336822754354E-2</v>
      </c>
      <c r="G1328" s="7">
        <f ca="1">$C$11/(1+D1328)^1
 +$D$11/(1+D1328)^2
 +$E$11/(1+D1328)^3
 +$F$11/(1+D1328)^4
 +$G$11/(1+D1328)^5
 +$H$11/(1+D1328)^6
 +$I$11/(1+D1328)^7
 + ( $I$11*(1+F1328)/(D1328-F1328) )/(1+D1328)^7</f>
        <v>317.26615580823864</v>
      </c>
      <c r="H1328" s="7">
        <f ca="1">(G1328-$C$8)/$C$9</f>
        <v>1.7288339880610506</v>
      </c>
    </row>
    <row r="1329" spans="3:8" x14ac:dyDescent="0.35">
      <c r="C1329" s="8">
        <f t="shared" ca="1" si="80"/>
        <v>0.98999836130590513</v>
      </c>
      <c r="D1329" s="7">
        <f t="shared" ca="1" si="81"/>
        <v>0.10720692316944307</v>
      </c>
      <c r="E1329" s="7">
        <f t="shared" ca="1" si="82"/>
        <v>0.2645535186387995</v>
      </c>
      <c r="F1329" s="7">
        <f t="shared" ca="1" si="83"/>
        <v>1.7273974410716597E-2</v>
      </c>
      <c r="G1329" s="7">
        <f ca="1">$C$11/(1+D1329)^1
 +$D$11/(1+D1329)^2
 +$E$11/(1+D1329)^3
 +$F$11/(1+D1329)^4
 +$G$11/(1+D1329)^5
 +$H$11/(1+D1329)^6
 +$I$11/(1+D1329)^7
 + ( $I$11*(1+F1329)/(D1329-F1329) )/(1+D1329)^7</f>
        <v>296.80047210498537</v>
      </c>
      <c r="H1329" s="7">
        <f ca="1">(G1329-$C$8)/$C$9</f>
        <v>1.6131302131670362</v>
      </c>
    </row>
    <row r="1330" spans="3:8" x14ac:dyDescent="0.35">
      <c r="C1330" s="8">
        <f t="shared" ca="1" si="80"/>
        <v>0.4381088887942125</v>
      </c>
      <c r="D1330" s="7">
        <f t="shared" ca="1" si="81"/>
        <v>8.8953872659993632E-2</v>
      </c>
      <c r="E1330" s="7">
        <f t="shared" ca="1" si="82"/>
        <v>0.72118309709122863</v>
      </c>
      <c r="F1330" s="7">
        <f t="shared" ca="1" si="83"/>
        <v>2.2532511762195118E-2</v>
      </c>
      <c r="G1330" s="7">
        <f ca="1">$C$11/(1+D1330)^1
 +$D$11/(1+D1330)^2
 +$E$11/(1+D1330)^3
 +$F$11/(1+D1330)^4
 +$G$11/(1+D1330)^5
 +$H$11/(1+D1330)^6
 +$I$11/(1+D1330)^7
 + ( $I$11*(1+F1330)/(D1330-F1330) )/(1+D1330)^7</f>
        <v>397.48779361977842</v>
      </c>
      <c r="H1330" s="7">
        <f ca="1">(G1330-$C$8)/$C$9</f>
        <v>2.1823710629792989</v>
      </c>
    </row>
    <row r="1331" spans="3:8" x14ac:dyDescent="0.35">
      <c r="C1331" s="8">
        <f t="shared" ca="1" si="80"/>
        <v>7.6370334416095087E-2</v>
      </c>
      <c r="D1331" s="7">
        <f t="shared" ca="1" si="81"/>
        <v>7.7913512129339169E-2</v>
      </c>
      <c r="E1331" s="7">
        <f t="shared" ca="1" si="82"/>
        <v>5.1351624732561052E-2</v>
      </c>
      <c r="F1331" s="7">
        <f t="shared" ca="1" si="83"/>
        <v>1.3204734770072588E-2</v>
      </c>
      <c r="G1331" s="7">
        <f ca="1">$C$11/(1+D1331)^1
 +$D$11/(1+D1331)^2
 +$E$11/(1+D1331)^3
 +$F$11/(1+D1331)^4
 +$G$11/(1+D1331)^5
 +$H$11/(1+D1331)^6
 +$I$11/(1+D1331)^7
 + ( $I$11*(1+F1331)/(D1331-F1331) )/(1+D1331)^7</f>
        <v>427.51580191527569</v>
      </c>
      <c r="H1331" s="7">
        <f ca="1">(G1331-$C$8)/$C$9</f>
        <v>2.352135922180437</v>
      </c>
    </row>
    <row r="1332" spans="3:8" x14ac:dyDescent="0.35">
      <c r="C1332" s="8">
        <f t="shared" ca="1" si="80"/>
        <v>0.3356258120713238</v>
      </c>
      <c r="D1332" s="7">
        <f t="shared" ca="1" si="81"/>
        <v>8.6589549900418811E-2</v>
      </c>
      <c r="E1332" s="7">
        <f t="shared" ca="1" si="82"/>
        <v>0.16140183992302892</v>
      </c>
      <c r="F1332" s="7">
        <f t="shared" ca="1" si="83"/>
        <v>1.5681581468623484E-2</v>
      </c>
      <c r="G1332" s="7">
        <f ca="1">$C$11/(1+D1332)^1
 +$D$11/(1+D1332)^2
 +$E$11/(1+D1332)^3
 +$F$11/(1+D1332)^4
 +$G$11/(1+D1332)^5
 +$H$11/(1+D1332)^6
 +$I$11/(1+D1332)^7
 + ( $I$11*(1+F1332)/(D1332-F1332) )/(1+D1332)^7</f>
        <v>383.81589419066358</v>
      </c>
      <c r="H1332" s="7">
        <f ca="1">(G1332-$C$8)/$C$9</f>
        <v>2.1050762900874243</v>
      </c>
    </row>
    <row r="1333" spans="3:8" x14ac:dyDescent="0.35">
      <c r="C1333" s="8">
        <f t="shared" ca="1" si="80"/>
        <v>0.99524970774263644</v>
      </c>
      <c r="D1333" s="7">
        <f t="shared" ca="1" si="81"/>
        <v>0.10807510312984213</v>
      </c>
      <c r="E1333" s="7">
        <f t="shared" ca="1" si="82"/>
        <v>0.62075668592693545</v>
      </c>
      <c r="F1333" s="7">
        <f t="shared" ca="1" si="83"/>
        <v>2.1290886221054815E-2</v>
      </c>
      <c r="G1333" s="7">
        <f ca="1">$C$11/(1+D1333)^1
 +$D$11/(1+D1333)^2
 +$E$11/(1+D1333)^3
 +$F$11/(1+D1333)^4
 +$G$11/(1+D1333)^5
 +$H$11/(1+D1333)^6
 +$I$11/(1+D1333)^7
 + ( $I$11*(1+F1333)/(D1333-F1333) )/(1+D1333)^7</f>
        <v>302.49987316283011</v>
      </c>
      <c r="H1333" s="7">
        <f ca="1">(G1333-$C$8)/$C$9</f>
        <v>1.645352064466475</v>
      </c>
    </row>
    <row r="1334" spans="3:8" x14ac:dyDescent="0.35">
      <c r="C1334" s="8">
        <f t="shared" ca="1" si="80"/>
        <v>0.49319024545625556</v>
      </c>
      <c r="D1334" s="7">
        <f t="shared" ca="1" si="81"/>
        <v>9.0110096998128317E-2</v>
      </c>
      <c r="E1334" s="7">
        <f t="shared" ca="1" si="82"/>
        <v>0.4612149998760513</v>
      </c>
      <c r="F1334" s="7">
        <f t="shared" ca="1" si="83"/>
        <v>1.960432194250121E-2</v>
      </c>
      <c r="G1334" s="7">
        <f ca="1">$C$11/(1+D1334)^1
 +$D$11/(1+D1334)^2
 +$E$11/(1+D1334)^3
 +$F$11/(1+D1334)^4
 +$G$11/(1+D1334)^5
 +$H$11/(1+D1334)^6
 +$I$11/(1+D1334)^7
 + ( $I$11*(1+F1334)/(D1334-F1334) )/(1+D1334)^7</f>
        <v>378.87040835223542</v>
      </c>
      <c r="H1334" s="7">
        <f ca="1">(G1334-$C$8)/$C$9</f>
        <v>2.0771167365006522</v>
      </c>
    </row>
    <row r="1335" spans="3:8" x14ac:dyDescent="0.35">
      <c r="C1335" s="8">
        <f t="shared" ca="1" si="80"/>
        <v>0.94228863562047904</v>
      </c>
      <c r="D1335" s="7">
        <f t="shared" ca="1" si="81"/>
        <v>0.10329068824572696</v>
      </c>
      <c r="E1335" s="7">
        <f t="shared" ca="1" si="82"/>
        <v>0.65650327208233517</v>
      </c>
      <c r="F1335" s="7">
        <f t="shared" ca="1" si="83"/>
        <v>2.1711493163208889E-2</v>
      </c>
      <c r="G1335" s="7">
        <f ca="1">$C$11/(1+D1335)^1
 +$D$11/(1+D1335)^2
 +$E$11/(1+D1335)^3
 +$F$11/(1+D1335)^4
 +$G$11/(1+D1335)^5
 +$H$11/(1+D1335)^6
 +$I$11/(1+D1335)^7
 + ( $I$11*(1+F1335)/(D1335-F1335) )/(1+D1335)^7</f>
        <v>322.10378016492302</v>
      </c>
      <c r="H1335" s="7">
        <f ca="1">(G1335-$C$8)/$C$9</f>
        <v>1.7561837413213648</v>
      </c>
    </row>
    <row r="1336" spans="3:8" x14ac:dyDescent="0.35">
      <c r="C1336" s="8">
        <f t="shared" ca="1" si="80"/>
        <v>0.87666086203538474</v>
      </c>
      <c r="D1336" s="7">
        <f t="shared" ca="1" si="81"/>
        <v>0.10019160932607189</v>
      </c>
      <c r="E1336" s="7">
        <f t="shared" ca="1" si="82"/>
        <v>0.50996807338746619</v>
      </c>
      <c r="F1336" s="7">
        <f t="shared" ca="1" si="83"/>
        <v>2.0100182561152619E-2</v>
      </c>
      <c r="G1336" s="7">
        <f ca="1">$C$11/(1+D1336)^1
 +$D$11/(1+D1336)^2
 +$E$11/(1+D1336)^3
 +$F$11/(1+D1336)^4
 +$G$11/(1+D1336)^5
 +$H$11/(1+D1336)^6
 +$I$11/(1+D1336)^7
 + ( $I$11*(1+F1336)/(D1336-F1336) )/(1+D1336)^7</f>
        <v>330.84556664105185</v>
      </c>
      <c r="H1336" s="7">
        <f ca="1">(G1336-$C$8)/$C$9</f>
        <v>1.8056058720095649</v>
      </c>
    </row>
    <row r="1337" spans="3:8" x14ac:dyDescent="0.35">
      <c r="C1337" s="8">
        <f t="shared" ca="1" si="80"/>
        <v>0.40333305816735443</v>
      </c>
      <c r="D1337" s="7">
        <f t="shared" ca="1" si="81"/>
        <v>8.8186069055659899E-2</v>
      </c>
      <c r="E1337" s="7">
        <f t="shared" ca="1" si="82"/>
        <v>0.99643228041104137</v>
      </c>
      <c r="F1337" s="7">
        <f t="shared" ca="1" si="83"/>
        <v>2.9155284711993603E-2</v>
      </c>
      <c r="G1337" s="7">
        <f ca="1">$C$11/(1+D1337)^1
 +$D$11/(1+D1337)^2
 +$E$11/(1+D1337)^3
 +$F$11/(1+D1337)^4
 +$G$11/(1+D1337)^5
 +$H$11/(1+D1337)^6
 +$I$11/(1+D1337)^7
 + ( $I$11*(1+F1337)/(D1337-F1337) )/(1+D1337)^7</f>
        <v>434.78635225916116</v>
      </c>
      <c r="H1337" s="7">
        <f ca="1">(G1337-$C$8)/$C$9</f>
        <v>2.3932403452010469</v>
      </c>
    </row>
    <row r="1338" spans="3:8" x14ac:dyDescent="0.35">
      <c r="C1338" s="8">
        <f t="shared" ca="1" si="80"/>
        <v>0.99551740440430558</v>
      </c>
      <c r="D1338" s="7">
        <f t="shared" ca="1" si="81"/>
        <v>0.1081301271260747</v>
      </c>
      <c r="E1338" s="7">
        <f t="shared" ca="1" si="82"/>
        <v>0.81326148796363651</v>
      </c>
      <c r="F1338" s="7">
        <f t="shared" ca="1" si="83"/>
        <v>2.3888723340637186E-2</v>
      </c>
      <c r="G1338" s="7">
        <f ca="1">$C$11/(1+D1338)^1
 +$D$11/(1+D1338)^2
 +$E$11/(1+D1338)^3
 +$F$11/(1+D1338)^4
 +$G$11/(1+D1338)^5
 +$H$11/(1+D1338)^6
 +$I$11/(1+D1338)^7
 + ( $I$11*(1+F1338)/(D1338-F1338) )/(1+D1338)^7</f>
        <v>308.3499961972413</v>
      </c>
      <c r="H1338" s="7">
        <f ca="1">(G1338-$C$8)/$C$9</f>
        <v>1.6784260300612917</v>
      </c>
    </row>
    <row r="1339" spans="3:8" x14ac:dyDescent="0.35">
      <c r="C1339" s="8">
        <f t="shared" ca="1" si="80"/>
        <v>0.6616026084011547</v>
      </c>
      <c r="D1339" s="7">
        <f t="shared" ca="1" si="81"/>
        <v>9.3753462970617416E-2</v>
      </c>
      <c r="E1339" s="7">
        <f t="shared" ca="1" si="82"/>
        <v>5.2614088288627792E-2</v>
      </c>
      <c r="F1339" s="7">
        <f t="shared" ca="1" si="83"/>
        <v>1.3243889279510871E-2</v>
      </c>
      <c r="G1339" s="7">
        <f ca="1">$C$11/(1+D1339)^1
 +$D$11/(1+D1339)^2
 +$E$11/(1+D1339)^3
 +$F$11/(1+D1339)^4
 +$G$11/(1+D1339)^5
 +$H$11/(1+D1339)^6
 +$I$11/(1+D1339)^7
 + ( $I$11*(1+F1339)/(D1339-F1339) )/(1+D1339)^7</f>
        <v>339.82496670631184</v>
      </c>
      <c r="H1339" s="7">
        <f ca="1">(G1339-$C$8)/$C$9</f>
        <v>1.8563713631066927</v>
      </c>
    </row>
    <row r="1340" spans="3:8" x14ac:dyDescent="0.35">
      <c r="C1340" s="8">
        <f t="shared" ca="1" si="80"/>
        <v>0.95389200977821287</v>
      </c>
      <c r="D1340" s="7">
        <f t="shared" ca="1" si="81"/>
        <v>0.10400298137630089</v>
      </c>
      <c r="E1340" s="7">
        <f t="shared" ca="1" si="82"/>
        <v>0.89833321228109086</v>
      </c>
      <c r="F1340" s="7">
        <f t="shared" ca="1" si="83"/>
        <v>2.5490747562646129E-2</v>
      </c>
      <c r="G1340" s="7">
        <f ca="1">$C$11/(1+D1340)^1
 +$D$11/(1+D1340)^2
 +$E$11/(1+D1340)^3
 +$F$11/(1+D1340)^4
 +$G$11/(1+D1340)^5
 +$H$11/(1+D1340)^6
 +$I$11/(1+D1340)^7
 + ( $I$11*(1+F1340)/(D1340-F1340) )/(1+D1340)^7</f>
        <v>329.38182032481018</v>
      </c>
      <c r="H1340" s="7">
        <f ca="1">(G1340-$C$8)/$C$9</f>
        <v>1.7973305083944491</v>
      </c>
    </row>
    <row r="1341" spans="3:8" x14ac:dyDescent="0.35">
      <c r="C1341" s="8">
        <f t="shared" ca="1" si="80"/>
        <v>0.22883262816970851</v>
      </c>
      <c r="D1341" s="7">
        <f t="shared" ca="1" si="81"/>
        <v>8.3698275625025256E-2</v>
      </c>
      <c r="E1341" s="7">
        <f t="shared" ca="1" si="82"/>
        <v>0.87100776932019519</v>
      </c>
      <c r="F1341" s="7">
        <f t="shared" ca="1" si="83"/>
        <v>2.4920782920964987E-2</v>
      </c>
      <c r="G1341" s="7">
        <f ca="1">$C$11/(1+D1341)^1
 +$D$11/(1+D1341)^2
 +$E$11/(1+D1341)^3
 +$F$11/(1+D1341)^4
 +$G$11/(1+D1341)^5
 +$H$11/(1+D1341)^6
 +$I$11/(1+D1341)^7
 + ( $I$11*(1+F1341)/(D1341-F1341) )/(1+D1341)^7</f>
        <v>445.91674989543941</v>
      </c>
      <c r="H1341" s="7">
        <f ca="1">(G1341-$C$8)/$C$9</f>
        <v>2.4561666095400239</v>
      </c>
    </row>
    <row r="1342" spans="3:8" x14ac:dyDescent="0.35">
      <c r="C1342" s="8">
        <f t="shared" ca="1" si="80"/>
        <v>0.33141269583738087</v>
      </c>
      <c r="D1342" s="7">
        <f t="shared" ca="1" si="81"/>
        <v>8.648509662048276E-2</v>
      </c>
      <c r="E1342" s="7">
        <f t="shared" ca="1" si="82"/>
        <v>0.47092440710211636</v>
      </c>
      <c r="F1342" s="7">
        <f t="shared" ca="1" si="83"/>
        <v>1.9704889562505247E-2</v>
      </c>
      <c r="G1342" s="7">
        <f ca="1">$C$11/(1+D1342)^1
 +$D$11/(1+D1342)^2
 +$E$11/(1+D1342)^3
 +$F$11/(1+D1342)^4
 +$G$11/(1+D1342)^5
 +$H$11/(1+D1342)^6
 +$I$11/(1+D1342)^7
 + ( $I$11*(1+F1342)/(D1342-F1342) )/(1+D1342)^7</f>
        <v>400.729337537687</v>
      </c>
      <c r="H1342" s="7">
        <f ca="1">(G1342-$C$8)/$C$9</f>
        <v>2.2006972949891845</v>
      </c>
    </row>
    <row r="1343" spans="3:8" x14ac:dyDescent="0.35">
      <c r="C1343" s="8">
        <f t="shared" ca="1" si="80"/>
        <v>0.40940578930688909</v>
      </c>
      <c r="D1343" s="7">
        <f t="shared" ca="1" si="81"/>
        <v>8.8322465642801717E-2</v>
      </c>
      <c r="E1343" s="7">
        <f t="shared" ca="1" si="82"/>
        <v>0.10936168822484749</v>
      </c>
      <c r="F1343" s="7">
        <f t="shared" ca="1" si="83"/>
        <v>1.4676787107082114E-2</v>
      </c>
      <c r="G1343" s="7">
        <f ca="1">$C$11/(1+D1343)^1
 +$D$11/(1+D1343)^2
 +$E$11/(1+D1343)^3
 +$F$11/(1+D1343)^4
 +$G$11/(1+D1343)^5
 +$H$11/(1+D1343)^6
 +$I$11/(1+D1343)^7
 + ( $I$11*(1+F1343)/(D1343-F1343) )/(1+D1343)^7</f>
        <v>370.66565476827873</v>
      </c>
      <c r="H1343" s="7">
        <f ca="1">(G1343-$C$8)/$C$9</f>
        <v>2.0307307483507389</v>
      </c>
    </row>
    <row r="1344" spans="3:8" x14ac:dyDescent="0.35">
      <c r="C1344" s="8">
        <f t="shared" ca="1" si="80"/>
        <v>0.4438192064471429</v>
      </c>
      <c r="D1344" s="7">
        <f t="shared" ca="1" si="81"/>
        <v>8.9076995289789671E-2</v>
      </c>
      <c r="E1344" s="7">
        <f t="shared" ca="1" si="82"/>
        <v>0.22490128115060171</v>
      </c>
      <c r="F1344" s="7">
        <f t="shared" ca="1" si="83"/>
        <v>1.6706732157326723E-2</v>
      </c>
      <c r="G1344" s="7">
        <f ca="1">$C$11/(1+D1344)^1
 +$D$11/(1+D1344)^2
 +$E$11/(1+D1344)^3
 +$F$11/(1+D1344)^4
 +$G$11/(1+D1344)^5
 +$H$11/(1+D1344)^6
 +$I$11/(1+D1344)^7
 + ( $I$11*(1+F1344)/(D1344-F1344) )/(1+D1344)^7</f>
        <v>373.85059364872654</v>
      </c>
      <c r="H1344" s="7">
        <f ca="1">(G1344-$C$8)/$C$9</f>
        <v>2.0487369609267669</v>
      </c>
    </row>
    <row r="1345" spans="3:8" x14ac:dyDescent="0.35">
      <c r="C1345" s="8">
        <f t="shared" ca="1" si="80"/>
        <v>0.87229025398851467</v>
      </c>
      <c r="D1345" s="7">
        <f t="shared" ca="1" si="81"/>
        <v>0.10001933860463354</v>
      </c>
      <c r="E1345" s="7">
        <f t="shared" ca="1" si="82"/>
        <v>0.1267645816440327</v>
      </c>
      <c r="F1345" s="7">
        <f t="shared" ca="1" si="83"/>
        <v>1.5035167954379133E-2</v>
      </c>
      <c r="G1345" s="7">
        <f ca="1">$C$11/(1+D1345)^1
 +$D$11/(1+D1345)^2
 +$E$11/(1+D1345)^3
 +$F$11/(1+D1345)^4
 +$G$11/(1+D1345)^5
 +$H$11/(1+D1345)^6
 +$I$11/(1+D1345)^7
 + ( $I$11*(1+F1345)/(D1345-F1345) )/(1+D1345)^7</f>
        <v>318.31222947536253</v>
      </c>
      <c r="H1345" s="7">
        <f ca="1">(G1345-$C$8)/$C$9</f>
        <v>1.7347480182912851</v>
      </c>
    </row>
    <row r="1346" spans="3:8" x14ac:dyDescent="0.35">
      <c r="C1346" s="8">
        <f t="shared" ca="1" si="80"/>
        <v>0.66501905891370183</v>
      </c>
      <c r="D1346" s="7">
        <f t="shared" ca="1" si="81"/>
        <v>9.3835683310225806E-2</v>
      </c>
      <c r="E1346" s="7">
        <f t="shared" ca="1" si="82"/>
        <v>8.8616791951502627E-2</v>
      </c>
      <c r="F1346" s="7">
        <f t="shared" ca="1" si="83"/>
        <v>1.4209911921917194E-2</v>
      </c>
      <c r="G1346" s="7">
        <f ca="1">$C$11/(1+D1346)^1
 +$D$11/(1+D1346)^2
 +$E$11/(1+D1346)^3
 +$F$11/(1+D1346)^4
 +$G$11/(1+D1346)^5
 +$H$11/(1+D1346)^6
 +$I$11/(1+D1346)^7
 + ( $I$11*(1+F1346)/(D1346-F1346) )/(1+D1346)^7</f>
        <v>342.23251394693398</v>
      </c>
      <c r="H1346" s="7">
        <f ca="1">(G1346-$C$8)/$C$9</f>
        <v>1.8699825528433625</v>
      </c>
    </row>
    <row r="1347" spans="3:8" x14ac:dyDescent="0.35">
      <c r="C1347" s="8">
        <f t="shared" ca="1" si="80"/>
        <v>0.27165409801529572</v>
      </c>
      <c r="D1347" s="7">
        <f t="shared" ca="1" si="81"/>
        <v>8.4925024635575733E-2</v>
      </c>
      <c r="E1347" s="7">
        <f t="shared" ca="1" si="82"/>
        <v>0.12312461259480278</v>
      </c>
      <c r="F1347" s="7">
        <f t="shared" ca="1" si="83"/>
        <v>1.4962350503436909E-2</v>
      </c>
      <c r="G1347" s="7">
        <f ca="1">$C$11/(1+D1347)^1
 +$D$11/(1+D1347)^2
 +$E$11/(1+D1347)^3
 +$F$11/(1+D1347)^4
 +$G$11/(1+D1347)^5
 +$H$11/(1+D1347)^6
 +$I$11/(1+D1347)^7
 + ( $I$11*(1+F1347)/(D1347-F1347) )/(1+D1347)^7</f>
        <v>390.6045699484884</v>
      </c>
      <c r="H1347" s="7">
        <f ca="1">(G1347-$C$8)/$C$9</f>
        <v>2.1434564108349639</v>
      </c>
    </row>
    <row r="1348" spans="3:8" x14ac:dyDescent="0.35">
      <c r="C1348" s="8">
        <f t="shared" ca="1" si="80"/>
        <v>0.75068683997402386</v>
      </c>
      <c r="D1348" s="7">
        <f t="shared" ca="1" si="81"/>
        <v>9.6054955546135343E-2</v>
      </c>
      <c r="E1348" s="7">
        <f t="shared" ca="1" si="82"/>
        <v>0.99858842424406868</v>
      </c>
      <c r="F1348" s="7">
        <f t="shared" ca="1" si="83"/>
        <v>2.9468666628954792E-2</v>
      </c>
      <c r="G1348" s="7">
        <f ca="1">$C$11/(1+D1348)^1
 +$D$11/(1+D1348)^2
 +$E$11/(1+D1348)^3
 +$F$11/(1+D1348)^4
 +$G$11/(1+D1348)^5
 +$H$11/(1+D1348)^6
 +$I$11/(1+D1348)^7
 + ( $I$11*(1+F1348)/(D1348-F1348) )/(1+D1348)^7</f>
        <v>383.41957074064635</v>
      </c>
      <c r="H1348" s="7">
        <f ca="1">(G1348-$C$8)/$C$9</f>
        <v>2.1028356554762908</v>
      </c>
    </row>
    <row r="1349" spans="3:8" x14ac:dyDescent="0.35">
      <c r="C1349" s="8">
        <f t="shared" ca="1" si="80"/>
        <v>0.86343262955174482</v>
      </c>
      <c r="D1349" s="7">
        <f t="shared" ca="1" si="81"/>
        <v>9.9679023837366987E-2</v>
      </c>
      <c r="E1349" s="7">
        <f t="shared" ca="1" si="82"/>
        <v>0.10242355421282334</v>
      </c>
      <c r="F1349" s="7">
        <f t="shared" ca="1" si="83"/>
        <v>1.4526003849154867E-2</v>
      </c>
      <c r="G1349" s="7">
        <f ca="1">$C$11/(1+D1349)^1
 +$D$11/(1+D1349)^2
 +$E$11/(1+D1349)^3
 +$F$11/(1+D1349)^4
 +$G$11/(1+D1349)^5
 +$H$11/(1+D1349)^6
 +$I$11/(1+D1349)^7
 + ( $I$11*(1+F1349)/(D1349-F1349) )/(1+D1349)^7</f>
        <v>318.4007057602646</v>
      </c>
      <c r="H1349" s="7">
        <f ca="1">(G1349-$C$8)/$C$9</f>
        <v>1.7352482234298088</v>
      </c>
    </row>
    <row r="1350" spans="3:8" x14ac:dyDescent="0.35">
      <c r="C1350" s="8">
        <f t="shared" ca="1" si="80"/>
        <v>0.99763579859648255</v>
      </c>
      <c r="D1350" s="7">
        <f t="shared" ca="1" si="81"/>
        <v>0.10864203199789406</v>
      </c>
      <c r="E1350" s="7">
        <f t="shared" ca="1" si="82"/>
        <v>0.87953656028210536</v>
      </c>
      <c r="F1350" s="7">
        <f t="shared" ca="1" si="83"/>
        <v>2.5091569706761751E-2</v>
      </c>
      <c r="G1350" s="7">
        <f ca="1">$C$11/(1+D1350)^1
 +$D$11/(1+D1350)^2
 +$E$11/(1+D1350)^3
 +$F$11/(1+D1350)^4
 +$G$11/(1+D1350)^5
 +$H$11/(1+D1350)^6
 +$I$11/(1+D1350)^7
 + ( $I$11*(1+F1350)/(D1350-F1350) )/(1+D1350)^7</f>
        <v>309.29173617489062</v>
      </c>
      <c r="H1350" s="7">
        <f ca="1">(G1350-$C$8)/$C$9</f>
        <v>1.6837502045165682</v>
      </c>
    </row>
    <row r="1351" spans="3:8" x14ac:dyDescent="0.35">
      <c r="C1351" s="8">
        <f t="shared" ca="1" si="80"/>
        <v>0.62229809987484908</v>
      </c>
      <c r="D1351" s="7">
        <f t="shared" ca="1" si="81"/>
        <v>9.2835866404108319E-2</v>
      </c>
      <c r="E1351" s="7">
        <f t="shared" ca="1" si="82"/>
        <v>0.39367260924823866</v>
      </c>
      <c r="F1351" s="7">
        <f t="shared" ca="1" si="83"/>
        <v>1.8873247536818058E-2</v>
      </c>
      <c r="G1351" s="7">
        <f ca="1">$C$11/(1+D1351)^1
 +$D$11/(1+D1351)^2
 +$E$11/(1+D1351)^3
 +$F$11/(1+D1351)^4
 +$G$11/(1+D1351)^5
 +$H$11/(1+D1351)^6
 +$I$11/(1+D1351)^7
 + ( $I$11*(1+F1351)/(D1351-F1351) )/(1+D1351)^7</f>
        <v>361.66492354572949</v>
      </c>
      <c r="H1351" s="7">
        <f ca="1">(G1351-$C$8)/$C$9</f>
        <v>1.9798446604801532</v>
      </c>
    </row>
    <row r="1352" spans="3:8" x14ac:dyDescent="0.35">
      <c r="C1352" s="8">
        <f t="shared" ca="1" si="80"/>
        <v>0.64789522703810076</v>
      </c>
      <c r="D1352" s="7">
        <f t="shared" ca="1" si="81"/>
        <v>9.3427682029653139E-2</v>
      </c>
      <c r="E1352" s="7">
        <f t="shared" ca="1" si="82"/>
        <v>0.92471454256171381</v>
      </c>
      <c r="F1352" s="7">
        <f t="shared" ca="1" si="83"/>
        <v>2.6119653174308095E-2</v>
      </c>
      <c r="G1352" s="7">
        <f ca="1">$C$11/(1+D1352)^1
 +$D$11/(1+D1352)^2
 +$E$11/(1+D1352)^3
 +$F$11/(1+D1352)^4
 +$G$11/(1+D1352)^5
 +$H$11/(1+D1352)^6
 +$I$11/(1+D1352)^7
 + ( $I$11*(1+F1352)/(D1352-F1352) )/(1+D1352)^7</f>
        <v>385.32308588901992</v>
      </c>
      <c r="H1352" s="7">
        <f ca="1">(G1352-$C$8)/$C$9</f>
        <v>2.1135972743612612</v>
      </c>
    </row>
    <row r="1353" spans="3:8" x14ac:dyDescent="0.35">
      <c r="C1353" s="8">
        <f t="shared" ca="1" si="80"/>
        <v>0.30576016997622901</v>
      </c>
      <c r="D1353" s="7">
        <f t="shared" ca="1" si="81"/>
        <v>8.5834245778707241E-2</v>
      </c>
      <c r="E1353" s="7">
        <f t="shared" ca="1" si="82"/>
        <v>0.75685537681758797</v>
      </c>
      <c r="F1353" s="7">
        <f t="shared" ca="1" si="83"/>
        <v>2.3026555755117674E-2</v>
      </c>
      <c r="G1353" s="7">
        <f ca="1">$C$11/(1+D1353)^1
 +$D$11/(1+D1353)^2
 +$E$11/(1+D1353)^3
 +$F$11/(1+D1353)^4
 +$G$11/(1+D1353)^5
 +$H$11/(1+D1353)^6
 +$I$11/(1+D1353)^7
 + ( $I$11*(1+F1353)/(D1353-F1353) )/(1+D1353)^7</f>
        <v>420.23111518063968</v>
      </c>
      <c r="H1353" s="7">
        <f ca="1">(G1353-$C$8)/$C$9</f>
        <v>2.3109515783618253</v>
      </c>
    </row>
    <row r="1354" spans="3:8" x14ac:dyDescent="0.35">
      <c r="C1354" s="8">
        <f t="shared" ca="1" si="80"/>
        <v>6.2208336224866212E-2</v>
      </c>
      <c r="D1354" s="7">
        <f t="shared" ca="1" si="81"/>
        <v>7.7142187039303187E-2</v>
      </c>
      <c r="E1354" s="7">
        <f t="shared" ca="1" si="82"/>
        <v>0.2967262971443726</v>
      </c>
      <c r="F1354" s="7">
        <f t="shared" ca="1" si="83"/>
        <v>1.7703587438906272E-2</v>
      </c>
      <c r="G1354" s="7">
        <f ca="1">$C$11/(1+D1354)^1
 +$D$11/(1+D1354)^2
 +$E$11/(1+D1354)^3
 +$F$11/(1+D1354)^4
 +$G$11/(1+D1354)^5
 +$H$11/(1+D1354)^6
 +$I$11/(1+D1354)^7
 + ( $I$11*(1+F1354)/(D1354-F1354) )/(1+D1354)^7</f>
        <v>456.8244465849528</v>
      </c>
      <c r="H1354" s="7">
        <f ca="1">(G1354-$C$8)/$C$9</f>
        <v>2.5178338228457302</v>
      </c>
    </row>
    <row r="1355" spans="3:8" x14ac:dyDescent="0.35">
      <c r="C1355" s="8">
        <f t="shared" ca="1" si="80"/>
        <v>0.14111618900425793</v>
      </c>
      <c r="D1355" s="7">
        <f t="shared" ca="1" si="81"/>
        <v>8.0757103466244595E-2</v>
      </c>
      <c r="E1355" s="7">
        <f t="shared" ca="1" si="82"/>
        <v>0.61194679554765208</v>
      </c>
      <c r="F1355" s="7">
        <f t="shared" ca="1" si="83"/>
        <v>2.1190309830052503E-2</v>
      </c>
      <c r="G1355" s="7">
        <f ca="1">$C$11/(1+D1355)^1
 +$D$11/(1+D1355)^2
 +$E$11/(1+D1355)^3
 +$F$11/(1+D1355)^4
 +$G$11/(1+D1355)^5
 +$H$11/(1+D1355)^6
 +$I$11/(1+D1355)^7
 + ( $I$11*(1+F1355)/(D1355-F1355) )/(1+D1355)^7</f>
        <v>447.98743857041291</v>
      </c>
      <c r="H1355" s="7">
        <f ca="1">(G1355-$C$8)/$C$9</f>
        <v>2.4678733523881324</v>
      </c>
    </row>
    <row r="1356" spans="3:8" x14ac:dyDescent="0.35">
      <c r="C1356" s="8">
        <f t="shared" ca="1" si="80"/>
        <v>0.19820807919535144</v>
      </c>
      <c r="D1356" s="7">
        <f t="shared" ca="1" si="81"/>
        <v>8.2748749936373697E-2</v>
      </c>
      <c r="E1356" s="7">
        <f t="shared" ca="1" si="82"/>
        <v>0.63257386365385404</v>
      </c>
      <c r="F1356" s="7">
        <f t="shared" ca="1" si="83"/>
        <v>2.142764750670919E-2</v>
      </c>
      <c r="G1356" s="7">
        <f ca="1">$C$11/(1+D1356)^1
 +$D$11/(1+D1356)^2
 +$E$11/(1+D1356)^3
 +$F$11/(1+D1356)^4
 +$G$11/(1+D1356)^5
 +$H$11/(1+D1356)^6
 +$I$11/(1+D1356)^7
 + ( $I$11*(1+F1356)/(D1356-F1356) )/(1+D1356)^7</f>
        <v>434.19460283265346</v>
      </c>
      <c r="H1356" s="7">
        <f ca="1">(G1356-$C$8)/$C$9</f>
        <v>2.389894859976557</v>
      </c>
    </row>
    <row r="1357" spans="3:8" x14ac:dyDescent="0.35">
      <c r="C1357" s="8">
        <f t="shared" ca="1" si="80"/>
        <v>0.88211994380858438</v>
      </c>
      <c r="D1357" s="7">
        <f t="shared" ca="1" si="81"/>
        <v>0.10041112916818126</v>
      </c>
      <c r="E1357" s="7">
        <f t="shared" ca="1" si="82"/>
        <v>0.64301095090341254</v>
      </c>
      <c r="F1357" s="7">
        <f t="shared" ca="1" si="83"/>
        <v>2.1550277530041743E-2</v>
      </c>
      <c r="G1357" s="7">
        <f ca="1">$C$11/(1+D1357)^1
 +$D$11/(1+D1357)^2
 +$E$11/(1+D1357)^3
 +$F$11/(1+D1357)^4
 +$G$11/(1+D1357)^5
 +$H$11/(1+D1357)^6
 +$I$11/(1+D1357)^7
 + ( $I$11*(1+F1357)/(D1357-F1357) )/(1+D1357)^7</f>
        <v>333.96759474900665</v>
      </c>
      <c r="H1357" s="7">
        <f ca="1">(G1357-$C$8)/$C$9</f>
        <v>1.823256415360734</v>
      </c>
    </row>
    <row r="1358" spans="3:8" x14ac:dyDescent="0.35">
      <c r="C1358" s="8">
        <f t="shared" ca="1" si="80"/>
        <v>0.21724941244951868</v>
      </c>
      <c r="D1358" s="7">
        <f t="shared" ca="1" si="81"/>
        <v>8.3347079014099129E-2</v>
      </c>
      <c r="E1358" s="7">
        <f t="shared" ca="1" si="82"/>
        <v>0.77870107494187435</v>
      </c>
      <c r="F1358" s="7">
        <f t="shared" ca="1" si="83"/>
        <v>2.3347197206317841E-2</v>
      </c>
      <c r="G1358" s="7">
        <f ca="1">$C$11/(1+D1358)^1
 +$D$11/(1+D1358)^2
 +$E$11/(1+D1358)^3
 +$F$11/(1+D1358)^4
 +$G$11/(1+D1358)^5
 +$H$11/(1+D1358)^6
 +$I$11/(1+D1358)^7
 + ( $I$11*(1+F1358)/(D1358-F1358) )/(1+D1358)^7</f>
        <v>439.926107694302</v>
      </c>
      <c r="H1358" s="7">
        <f ca="1">(G1358-$C$8)/$C$9</f>
        <v>2.4222982117497849</v>
      </c>
    </row>
    <row r="1359" spans="3:8" x14ac:dyDescent="0.35">
      <c r="C1359" s="8">
        <f t="shared" ca="1" si="80"/>
        <v>0.90025333321186862</v>
      </c>
      <c r="D1359" s="7">
        <f t="shared" ca="1" si="81"/>
        <v>0.1011794331194224</v>
      </c>
      <c r="E1359" s="7">
        <f t="shared" ca="1" si="82"/>
        <v>8.5123207839340909E-2</v>
      </c>
      <c r="F1359" s="7">
        <f t="shared" ca="1" si="83"/>
        <v>1.4126092772571671E-2</v>
      </c>
      <c r="G1359" s="7">
        <f ca="1">$C$11/(1+D1359)^1
 +$D$11/(1+D1359)^2
 +$E$11/(1+D1359)^3
 +$F$11/(1+D1359)^4
 +$G$11/(1+D1359)^5
 +$H$11/(1+D1359)^6
 +$I$11/(1+D1359)^7
 + ( $I$11*(1+F1359)/(D1359-F1359) )/(1+D1359)^7</f>
        <v>311.65029884937542</v>
      </c>
      <c r="H1359" s="7">
        <f ca="1">(G1359-$C$8)/$C$9</f>
        <v>1.6970844575383051</v>
      </c>
    </row>
    <row r="1360" spans="3:8" x14ac:dyDescent="0.35">
      <c r="C1360" s="8">
        <f t="shared" ca="1" si="80"/>
        <v>6.7334108327765652E-4</v>
      </c>
      <c r="D1360" s="7">
        <f t="shared" ca="1" si="81"/>
        <v>7.0743061025951223E-2</v>
      </c>
      <c r="E1360" s="7">
        <f t="shared" ca="1" si="82"/>
        <v>0.37311979051821687</v>
      </c>
      <c r="F1360" s="7">
        <f t="shared" ca="1" si="83"/>
        <v>1.8638515966509721E-2</v>
      </c>
      <c r="G1360" s="7">
        <f ca="1">$C$11/(1+D1360)^1
 +$D$11/(1+D1360)^2
 +$E$11/(1+D1360)^3
 +$F$11/(1+D1360)^4
 +$G$11/(1+D1360)^5
 +$H$11/(1+D1360)^6
 +$I$11/(1+D1360)^7
 + ( $I$11*(1+F1360)/(D1360-F1360) )/(1+D1360)^7</f>
        <v>521.23382502483901</v>
      </c>
      <c r="H1360" s="7">
        <f ca="1">(G1360-$C$8)/$C$9</f>
        <v>2.8819754919993157</v>
      </c>
    </row>
    <row r="1361" spans="3:8" x14ac:dyDescent="0.35">
      <c r="C1361" s="8">
        <f t="shared" ref="C1361:C1424" ca="1" si="84">RAND()</f>
        <v>0.83946413705016376</v>
      </c>
      <c r="D1361" s="7">
        <f t="shared" ref="D1361:D1424" ca="1" si="85">IF(C1361&lt;(0.0905-0.07)/(0.11-0.07),
 0.07+SQRT(C1361*(0.11-0.07)*(0.0905-0.07)),
 0.11-SQRT((1-C1361)*(0.11-0.07)*(0.11-0.0905))
)</f>
        <v>9.880991630501039E-2</v>
      </c>
      <c r="E1361" s="7">
        <f t="shared" ref="E1361:E1424" ca="1" si="86">RAND()</f>
        <v>2.216424133088668E-2</v>
      </c>
      <c r="F1361" s="7">
        <f t="shared" ref="F1361:F1424" ca="1" si="87">MIN(
 IF(E1361&lt;(0.02-0.01)/(0.03-0.01),
   0.01+SQRT(E1361*(0.03-0.01)*(0.02-0.01)),
   0.03-SQRT((1-E1361)*(0.03-0.01)*(0.03-0.02))
 ),
 D1361-0.005
)</f>
        <v>1.2105433035310632E-2</v>
      </c>
      <c r="G1361" s="7">
        <f ca="1">$C$11/(1+D1361)^1
 +$D$11/(1+D1361)^2
 +$E$11/(1+D1361)^3
 +$F$11/(1+D1361)^4
 +$G$11/(1+D1361)^5
 +$H$11/(1+D1361)^6
 +$I$11/(1+D1361)^7
 + ( $I$11*(1+F1361)/(D1361-F1361) )/(1+D1361)^7</f>
        <v>315.92570820091674</v>
      </c>
      <c r="H1361" s="7">
        <f ca="1">(G1361-$C$8)/$C$9</f>
        <v>1.7212556999147259</v>
      </c>
    </row>
    <row r="1362" spans="3:8" x14ac:dyDescent="0.35">
      <c r="C1362" s="8">
        <f t="shared" ca="1" si="84"/>
        <v>7.7244111711180952E-2</v>
      </c>
      <c r="D1362" s="7">
        <f t="shared" ca="1" si="85"/>
        <v>7.7958653881352577E-2</v>
      </c>
      <c r="E1362" s="7">
        <f t="shared" ca="1" si="86"/>
        <v>0.92314004976951569</v>
      </c>
      <c r="F1362" s="7">
        <f t="shared" ca="1" si="87"/>
        <v>2.6079287048750333E-2</v>
      </c>
      <c r="G1362" s="7">
        <f ca="1">$C$11/(1+D1362)^1
 +$D$11/(1+D1362)^2
 +$E$11/(1+D1362)^3
 +$F$11/(1+D1362)^4
 +$G$11/(1+D1362)^5
 +$H$11/(1+D1362)^6
 +$I$11/(1+D1362)^7
 + ( $I$11*(1+F1362)/(D1362-F1362) )/(1+D1362)^7</f>
        <v>504.2692182143731</v>
      </c>
      <c r="H1362" s="7">
        <f ca="1">(G1362-$C$8)/$C$9</f>
        <v>2.7860652318768264</v>
      </c>
    </row>
    <row r="1363" spans="3:8" x14ac:dyDescent="0.35">
      <c r="C1363" s="8">
        <f t="shared" ca="1" si="84"/>
        <v>5.0968837225559338E-2</v>
      </c>
      <c r="D1363" s="7">
        <f t="shared" ca="1" si="85"/>
        <v>7.646486245212987E-2</v>
      </c>
      <c r="E1363" s="7">
        <f t="shared" ca="1" si="86"/>
        <v>0.5916860475167256</v>
      </c>
      <c r="F1363" s="7">
        <f t="shared" ca="1" si="87"/>
        <v>2.0963253323421374E-2</v>
      </c>
      <c r="G1363" s="7">
        <f ca="1">$C$11/(1+D1363)^1
 +$D$11/(1+D1363)^2
 +$E$11/(1+D1363)^3
 +$F$11/(1+D1363)^4
 +$G$11/(1+D1363)^5
 +$H$11/(1+D1363)^6
 +$I$11/(1+D1363)^7
 + ( $I$11*(1+F1363)/(D1363-F1363) )/(1+D1363)^7</f>
        <v>482.56498203893136</v>
      </c>
      <c r="H1363" s="7">
        <f ca="1">(G1363-$C$8)/$C$9</f>
        <v>2.6633592381215023</v>
      </c>
    </row>
    <row r="1364" spans="3:8" x14ac:dyDescent="0.35">
      <c r="C1364" s="8">
        <f t="shared" ca="1" si="84"/>
        <v>0.23583590117575071</v>
      </c>
      <c r="D1364" s="7">
        <f t="shared" ca="1" si="85"/>
        <v>8.3906309322178754E-2</v>
      </c>
      <c r="E1364" s="7">
        <f t="shared" ca="1" si="86"/>
        <v>0.77418751620967252</v>
      </c>
      <c r="F1364" s="7">
        <f t="shared" ca="1" si="87"/>
        <v>2.32796951886045E-2</v>
      </c>
      <c r="G1364" s="7">
        <f ca="1">$C$11/(1+D1364)^1
 +$D$11/(1+D1364)^2
 +$E$11/(1+D1364)^3
 +$F$11/(1+D1364)^4
 +$G$11/(1+D1364)^5
 +$H$11/(1+D1364)^6
 +$I$11/(1+D1364)^7
 + ( $I$11*(1+F1364)/(D1364-F1364) )/(1+D1364)^7</f>
        <v>435.36330696701015</v>
      </c>
      <c r="H1364" s="7">
        <f ca="1">(G1364-$C$8)/$C$9</f>
        <v>2.3965021877375063</v>
      </c>
    </row>
    <row r="1365" spans="3:8" x14ac:dyDescent="0.35">
      <c r="C1365" s="8">
        <f t="shared" ca="1" si="84"/>
        <v>0.69133903444874389</v>
      </c>
      <c r="D1365" s="7">
        <f t="shared" ca="1" si="85"/>
        <v>9.4483700404736318E-2</v>
      </c>
      <c r="E1365" s="7">
        <f t="shared" ca="1" si="86"/>
        <v>0.44909161992667146</v>
      </c>
      <c r="F1365" s="7">
        <f t="shared" ca="1" si="87"/>
        <v>1.9477252976750924E-2</v>
      </c>
      <c r="G1365" s="7">
        <f ca="1">$C$11/(1+D1365)^1
 +$D$11/(1+D1365)^2
 +$E$11/(1+D1365)^3
 +$F$11/(1+D1365)^4
 +$G$11/(1+D1365)^5
 +$H$11/(1+D1365)^6
 +$I$11/(1+D1365)^7
 + ( $I$11*(1+F1365)/(D1365-F1365) )/(1+D1365)^7</f>
        <v>355.38228534074182</v>
      </c>
      <c r="H1365" s="7">
        <f ca="1">(G1365-$C$8)/$C$9</f>
        <v>1.9443254485568848</v>
      </c>
    </row>
    <row r="1366" spans="3:8" x14ac:dyDescent="0.35">
      <c r="C1366" s="8">
        <f t="shared" ca="1" si="84"/>
        <v>0.43128368906773251</v>
      </c>
      <c r="D1366" s="7">
        <f t="shared" ca="1" si="85"/>
        <v>8.8805654070931453E-2</v>
      </c>
      <c r="E1366" s="7">
        <f t="shared" ca="1" si="86"/>
        <v>0.92464863886985627</v>
      </c>
      <c r="F1366" s="7">
        <f t="shared" ca="1" si="87"/>
        <v>2.6117955148890117E-2</v>
      </c>
      <c r="G1366" s="7">
        <f ca="1">$C$11/(1+D1366)^1
 +$D$11/(1+D1366)^2
 +$E$11/(1+D1366)^3
 +$F$11/(1+D1366)^4
 +$G$11/(1+D1366)^5
 +$H$11/(1+D1366)^6
 +$I$11/(1+D1366)^7
 + ( $I$11*(1+F1366)/(D1366-F1366) )/(1+D1366)^7</f>
        <v>414.75369157051574</v>
      </c>
      <c r="H1366" s="7">
        <f ca="1">(G1366-$C$8)/$C$9</f>
        <v>2.2799846877573255</v>
      </c>
    </row>
    <row r="1367" spans="3:8" x14ac:dyDescent="0.35">
      <c r="C1367" s="8">
        <f t="shared" ca="1" si="84"/>
        <v>0.5101302694849269</v>
      </c>
      <c r="D1367" s="7">
        <f t="shared" ca="1" si="85"/>
        <v>9.0452550476105426E-2</v>
      </c>
      <c r="E1367" s="7">
        <f t="shared" ca="1" si="86"/>
        <v>0.32466416701742762</v>
      </c>
      <c r="F1367" s="7">
        <f t="shared" ca="1" si="87"/>
        <v>1.8058091176171034E-2</v>
      </c>
      <c r="G1367" s="7">
        <f ca="1">$C$11/(1+D1367)^1
 +$D$11/(1+D1367)^2
 +$E$11/(1+D1367)^3
 +$F$11/(1+D1367)^4
 +$G$11/(1+D1367)^5
 +$H$11/(1+D1367)^6
 +$I$11/(1+D1367)^7
 + ( $I$11*(1+F1367)/(D1367-F1367) )/(1+D1367)^7</f>
        <v>371.3031168022286</v>
      </c>
      <c r="H1367" s="7">
        <f ca="1">(G1367-$C$8)/$C$9</f>
        <v>2.0343346721066746</v>
      </c>
    </row>
    <row r="1368" spans="3:8" x14ac:dyDescent="0.35">
      <c r="C1368" s="8">
        <f t="shared" ca="1" si="84"/>
        <v>7.8751313263020983E-2</v>
      </c>
      <c r="D1368" s="7">
        <f t="shared" ca="1" si="85"/>
        <v>7.8035924145714503E-2</v>
      </c>
      <c r="E1368" s="7">
        <f t="shared" ca="1" si="86"/>
        <v>0.47225206941611364</v>
      </c>
      <c r="F1368" s="7">
        <f t="shared" ca="1" si="87"/>
        <v>1.9718560278314E-2</v>
      </c>
      <c r="G1368" s="7">
        <f ca="1">$C$11/(1+D1368)^1
 +$D$11/(1+D1368)^2
 +$E$11/(1+D1368)^3
 +$F$11/(1+D1368)^4
 +$G$11/(1+D1368)^5
 +$H$11/(1+D1368)^6
 +$I$11/(1+D1368)^7
 + ( $I$11*(1+F1368)/(D1368-F1368) )/(1+D1368)^7</f>
        <v>461.30155727129545</v>
      </c>
      <c r="H1368" s="7">
        <f ca="1">(G1368-$C$8)/$C$9</f>
        <v>2.5431453938901822</v>
      </c>
    </row>
    <row r="1369" spans="3:8" x14ac:dyDescent="0.35">
      <c r="C1369" s="8">
        <f t="shared" ca="1" si="84"/>
        <v>0.77411081345961075</v>
      </c>
      <c r="D1369" s="7">
        <f t="shared" ca="1" si="85"/>
        <v>9.6726207568991307E-2</v>
      </c>
      <c r="E1369" s="7">
        <f t="shared" ca="1" si="86"/>
        <v>0.22673616468319968</v>
      </c>
      <c r="F1369" s="7">
        <f t="shared" ca="1" si="87"/>
        <v>1.6734035412487816E-2</v>
      </c>
      <c r="G1369" s="7">
        <f ca="1">$C$11/(1+D1369)^1
 +$D$11/(1+D1369)^2
 +$E$11/(1+D1369)^3
 +$F$11/(1+D1369)^4
 +$G$11/(1+D1369)^5
 +$H$11/(1+D1369)^6
 +$I$11/(1+D1369)^7
 + ( $I$11*(1+F1369)/(D1369-F1369) )/(1+D1369)^7</f>
        <v>336.55375525341088</v>
      </c>
      <c r="H1369" s="7">
        <f ca="1">(G1369-$C$8)/$C$9</f>
        <v>1.8378774041916037</v>
      </c>
    </row>
    <row r="1370" spans="3:8" x14ac:dyDescent="0.35">
      <c r="C1370" s="8">
        <f t="shared" ca="1" si="84"/>
        <v>0.57382202201397703</v>
      </c>
      <c r="D1370" s="7">
        <f t="shared" ca="1" si="85"/>
        <v>9.1767643519580416E-2</v>
      </c>
      <c r="E1370" s="7">
        <f t="shared" ca="1" si="86"/>
        <v>0.49090610982041116</v>
      </c>
      <c r="F1370" s="7">
        <f t="shared" ca="1" si="87"/>
        <v>1.9908643800444249E-2</v>
      </c>
      <c r="G1370" s="7">
        <f ca="1">$C$11/(1+D1370)^1
 +$D$11/(1+D1370)^2
 +$E$11/(1+D1370)^3
 +$F$11/(1+D1370)^4
 +$G$11/(1+D1370)^5
 +$H$11/(1+D1370)^6
 +$I$11/(1+D1370)^7
 + ( $I$11*(1+F1370)/(D1370-F1370) )/(1+D1370)^7</f>
        <v>370.88794588652542</v>
      </c>
      <c r="H1370" s="7">
        <f ca="1">(G1370-$C$8)/$C$9</f>
        <v>2.0319874823978141</v>
      </c>
    </row>
    <row r="1371" spans="3:8" x14ac:dyDescent="0.35">
      <c r="C1371" s="8">
        <f t="shared" ca="1" si="84"/>
        <v>0.20014153306658922</v>
      </c>
      <c r="D1371" s="7">
        <f t="shared" ca="1" si="85"/>
        <v>8.2810778942539104E-2</v>
      </c>
      <c r="E1371" s="7">
        <f t="shared" ca="1" si="86"/>
        <v>0.19224978184525754</v>
      </c>
      <c r="F1371" s="7">
        <f t="shared" ca="1" si="87"/>
        <v>1.6200802881002709E-2</v>
      </c>
      <c r="G1371" s="7">
        <f ca="1">$C$11/(1+D1371)^1
 +$D$11/(1+D1371)^2
 +$E$11/(1+D1371)^3
 +$F$11/(1+D1371)^4
 +$G$11/(1+D1371)^5
 +$H$11/(1+D1371)^6
 +$I$11/(1+D1371)^7
 + ( $I$11*(1+F1371)/(D1371-F1371) )/(1+D1371)^7</f>
        <v>408.71669667462868</v>
      </c>
      <c r="H1371" s="7">
        <f ca="1">(G1371-$C$8)/$C$9</f>
        <v>2.2458542326697684</v>
      </c>
    </row>
    <row r="1372" spans="3:8" x14ac:dyDescent="0.35">
      <c r="C1372" s="8">
        <f t="shared" ca="1" si="84"/>
        <v>0.30510316316351971</v>
      </c>
      <c r="D1372" s="7">
        <f t="shared" ca="1" si="85"/>
        <v>8.5817224592010008E-2</v>
      </c>
      <c r="E1372" s="7">
        <f t="shared" ca="1" si="86"/>
        <v>0.84376458819275779</v>
      </c>
      <c r="F1372" s="7">
        <f t="shared" ca="1" si="87"/>
        <v>2.4410091023867344E-2</v>
      </c>
      <c r="G1372" s="7">
        <f ca="1">$C$11/(1+D1372)^1
 +$D$11/(1+D1372)^2
 +$E$11/(1+D1372)^3
 +$F$11/(1+D1372)^4
 +$G$11/(1+D1372)^5
 +$H$11/(1+D1372)^6
 +$I$11/(1+D1372)^7
 + ( $I$11*(1+F1372)/(D1372-F1372) )/(1+D1372)^7</f>
        <v>427.25693557709877</v>
      </c>
      <c r="H1372" s="7">
        <f ca="1">(G1372-$C$8)/$C$9</f>
        <v>2.3506724082830095</v>
      </c>
    </row>
    <row r="1373" spans="3:8" x14ac:dyDescent="0.35">
      <c r="C1373" s="8">
        <f t="shared" ca="1" si="84"/>
        <v>0.60189354371391812</v>
      </c>
      <c r="D1373" s="7">
        <f t="shared" ca="1" si="85"/>
        <v>9.2378336176650519E-2</v>
      </c>
      <c r="E1373" s="7">
        <f t="shared" ca="1" si="86"/>
        <v>0.87064272902258666</v>
      </c>
      <c r="F1373" s="7">
        <f t="shared" ca="1" si="87"/>
        <v>2.4913601058166722E-2</v>
      </c>
      <c r="G1373" s="7">
        <f ca="1">$C$11/(1+D1373)^1
 +$D$11/(1+D1373)^2
 +$E$11/(1+D1373)^3
 +$F$11/(1+D1373)^4
 +$G$11/(1+D1373)^5
 +$H$11/(1+D1373)^6
 +$I$11/(1+D1373)^7
 + ( $I$11*(1+F1373)/(D1373-F1373) )/(1+D1373)^7</f>
        <v>386.63478847571855</v>
      </c>
      <c r="H1373" s="7">
        <f ca="1">(G1373-$C$8)/$C$9</f>
        <v>2.1210130510838905</v>
      </c>
    </row>
    <row r="1374" spans="3:8" x14ac:dyDescent="0.35">
      <c r="C1374" s="8">
        <f t="shared" ca="1" si="84"/>
        <v>2.0921804919339926E-2</v>
      </c>
      <c r="D1374" s="7">
        <f t="shared" ca="1" si="85"/>
        <v>7.4141965720990313E-2</v>
      </c>
      <c r="E1374" s="7">
        <f t="shared" ca="1" si="86"/>
        <v>0.10426852813237619</v>
      </c>
      <c r="F1374" s="7">
        <f t="shared" ca="1" si="87"/>
        <v>1.4566585773471821E-2</v>
      </c>
      <c r="G1374" s="7">
        <f ca="1">$C$11/(1+D1374)^1
 +$D$11/(1+D1374)^2
 +$E$11/(1+D1374)^3
 +$F$11/(1+D1374)^4
 +$G$11/(1+D1374)^5
 +$H$11/(1+D1374)^6
 +$I$11/(1+D1374)^7
 + ( $I$11*(1+F1374)/(D1374-F1374) )/(1+D1374)^7</f>
        <v>462.91080979856036</v>
      </c>
      <c r="H1374" s="7">
        <f ca="1">(G1374-$C$8)/$C$9</f>
        <v>2.5522433842071481</v>
      </c>
    </row>
    <row r="1375" spans="3:8" x14ac:dyDescent="0.35">
      <c r="C1375" s="8">
        <f t="shared" ca="1" si="84"/>
        <v>0.92883341623484028</v>
      </c>
      <c r="D1375" s="7">
        <f t="shared" ca="1" si="85"/>
        <v>0.10254950100081715</v>
      </c>
      <c r="E1375" s="7">
        <f t="shared" ca="1" si="86"/>
        <v>0.93966541647830348</v>
      </c>
      <c r="F1375" s="7">
        <f t="shared" ca="1" si="87"/>
        <v>2.6526253218160642E-2</v>
      </c>
      <c r="G1375" s="7">
        <f ca="1">$C$11/(1+D1375)^1
 +$D$11/(1+D1375)^2
 +$E$11/(1+D1375)^3
 +$F$11/(1+D1375)^4
 +$G$11/(1+D1375)^5
 +$H$11/(1+D1375)^6
 +$I$11/(1+D1375)^7
 + ( $I$11*(1+F1375)/(D1375-F1375) )/(1+D1375)^7</f>
        <v>338.95186794989786</v>
      </c>
      <c r="H1375" s="7">
        <f ca="1">(G1375-$C$8)/$C$9</f>
        <v>1.8514352552572244</v>
      </c>
    </row>
    <row r="1376" spans="3:8" x14ac:dyDescent="0.35">
      <c r="C1376" s="8">
        <f t="shared" ca="1" si="84"/>
        <v>0.11916196563126658</v>
      </c>
      <c r="D1376" s="7">
        <f t="shared" ca="1" si="85"/>
        <v>7.9884979100516035E-2</v>
      </c>
      <c r="E1376" s="7">
        <f t="shared" ca="1" si="86"/>
        <v>0.81565134716325649</v>
      </c>
      <c r="F1376" s="7">
        <f t="shared" ca="1" si="87"/>
        <v>2.3927954992974055E-2</v>
      </c>
      <c r="G1376" s="7">
        <f ca="1">$C$11/(1+D1376)^1
 +$D$11/(1+D1376)^2
 +$E$11/(1+D1376)^3
 +$F$11/(1+D1376)^4
 +$G$11/(1+D1376)^5
 +$H$11/(1+D1376)^6
 +$I$11/(1+D1376)^7
 + ( $I$11*(1+F1376)/(D1376-F1376) )/(1+D1376)^7</f>
        <v>471.47173549763966</v>
      </c>
      <c r="H1376" s="7">
        <f ca="1">(G1376-$C$8)/$C$9</f>
        <v>2.6006430093715491</v>
      </c>
    </row>
    <row r="1377" spans="3:8" x14ac:dyDescent="0.35">
      <c r="C1377" s="8">
        <f t="shared" ca="1" si="84"/>
        <v>0.59938491305362906</v>
      </c>
      <c r="D1377" s="7">
        <f t="shared" ca="1" si="85"/>
        <v>9.2322902732117768E-2</v>
      </c>
      <c r="E1377" s="7">
        <f t="shared" ca="1" si="86"/>
        <v>0.56195699986132652</v>
      </c>
      <c r="F1377" s="7">
        <f t="shared" ca="1" si="87"/>
        <v>2.064005341747429E-2</v>
      </c>
      <c r="G1377" s="7">
        <f ca="1">$C$11/(1+D1377)^1
 +$D$11/(1+D1377)^2
 +$E$11/(1+D1377)^3
 +$F$11/(1+D1377)^4
 +$G$11/(1+D1377)^5
 +$H$11/(1+D1377)^6
 +$I$11/(1+D1377)^7
 + ( $I$11*(1+F1377)/(D1377-F1377) )/(1+D1377)^7</f>
        <v>370.53792180798445</v>
      </c>
      <c r="H1377" s="7">
        <f ca="1">(G1377-$C$8)/$C$9</f>
        <v>2.0300086036181844</v>
      </c>
    </row>
    <row r="1378" spans="3:8" x14ac:dyDescent="0.35">
      <c r="C1378" s="8">
        <f t="shared" ca="1" si="84"/>
        <v>0.1563872936447952</v>
      </c>
      <c r="D1378" s="7">
        <f t="shared" ca="1" si="85"/>
        <v>8.1324203318058716E-2</v>
      </c>
      <c r="E1378" s="7">
        <f t="shared" ca="1" si="86"/>
        <v>0.14591226250608602</v>
      </c>
      <c r="F1378" s="7">
        <f t="shared" ca="1" si="87"/>
        <v>1.540207853526929E-2</v>
      </c>
      <c r="G1378" s="7">
        <f ca="1">$C$11/(1+D1378)^1
 +$D$11/(1+D1378)^2
 +$E$11/(1+D1378)^3
 +$F$11/(1+D1378)^4
 +$G$11/(1+D1378)^5
 +$H$11/(1+D1378)^6
 +$I$11/(1+D1378)^7
 + ( $I$11*(1+F1378)/(D1378-F1378) )/(1+D1378)^7</f>
        <v>414.78998079840437</v>
      </c>
      <c r="H1378" s="7">
        <f ca="1">(G1378-$C$8)/$C$9</f>
        <v>2.2801898507372478</v>
      </c>
    </row>
    <row r="1379" spans="3:8" x14ac:dyDescent="0.35">
      <c r="C1379" s="8">
        <f t="shared" ca="1" si="84"/>
        <v>0.96067117721630013</v>
      </c>
      <c r="D1379" s="7">
        <f t="shared" ca="1" si="85"/>
        <v>0.10446136462914501</v>
      </c>
      <c r="E1379" s="7">
        <f t="shared" ca="1" si="86"/>
        <v>0.30804219615062878</v>
      </c>
      <c r="F1379" s="7">
        <f t="shared" ca="1" si="87"/>
        <v>1.784910435846828E-2</v>
      </c>
      <c r="G1379" s="7">
        <f ca="1">$C$11/(1+D1379)^1
 +$D$11/(1+D1379)^2
 +$E$11/(1+D1379)^3
 +$F$11/(1+D1379)^4
 +$G$11/(1+D1379)^5
 +$H$11/(1+D1379)^6
 +$I$11/(1+D1379)^7
 + ( $I$11*(1+F1379)/(D1379-F1379) )/(1+D1379)^7</f>
        <v>307.97299055882473</v>
      </c>
      <c r="H1379" s="7">
        <f ca="1">(G1379-$C$8)/$C$9</f>
        <v>1.6762946096722338</v>
      </c>
    </row>
    <row r="1380" spans="3:8" x14ac:dyDescent="0.35">
      <c r="C1380" s="8">
        <f t="shared" ca="1" si="84"/>
        <v>0.5827844724360064</v>
      </c>
      <c r="D1380" s="7">
        <f t="shared" ca="1" si="85"/>
        <v>9.1960373853654423E-2</v>
      </c>
      <c r="E1380" s="7">
        <f t="shared" ca="1" si="86"/>
        <v>0.21637143352831822</v>
      </c>
      <c r="F1380" s="7">
        <f t="shared" ca="1" si="87"/>
        <v>1.657831944387498E-2</v>
      </c>
      <c r="G1380" s="7">
        <f ca="1">$C$11/(1+D1380)^1
 +$D$11/(1+D1380)^2
 +$E$11/(1+D1380)^3
 +$F$11/(1+D1380)^4
 +$G$11/(1+D1380)^5
 +$H$11/(1+D1380)^6
 +$I$11/(1+D1380)^7
 + ( $I$11*(1+F1380)/(D1380-F1380) )/(1+D1380)^7</f>
        <v>358.44162805008523</v>
      </c>
      <c r="H1380" s="7">
        <f ca="1">(G1380-$C$8)/$C$9</f>
        <v>1.9616215968458006</v>
      </c>
    </row>
    <row r="1381" spans="3:8" x14ac:dyDescent="0.35">
      <c r="C1381" s="8">
        <f t="shared" ca="1" si="84"/>
        <v>0.39797182518168062</v>
      </c>
      <c r="D1381" s="7">
        <f t="shared" ca="1" si="85"/>
        <v>8.8064797166007097E-2</v>
      </c>
      <c r="E1381" s="7">
        <f t="shared" ca="1" si="86"/>
        <v>0.93103866338833174</v>
      </c>
      <c r="F1381" s="7">
        <f t="shared" ca="1" si="87"/>
        <v>2.62862058050649E-2</v>
      </c>
      <c r="G1381" s="7">
        <f ca="1">$C$11/(1+D1381)^1
 +$D$11/(1+D1381)^2
 +$E$11/(1+D1381)^3
 +$F$11/(1+D1381)^4
 +$G$11/(1+D1381)^5
 +$H$11/(1+D1381)^6
 +$I$11/(1+D1381)^7
 + ( $I$11*(1+F1381)/(D1381-F1381) )/(1+D1381)^7</f>
        <v>420.71866400851621</v>
      </c>
      <c r="H1381" s="7">
        <f ca="1">(G1381-$C$8)/$C$9</f>
        <v>2.3137079602471515</v>
      </c>
    </row>
    <row r="1382" spans="3:8" x14ac:dyDescent="0.35">
      <c r="C1382" s="8">
        <f t="shared" ca="1" si="84"/>
        <v>0.27179318092407578</v>
      </c>
      <c r="D1382" s="7">
        <f t="shared" ca="1" si="85"/>
        <v>8.4928844843380952E-2</v>
      </c>
      <c r="E1382" s="7">
        <f t="shared" ca="1" si="86"/>
        <v>0.91319673629914644</v>
      </c>
      <c r="F1382" s="7">
        <f t="shared" ca="1" si="87"/>
        <v>2.5833388338209244E-2</v>
      </c>
      <c r="G1382" s="7">
        <f ca="1">$C$11/(1+D1382)^1
 +$D$11/(1+D1382)^2
 +$E$11/(1+D1382)^3
 +$F$11/(1+D1382)^4
 +$G$11/(1+D1382)^5
 +$H$11/(1+D1382)^6
 +$I$11/(1+D1382)^7
 + ( $I$11*(1+F1382)/(D1382-F1382) )/(1+D1382)^7</f>
        <v>441.44718859575687</v>
      </c>
      <c r="H1382" s="7">
        <f ca="1">(G1382-$C$8)/$C$9</f>
        <v>2.430897719333768</v>
      </c>
    </row>
    <row r="1383" spans="3:8" x14ac:dyDescent="0.35">
      <c r="C1383" s="8">
        <f t="shared" ca="1" si="84"/>
        <v>0.20081635834749767</v>
      </c>
      <c r="D1383" s="7">
        <f t="shared" ca="1" si="85"/>
        <v>8.2832358078114413E-2</v>
      </c>
      <c r="E1383" s="7">
        <f t="shared" ca="1" si="86"/>
        <v>0.52559088330487869</v>
      </c>
      <c r="F1383" s="7">
        <f t="shared" ca="1" si="87"/>
        <v>2.0259269876491584E-2</v>
      </c>
      <c r="G1383" s="7">
        <f ca="1">$C$11/(1+D1383)^1
 +$D$11/(1+D1383)^2
 +$E$11/(1+D1383)^3
 +$F$11/(1+D1383)^4
 +$G$11/(1+D1383)^5
 +$H$11/(1+D1383)^6
 +$I$11/(1+D1383)^7
 + ( $I$11*(1+F1383)/(D1383-F1383) )/(1+D1383)^7</f>
        <v>427.62984031606061</v>
      </c>
      <c r="H1383" s="7">
        <f ca="1">(G1383-$C$8)/$C$9</f>
        <v>2.3527806440301933</v>
      </c>
    </row>
    <row r="1384" spans="3:8" x14ac:dyDescent="0.35">
      <c r="C1384" s="8">
        <f t="shared" ca="1" si="84"/>
        <v>0.182671071031693</v>
      </c>
      <c r="D1384" s="7">
        <f t="shared" ca="1" si="85"/>
        <v>8.2238883864388462E-2</v>
      </c>
      <c r="E1384" s="7">
        <f t="shared" ca="1" si="86"/>
        <v>0.14898827039631624</v>
      </c>
      <c r="F1384" s="7">
        <f t="shared" ca="1" si="87"/>
        <v>1.5458722751639183E-2</v>
      </c>
      <c r="G1384" s="7">
        <f ca="1">$C$11/(1+D1384)^1
 +$D$11/(1+D1384)^2
 +$E$11/(1+D1384)^3
 +$F$11/(1+D1384)^4
 +$G$11/(1+D1384)^5
 +$H$11/(1+D1384)^6
 +$I$11/(1+D1384)^7
 + ( $I$11*(1+F1384)/(D1384-F1384) )/(1+D1384)^7</f>
        <v>409.10924707517199</v>
      </c>
      <c r="H1384" s="7">
        <f ca="1">(G1384-$C$8)/$C$9</f>
        <v>2.2480735361554274</v>
      </c>
    </row>
    <row r="1385" spans="3:8" x14ac:dyDescent="0.35">
      <c r="C1385" s="8">
        <f t="shared" ca="1" si="84"/>
        <v>0.82800264527995404</v>
      </c>
      <c r="D1385" s="7">
        <f t="shared" ca="1" si="85"/>
        <v>9.8417343280506164E-2</v>
      </c>
      <c r="E1385" s="7">
        <f t="shared" ca="1" si="86"/>
        <v>7.7480280768641663E-2</v>
      </c>
      <c r="F1385" s="7">
        <f t="shared" ca="1" si="87"/>
        <v>1.3936503036163991E-2</v>
      </c>
      <c r="G1385" s="7">
        <f ca="1">$C$11/(1+D1385)^1
 +$D$11/(1+D1385)^2
 +$E$11/(1+D1385)^3
 +$F$11/(1+D1385)^4
 +$G$11/(1+D1385)^5
 +$H$11/(1+D1385)^6
 +$I$11/(1+D1385)^7
 + ( $I$11*(1+F1385)/(D1385-F1385) )/(1+D1385)^7</f>
        <v>321.95662056034689</v>
      </c>
      <c r="H1385" s="7">
        <f ca="1">(G1385-$C$8)/$C$9</f>
        <v>1.7553517670756833</v>
      </c>
    </row>
    <row r="1386" spans="3:8" x14ac:dyDescent="0.35">
      <c r="C1386" s="8">
        <f t="shared" ca="1" si="84"/>
        <v>0.17939865330985139</v>
      </c>
      <c r="D1386" s="7">
        <f t="shared" ca="1" si="85"/>
        <v>8.212876315681357E-2</v>
      </c>
      <c r="E1386" s="7">
        <f t="shared" ca="1" si="86"/>
        <v>0.30548934608344402</v>
      </c>
      <c r="F1386" s="7">
        <f t="shared" ca="1" si="87"/>
        <v>1.7816512599407027E-2</v>
      </c>
      <c r="G1386" s="7">
        <f ca="1">$C$11/(1+D1386)^1
 +$D$11/(1+D1386)^2
 +$E$11/(1+D1386)^3
 +$F$11/(1+D1386)^4
 +$G$11/(1+D1386)^5
 +$H$11/(1+D1386)^6
 +$I$11/(1+D1386)^7
 + ( $I$11*(1+F1386)/(D1386-F1386) )/(1+D1386)^7</f>
        <v>420.62002018605068</v>
      </c>
      <c r="H1386" s="7">
        <f ca="1">(G1386-$C$8)/$C$9</f>
        <v>2.3131502724222672</v>
      </c>
    </row>
    <row r="1387" spans="3:8" x14ac:dyDescent="0.35">
      <c r="C1387" s="8">
        <f t="shared" ca="1" si="84"/>
        <v>0.90915644801247897</v>
      </c>
      <c r="D1387" s="7">
        <f t="shared" ca="1" si="85"/>
        <v>0.10158228234316057</v>
      </c>
      <c r="E1387" s="7">
        <f t="shared" ca="1" si="86"/>
        <v>2.2589267834668525E-2</v>
      </c>
      <c r="F1387" s="7">
        <f t="shared" ca="1" si="87"/>
        <v>1.2125524304009179E-2</v>
      </c>
      <c r="G1387" s="7">
        <f ca="1">$C$11/(1+D1387)^1
 +$D$11/(1+D1387)^2
 +$E$11/(1+D1387)^3
 +$F$11/(1+D1387)^4
 +$G$11/(1+D1387)^5
 +$H$11/(1+D1387)^6
 +$I$11/(1+D1387)^7
 + ( $I$11*(1+F1387)/(D1387-F1387) )/(1+D1387)^7</f>
        <v>305.61998499029801</v>
      </c>
      <c r="H1387" s="7">
        <f ca="1">(G1387-$C$8)/$C$9</f>
        <v>1.6629917740292741</v>
      </c>
    </row>
    <row r="1388" spans="3:8" x14ac:dyDescent="0.35">
      <c r="C1388" s="8">
        <f t="shared" ca="1" si="84"/>
        <v>0.79573358347766276</v>
      </c>
      <c r="D1388" s="7">
        <f t="shared" ca="1" si="85"/>
        <v>9.7377488170438384E-2</v>
      </c>
      <c r="E1388" s="7">
        <f t="shared" ca="1" si="86"/>
        <v>3.8048574679629965E-3</v>
      </c>
      <c r="F1388" s="7">
        <f t="shared" ca="1" si="87"/>
        <v>1.0872336800549305E-2</v>
      </c>
      <c r="G1388" s="7">
        <f ca="1">$C$11/(1+D1388)^1
 +$D$11/(1+D1388)^2
 +$E$11/(1+D1388)^3
 +$F$11/(1+D1388)^4
 +$G$11/(1+D1388)^5
 +$H$11/(1+D1388)^6
 +$I$11/(1+D1388)^7
 + ( $I$11*(1+F1388)/(D1388-F1388) )/(1+D1388)^7</f>
        <v>318.51999630760736</v>
      </c>
      <c r="H1388" s="7">
        <f ca="1">(G1388-$C$8)/$C$9</f>
        <v>1.735922638554994</v>
      </c>
    </row>
    <row r="1389" spans="3:8" x14ac:dyDescent="0.35">
      <c r="C1389" s="8">
        <f t="shared" ca="1" si="84"/>
        <v>0.71771644988668371</v>
      </c>
      <c r="D1389" s="7">
        <f t="shared" ca="1" si="85"/>
        <v>9.516149707388287E-2</v>
      </c>
      <c r="E1389" s="7">
        <f t="shared" ca="1" si="86"/>
        <v>0.38396223837327204</v>
      </c>
      <c r="F1389" s="7">
        <f t="shared" ca="1" si="87"/>
        <v>1.8763130015847899E-2</v>
      </c>
      <c r="G1389" s="7">
        <f ca="1">$C$11/(1+D1389)^1
 +$D$11/(1+D1389)^2
 +$E$11/(1+D1389)^3
 +$F$11/(1+D1389)^4
 +$G$11/(1+D1389)^5
 +$H$11/(1+D1389)^6
 +$I$11/(1+D1389)^7
 + ( $I$11*(1+F1389)/(D1389-F1389) )/(1+D1389)^7</f>
        <v>349.79777085712885</v>
      </c>
      <c r="H1389" s="7">
        <f ca="1">(G1389-$C$8)/$C$9</f>
        <v>1.9127531142985574</v>
      </c>
    </row>
    <row r="1390" spans="3:8" x14ac:dyDescent="0.35">
      <c r="C1390" s="8">
        <f t="shared" ca="1" si="84"/>
        <v>0.73971487733527264</v>
      </c>
      <c r="D1390" s="7">
        <f t="shared" ca="1" si="85"/>
        <v>9.5751407238660824E-2</v>
      </c>
      <c r="E1390" s="7">
        <f t="shared" ca="1" si="86"/>
        <v>0.85974111341742609</v>
      </c>
      <c r="F1390" s="7">
        <f t="shared" ca="1" si="87"/>
        <v>2.4703607141033174E-2</v>
      </c>
      <c r="G1390" s="7">
        <f ca="1">$C$11/(1+D1390)^1
 +$D$11/(1+D1390)^2
 +$E$11/(1+D1390)^3
 +$F$11/(1+D1390)^4
 +$G$11/(1+D1390)^5
 +$H$11/(1+D1390)^6
 +$I$11/(1+D1390)^7
 + ( $I$11*(1+F1390)/(D1390-F1390) )/(1+D1390)^7</f>
        <v>366.78908815613306</v>
      </c>
      <c r="H1390" s="7">
        <f ca="1">(G1390-$C$8)/$C$9</f>
        <v>2.008814383514999</v>
      </c>
    </row>
    <row r="1391" spans="3:8" x14ac:dyDescent="0.35">
      <c r="C1391" s="8">
        <f t="shared" ca="1" si="84"/>
        <v>0.30914142079622708</v>
      </c>
      <c r="D1391" s="7">
        <f t="shared" ca="1" si="85"/>
        <v>8.592155661525927E-2</v>
      </c>
      <c r="E1391" s="7">
        <f t="shared" ca="1" si="86"/>
        <v>0.56934227516169822</v>
      </c>
      <c r="F1391" s="7">
        <f t="shared" ca="1" si="87"/>
        <v>2.0719291785232102E-2</v>
      </c>
      <c r="G1391" s="7">
        <f ca="1">$C$11/(1+D1391)^1
 +$D$11/(1+D1391)^2
 +$E$11/(1+D1391)^3
 +$F$11/(1+D1391)^4
 +$G$11/(1+D1391)^5
 +$H$11/(1+D1391)^6
 +$I$11/(1+D1391)^7
 + ( $I$11*(1+F1391)/(D1391-F1391) )/(1+D1391)^7</f>
        <v>408.80139154399126</v>
      </c>
      <c r="H1391" s="7">
        <f ca="1">(G1391-$C$8)/$C$9</f>
        <v>2.2463330593848441</v>
      </c>
    </row>
    <row r="1392" spans="3:8" x14ac:dyDescent="0.35">
      <c r="C1392" s="8">
        <f t="shared" ca="1" si="84"/>
        <v>0.29115191768269999</v>
      </c>
      <c r="D1392" s="7">
        <f t="shared" ca="1" si="85"/>
        <v>8.5451361509582713E-2</v>
      </c>
      <c r="E1392" s="7">
        <f t="shared" ca="1" si="86"/>
        <v>0.10247679830801815</v>
      </c>
      <c r="F1392" s="7">
        <f t="shared" ca="1" si="87"/>
        <v>1.452718010041611E-2</v>
      </c>
      <c r="G1392" s="7">
        <f ca="1">$C$11/(1+D1392)^1
 +$D$11/(1+D1392)^2
 +$E$11/(1+D1392)^3
 +$F$11/(1+D1392)^4
 +$G$11/(1+D1392)^5
 +$H$11/(1+D1392)^6
 +$I$11/(1+D1392)^7
 + ( $I$11*(1+F1392)/(D1392-F1392) )/(1+D1392)^7</f>
        <v>385.87156016119195</v>
      </c>
      <c r="H1392" s="7">
        <f ca="1">(G1392-$C$8)/$C$9</f>
        <v>2.1166981013183626</v>
      </c>
    </row>
    <row r="1393" spans="3:8" x14ac:dyDescent="0.35">
      <c r="C1393" s="8">
        <f t="shared" ca="1" si="84"/>
        <v>0.62949409513750243</v>
      </c>
      <c r="D1393" s="7">
        <f t="shared" ca="1" si="85"/>
        <v>9.3000158653894799E-2</v>
      </c>
      <c r="E1393" s="7">
        <f t="shared" ca="1" si="86"/>
        <v>8.6961672726792338E-2</v>
      </c>
      <c r="F1393" s="7">
        <f t="shared" ca="1" si="87"/>
        <v>1.4170411795657411E-2</v>
      </c>
      <c r="G1393" s="7">
        <f ca="1">$C$11/(1+D1393)^1
 +$D$11/(1+D1393)^2
 +$E$11/(1+D1393)^3
 +$F$11/(1+D1393)^4
 +$G$11/(1+D1393)^5
 +$H$11/(1+D1393)^6
 +$I$11/(1+D1393)^7
 + ( $I$11*(1+F1393)/(D1393-F1393) )/(1+D1393)^7</f>
        <v>345.93443030270055</v>
      </c>
      <c r="H1393" s="7">
        <f ca="1">(G1393-$C$8)/$C$9</f>
        <v>1.8909115236471083</v>
      </c>
    </row>
    <row r="1394" spans="3:8" x14ac:dyDescent="0.35">
      <c r="C1394" s="8">
        <f t="shared" ca="1" si="84"/>
        <v>6.5070125022718805E-2</v>
      </c>
      <c r="D1394" s="7">
        <f t="shared" ca="1" si="85"/>
        <v>7.7304621996970788E-2</v>
      </c>
      <c r="E1394" s="7">
        <f t="shared" ca="1" si="86"/>
        <v>0.42603707248979328</v>
      </c>
      <c r="F1394" s="7">
        <f t="shared" ca="1" si="87"/>
        <v>1.9230786234008382E-2</v>
      </c>
      <c r="G1394" s="7">
        <f ca="1">$C$11/(1+D1394)^1
 +$D$11/(1+D1394)^2
 +$E$11/(1+D1394)^3
 +$F$11/(1+D1394)^4
 +$G$11/(1+D1394)^5
 +$H$11/(1+D1394)^6
 +$I$11/(1+D1394)^7
 + ( $I$11*(1+F1394)/(D1394-F1394) )/(1+D1394)^7</f>
        <v>464.43515016946787</v>
      </c>
      <c r="H1394" s="7">
        <f ca="1">(G1394-$C$8)/$C$9</f>
        <v>2.5608613193660554</v>
      </c>
    </row>
    <row r="1395" spans="3:8" x14ac:dyDescent="0.35">
      <c r="C1395" s="8">
        <f t="shared" ca="1" si="84"/>
        <v>0.83807146403565436</v>
      </c>
      <c r="D1395" s="7">
        <f t="shared" ca="1" si="85"/>
        <v>9.8761483280601942E-2</v>
      </c>
      <c r="E1395" s="7">
        <f t="shared" ca="1" si="86"/>
        <v>0.99127638876215429</v>
      </c>
      <c r="F1395" s="7">
        <f t="shared" ca="1" si="87"/>
        <v>2.8679120653666981E-2</v>
      </c>
      <c r="G1395" s="7">
        <f ca="1">$C$11/(1+D1395)^1
 +$D$11/(1+D1395)^2
 +$E$11/(1+D1395)^3
 +$F$11/(1+D1395)^4
 +$G$11/(1+D1395)^5
 +$H$11/(1+D1395)^6
 +$I$11/(1+D1395)^7
 + ( $I$11*(1+F1395)/(D1395-F1395) )/(1+D1395)^7</f>
        <v>365.04417671472362</v>
      </c>
      <c r="H1395" s="7">
        <f ca="1">(G1395-$C$8)/$C$9</f>
        <v>1.998949438685683</v>
      </c>
    </row>
    <row r="1396" spans="3:8" x14ac:dyDescent="0.35">
      <c r="C1396" s="8">
        <f t="shared" ca="1" si="84"/>
        <v>0.88599759694182023</v>
      </c>
      <c r="D1396" s="7">
        <f t="shared" ca="1" si="85"/>
        <v>0.10057016042631794</v>
      </c>
      <c r="E1396" s="7">
        <f t="shared" ca="1" si="86"/>
        <v>0.70762420168812512</v>
      </c>
      <c r="F1396" s="7">
        <f t="shared" ca="1" si="87"/>
        <v>2.2353094765699331E-2</v>
      </c>
      <c r="G1396" s="7">
        <f ca="1">$C$11/(1+D1396)^1
 +$D$11/(1+D1396)^2
 +$E$11/(1+D1396)^3
 +$F$11/(1+D1396)^4
 +$G$11/(1+D1396)^5
 +$H$11/(1+D1396)^6
 +$I$11/(1+D1396)^7
 + ( $I$11*(1+F1396)/(D1396-F1396) )/(1+D1396)^7</f>
        <v>335.57154726032684</v>
      </c>
      <c r="H1396" s="7">
        <f ca="1">(G1396-$C$8)/$C$9</f>
        <v>1.8323244417702782</v>
      </c>
    </row>
    <row r="1397" spans="3:8" x14ac:dyDescent="0.35">
      <c r="C1397" s="8">
        <f t="shared" ca="1" si="84"/>
        <v>0.69903306919144104</v>
      </c>
      <c r="D1397" s="7">
        <f t="shared" ca="1" si="85"/>
        <v>9.4678309295946617E-2</v>
      </c>
      <c r="E1397" s="7">
        <f t="shared" ca="1" si="86"/>
        <v>0.60617737706639452</v>
      </c>
      <c r="F1397" s="7">
        <f t="shared" ca="1" si="87"/>
        <v>2.1125061995330836E-2</v>
      </c>
      <c r="G1397" s="7">
        <f ca="1">$C$11/(1+D1397)^1
 +$D$11/(1+D1397)^2
 +$E$11/(1+D1397)^3
 +$F$11/(1+D1397)^4
 +$G$11/(1+D1397)^5
 +$H$11/(1+D1397)^6
 +$I$11/(1+D1397)^7
 + ( $I$11*(1+F1397)/(D1397-F1397) )/(1+D1397)^7</f>
        <v>359.88325077648994</v>
      </c>
      <c r="H1397" s="7">
        <f ca="1">(G1397-$C$8)/$C$9</f>
        <v>1.9697718836300877</v>
      </c>
    </row>
    <row r="1398" spans="3:8" x14ac:dyDescent="0.35">
      <c r="C1398" s="8">
        <f t="shared" ca="1" si="84"/>
        <v>0.19883157563212583</v>
      </c>
      <c r="D1398" s="7">
        <f t="shared" ca="1" si="85"/>
        <v>8.276878584746189E-2</v>
      </c>
      <c r="E1398" s="7">
        <f t="shared" ca="1" si="86"/>
        <v>0.79713830210858982</v>
      </c>
      <c r="F1398" s="7">
        <f t="shared" ca="1" si="87"/>
        <v>2.3630357970946717E-2</v>
      </c>
      <c r="G1398" s="7">
        <f ca="1">$C$11/(1+D1398)^1
 +$D$11/(1+D1398)^2
 +$E$11/(1+D1398)^3
 +$F$11/(1+D1398)^4
 +$G$11/(1+D1398)^5
 +$H$11/(1+D1398)^6
 +$I$11/(1+D1398)^7
 + ( $I$11*(1+F1398)/(D1398-F1398) )/(1+D1398)^7</f>
        <v>445.93581434771914</v>
      </c>
      <c r="H1398" s="7">
        <f ca="1">(G1398-$C$8)/$C$9</f>
        <v>2.4562743913824012</v>
      </c>
    </row>
    <row r="1399" spans="3:8" x14ac:dyDescent="0.35">
      <c r="C1399" s="8">
        <f t="shared" ca="1" si="84"/>
        <v>0.95743712210424403</v>
      </c>
      <c r="D1399" s="7">
        <f t="shared" ca="1" si="85"/>
        <v>0.1042381387765159</v>
      </c>
      <c r="E1399" s="7">
        <f t="shared" ca="1" si="86"/>
        <v>0.62063245327627126</v>
      </c>
      <c r="F1399" s="7">
        <f t="shared" ca="1" si="87"/>
        <v>2.1289459870665554E-2</v>
      </c>
      <c r="G1399" s="7">
        <f ca="1">$C$11/(1+D1399)^1
 +$D$11/(1+D1399)^2
 +$E$11/(1+D1399)^3
 +$F$11/(1+D1399)^4
 +$G$11/(1+D1399)^5
 +$H$11/(1+D1399)^6
 +$I$11/(1+D1399)^7
 + ( $I$11*(1+F1399)/(D1399-F1399) )/(1+D1399)^7</f>
        <v>317.16501215499392</v>
      </c>
      <c r="H1399" s="7">
        <f ca="1">(G1399-$C$8)/$C$9</f>
        <v>1.7282621673167904</v>
      </c>
    </row>
    <row r="1400" spans="3:8" x14ac:dyDescent="0.35">
      <c r="C1400" s="8">
        <f t="shared" ca="1" si="84"/>
        <v>0.19576613838537338</v>
      </c>
      <c r="D1400" s="7">
        <f t="shared" ca="1" si="85"/>
        <v>8.2669973696736954E-2</v>
      </c>
      <c r="E1400" s="7">
        <f t="shared" ca="1" si="86"/>
        <v>0.70158268367308274</v>
      </c>
      <c r="F1400" s="7">
        <f t="shared" ca="1" si="87"/>
        <v>2.2274492685565341E-2</v>
      </c>
      <c r="G1400" s="7">
        <f ca="1">$C$11/(1+D1400)^1
 +$D$11/(1+D1400)^2
 +$E$11/(1+D1400)^3
 +$F$11/(1+D1400)^4
 +$G$11/(1+D1400)^5
 +$H$11/(1+D1400)^6
 +$I$11/(1+D1400)^7
 + ( $I$11*(1+F1400)/(D1400-F1400) )/(1+D1400)^7</f>
        <v>439.25905489964509</v>
      </c>
      <c r="H1400" s="7">
        <f ca="1">(G1400-$C$8)/$C$9</f>
        <v>2.4185269951359403</v>
      </c>
    </row>
    <row r="1401" spans="3:8" x14ac:dyDescent="0.35">
      <c r="C1401" s="8">
        <f t="shared" ca="1" si="84"/>
        <v>0.25584664875831253</v>
      </c>
      <c r="D1401" s="7">
        <f t="shared" ca="1" si="85"/>
        <v>8.4484276025463489E-2</v>
      </c>
      <c r="E1401" s="7">
        <f t="shared" ca="1" si="86"/>
        <v>0.365997256185567</v>
      </c>
      <c r="F1401" s="7">
        <f t="shared" ca="1" si="87"/>
        <v>1.8555667784405455E-2</v>
      </c>
      <c r="G1401" s="7">
        <f ca="1">$C$11/(1+D1401)^1
 +$D$11/(1+D1401)^2
 +$E$11/(1+D1401)^3
 +$F$11/(1+D1401)^4
 +$G$11/(1+D1401)^5
 +$H$11/(1+D1401)^6
 +$I$11/(1+D1401)^7
 + ( $I$11*(1+F1401)/(D1401-F1401) )/(1+D1401)^7</f>
        <v>408.4017669550438</v>
      </c>
      <c r="H1401" s="7">
        <f ca="1">(G1401-$C$8)/$C$9</f>
        <v>2.2440737616182935</v>
      </c>
    </row>
    <row r="1402" spans="3:8" x14ac:dyDescent="0.35">
      <c r="C1402" s="8">
        <f t="shared" ca="1" si="84"/>
        <v>6.315768066070615E-2</v>
      </c>
      <c r="D1402" s="7">
        <f t="shared" ca="1" si="85"/>
        <v>7.7196478176287275E-2</v>
      </c>
      <c r="E1402" s="7">
        <f t="shared" ca="1" si="86"/>
        <v>0.59764571168754443</v>
      </c>
      <c r="F1402" s="7">
        <f t="shared" ca="1" si="87"/>
        <v>2.1029444963521427E-2</v>
      </c>
      <c r="G1402" s="7">
        <f ca="1">$C$11/(1+D1402)^1
 +$D$11/(1+D1402)^2
 +$E$11/(1+D1402)^3
 +$F$11/(1+D1402)^4
 +$G$11/(1+D1402)^5
 +$H$11/(1+D1402)^6
 +$I$11/(1+D1402)^7
 + ( $I$11*(1+F1402)/(D1402-F1402) )/(1+D1402)^7</f>
        <v>476.49066593098257</v>
      </c>
      <c r="H1402" s="7">
        <f ca="1">(G1402-$C$8)/$C$9</f>
        <v>2.6290177856794581</v>
      </c>
    </row>
    <row r="1403" spans="3:8" x14ac:dyDescent="0.35">
      <c r="C1403" s="8">
        <f t="shared" ca="1" si="84"/>
        <v>0.23309541896049546</v>
      </c>
      <c r="D1403" s="7">
        <f t="shared" ca="1" si="85"/>
        <v>8.3825275532429952E-2</v>
      </c>
      <c r="E1403" s="7">
        <f t="shared" ca="1" si="86"/>
        <v>0.11405072429292307</v>
      </c>
      <c r="F1403" s="7">
        <f t="shared" ca="1" si="87"/>
        <v>1.477599673980046E-2</v>
      </c>
      <c r="G1403" s="7">
        <f ca="1">$C$11/(1+D1403)^1
 +$D$11/(1+D1403)^2
 +$E$11/(1+D1403)^3
 +$F$11/(1+D1403)^4
 +$G$11/(1+D1403)^5
 +$H$11/(1+D1403)^6
 +$I$11/(1+D1403)^7
 + ( $I$11*(1+F1403)/(D1403-F1403) )/(1+D1403)^7</f>
        <v>396.37444420090793</v>
      </c>
      <c r="H1403" s="7">
        <f ca="1">(G1403-$C$8)/$C$9</f>
        <v>2.1760766858938712</v>
      </c>
    </row>
    <row r="1404" spans="3:8" x14ac:dyDescent="0.35">
      <c r="C1404" s="8">
        <f t="shared" ca="1" si="84"/>
        <v>0.64920585577456835</v>
      </c>
      <c r="D1404" s="7">
        <f t="shared" ca="1" si="85"/>
        <v>9.3458554098996158E-2</v>
      </c>
      <c r="E1404" s="7">
        <f t="shared" ca="1" si="86"/>
        <v>0.79998891312399967</v>
      </c>
      <c r="F1404" s="7">
        <f t="shared" ca="1" si="87"/>
        <v>2.3675269383191085E-2</v>
      </c>
      <c r="G1404" s="7">
        <f ca="1">$C$11/(1+D1404)^1
 +$D$11/(1+D1404)^2
 +$E$11/(1+D1404)^3
 +$F$11/(1+D1404)^4
 +$G$11/(1+D1404)^5
 +$H$11/(1+D1404)^6
 +$I$11/(1+D1404)^7
 + ( $I$11*(1+F1404)/(D1404-F1404) )/(1+D1404)^7</f>
        <v>375.53864675392703</v>
      </c>
      <c r="H1404" s="7">
        <f ca="1">(G1404-$C$8)/$C$9</f>
        <v>2.0582804542849784</v>
      </c>
    </row>
    <row r="1405" spans="3:8" x14ac:dyDescent="0.35">
      <c r="C1405" s="8">
        <f t="shared" ca="1" si="84"/>
        <v>0.16280503959210102</v>
      </c>
      <c r="D1405" s="7">
        <f t="shared" ca="1" si="85"/>
        <v>8.1554225740633729E-2</v>
      </c>
      <c r="E1405" s="7">
        <f t="shared" ca="1" si="86"/>
        <v>0.8687518746918339</v>
      </c>
      <c r="F1405" s="7">
        <f t="shared" ca="1" si="87"/>
        <v>2.4876561207388809E-2</v>
      </c>
      <c r="G1405" s="7">
        <f ca="1">$C$11/(1+D1405)^1
 +$D$11/(1+D1405)^2
 +$E$11/(1+D1405)^3
 +$F$11/(1+D1405)^4
 +$G$11/(1+D1405)^5
 +$H$11/(1+D1405)^6
 +$I$11/(1+D1405)^7
 + ( $I$11*(1+F1405)/(D1405-F1405) )/(1+D1405)^7</f>
        <v>463.09234849121913</v>
      </c>
      <c r="H1405" s="7">
        <f ca="1">(G1405-$C$8)/$C$9</f>
        <v>2.5532697223610308</v>
      </c>
    </row>
    <row r="1406" spans="3:8" x14ac:dyDescent="0.35">
      <c r="C1406" s="8">
        <f t="shared" ca="1" si="84"/>
        <v>0.74980186070927335</v>
      </c>
      <c r="D1406" s="7">
        <f t="shared" ca="1" si="85"/>
        <v>9.6030227323010336E-2</v>
      </c>
      <c r="E1406" s="7">
        <f t="shared" ca="1" si="86"/>
        <v>0.54652582516436721</v>
      </c>
      <c r="F1406" s="7">
        <f t="shared" ca="1" si="87"/>
        <v>2.0476616411845706E-2</v>
      </c>
      <c r="G1406" s="7">
        <f ca="1">$C$11/(1+D1406)^1
 +$D$11/(1+D1406)^2
 +$E$11/(1+D1406)^3
 +$F$11/(1+D1406)^4
 +$G$11/(1+D1406)^5
 +$H$11/(1+D1406)^6
 +$I$11/(1+D1406)^7
 + ( $I$11*(1+F1406)/(D1406-F1406) )/(1+D1406)^7</f>
        <v>351.02465303719248</v>
      </c>
      <c r="H1406" s="7">
        <f ca="1">(G1406-$C$8)/$C$9</f>
        <v>1.9196893545748104</v>
      </c>
    </row>
    <row r="1407" spans="3:8" x14ac:dyDescent="0.35">
      <c r="C1407" s="8">
        <f t="shared" ca="1" si="84"/>
        <v>0.40166102436739926</v>
      </c>
      <c r="D1407" s="7">
        <f t="shared" ca="1" si="85"/>
        <v>8.8148334358316954E-2</v>
      </c>
      <c r="E1407" s="7">
        <f t="shared" ca="1" si="86"/>
        <v>0.74950179350267232</v>
      </c>
      <c r="F1407" s="7">
        <f t="shared" ca="1" si="87"/>
        <v>2.2921889991002857E-2</v>
      </c>
      <c r="G1407" s="7">
        <f ca="1">$C$11/(1+D1407)^1
 +$D$11/(1+D1407)^2
 +$E$11/(1+D1407)^3
 +$F$11/(1+D1407)^4
 +$G$11/(1+D1407)^5
 +$H$11/(1+D1407)^6
 +$I$11/(1+D1407)^7
 + ( $I$11*(1+F1407)/(D1407-F1407) )/(1+D1407)^7</f>
        <v>404.28555745542735</v>
      </c>
      <c r="H1407" s="7">
        <f ca="1">(G1407-$C$8)/$C$9</f>
        <v>2.2208025636331259</v>
      </c>
    </row>
    <row r="1408" spans="3:8" x14ac:dyDescent="0.35">
      <c r="C1408" s="8">
        <f t="shared" ca="1" si="84"/>
        <v>0.54998383051976441</v>
      </c>
      <c r="D1408" s="7">
        <f t="shared" ca="1" si="85"/>
        <v>9.1264669413256033E-2</v>
      </c>
      <c r="E1408" s="7">
        <f t="shared" ca="1" si="86"/>
        <v>0.13171295270851824</v>
      </c>
      <c r="F1408" s="7">
        <f t="shared" ca="1" si="87"/>
        <v>1.513250334064223E-2</v>
      </c>
      <c r="G1408" s="7">
        <f ca="1">$C$11/(1+D1408)^1
 +$D$11/(1+D1408)^2
 +$E$11/(1+D1408)^3
 +$F$11/(1+D1408)^4
 +$G$11/(1+D1408)^5
 +$H$11/(1+D1408)^6
 +$I$11/(1+D1408)^7
 + ( $I$11*(1+F1408)/(D1408-F1408) )/(1+D1408)^7</f>
        <v>357.19109466600662</v>
      </c>
      <c r="H1408" s="7">
        <f ca="1">(G1408-$C$8)/$C$9</f>
        <v>1.9545516432949266</v>
      </c>
    </row>
    <row r="1409" spans="3:8" x14ac:dyDescent="0.35">
      <c r="C1409" s="8">
        <f t="shared" ca="1" si="84"/>
        <v>8.4222646169378024E-2</v>
      </c>
      <c r="D1409" s="7">
        <f t="shared" ca="1" si="85"/>
        <v>7.8310389272404149E-2</v>
      </c>
      <c r="E1409" s="7">
        <f t="shared" ca="1" si="86"/>
        <v>0.66065585898588042</v>
      </c>
      <c r="F1409" s="7">
        <f t="shared" ca="1" si="87"/>
        <v>2.1761746046471745E-2</v>
      </c>
      <c r="G1409" s="7">
        <f ca="1">$C$11/(1+D1409)^1
 +$D$11/(1+D1409)^2
 +$E$11/(1+D1409)^3
 +$F$11/(1+D1409)^4
 +$G$11/(1+D1409)^5
 +$H$11/(1+D1409)^6
 +$I$11/(1+D1409)^7
 + ( $I$11*(1+F1409)/(D1409-F1409) )/(1+D1409)^7</f>
        <v>471.43618299709806</v>
      </c>
      <c r="H1409" s="7">
        <f ca="1">(G1409-$C$8)/$C$9</f>
        <v>2.6004420115168365</v>
      </c>
    </row>
    <row r="1410" spans="3:8" x14ac:dyDescent="0.35">
      <c r="C1410" s="8">
        <f t="shared" ca="1" si="84"/>
        <v>0.27151567141274358</v>
      </c>
      <c r="D1410" s="7">
        <f t="shared" ca="1" si="85"/>
        <v>8.4921221483459375E-2</v>
      </c>
      <c r="E1410" s="7">
        <f t="shared" ca="1" si="86"/>
        <v>0.51652125159587758</v>
      </c>
      <c r="F1410" s="7">
        <f t="shared" ca="1" si="87"/>
        <v>2.0166600298939109E-2</v>
      </c>
      <c r="G1410" s="7">
        <f ca="1">$C$11/(1+D1410)^1
 +$D$11/(1+D1410)^2
 +$E$11/(1+D1410)^3
 +$F$11/(1+D1410)^4
 +$G$11/(1+D1410)^5
 +$H$11/(1+D1410)^6
 +$I$11/(1+D1410)^7
 + ( $I$11*(1+F1410)/(D1410-F1410) )/(1+D1410)^7</f>
        <v>412.85246729462767</v>
      </c>
      <c r="H1410" s="7">
        <f ca="1">(G1410-$C$8)/$C$9</f>
        <v>2.2692360204354798</v>
      </c>
    </row>
    <row r="1411" spans="3:8" x14ac:dyDescent="0.35">
      <c r="C1411" s="8">
        <f t="shared" ca="1" si="84"/>
        <v>0.1073023120428912</v>
      </c>
      <c r="D1411" s="7">
        <f t="shared" ca="1" si="85"/>
        <v>7.9380186345439557E-2</v>
      </c>
      <c r="E1411" s="7">
        <f t="shared" ca="1" si="86"/>
        <v>0.46138959004287639</v>
      </c>
      <c r="F1411" s="7">
        <f t="shared" ca="1" si="87"/>
        <v>1.9606139599681823E-2</v>
      </c>
      <c r="G1411" s="7">
        <f ca="1">$C$11/(1+D1411)^1
 +$D$11/(1+D1411)^2
 +$E$11/(1+D1411)^3
 +$F$11/(1+D1411)^4
 +$G$11/(1+D1411)^5
 +$H$11/(1+D1411)^6
 +$I$11/(1+D1411)^7
 + ( $I$11*(1+F1411)/(D1411-F1411) )/(1+D1411)^7</f>
        <v>449.89208530244969</v>
      </c>
      <c r="H1411" s="7">
        <f ca="1">(G1411-$C$8)/$C$9</f>
        <v>2.4786413687384083</v>
      </c>
    </row>
    <row r="1412" spans="3:8" x14ac:dyDescent="0.35">
      <c r="C1412" s="8">
        <f t="shared" ca="1" si="84"/>
        <v>0.53548066427452778</v>
      </c>
      <c r="D1412" s="7">
        <f t="shared" ca="1" si="85"/>
        <v>9.0965161364858688E-2</v>
      </c>
      <c r="E1412" s="7">
        <f t="shared" ca="1" si="86"/>
        <v>0.44281612977254425</v>
      </c>
      <c r="F1412" s="7">
        <f t="shared" ca="1" si="87"/>
        <v>1.9410803682710039E-2</v>
      </c>
      <c r="G1412" s="7">
        <f ca="1">$C$11/(1+D1412)^1
 +$D$11/(1+D1412)^2
 +$E$11/(1+D1412)^3
 +$F$11/(1+D1412)^4
 +$G$11/(1+D1412)^5
 +$H$11/(1+D1412)^6
 +$I$11/(1+D1412)^7
 + ( $I$11*(1+F1412)/(D1412-F1412) )/(1+D1412)^7</f>
        <v>373.42635770416155</v>
      </c>
      <c r="H1412" s="7">
        <f ca="1">(G1412-$C$8)/$C$9</f>
        <v>2.0463385216200902</v>
      </c>
    </row>
    <row r="1413" spans="3:8" x14ac:dyDescent="0.35">
      <c r="C1413" s="8">
        <f t="shared" ca="1" si="84"/>
        <v>0.79264719744239942</v>
      </c>
      <c r="D1413" s="7">
        <f t="shared" ca="1" si="85"/>
        <v>9.7282485069993888E-2</v>
      </c>
      <c r="E1413" s="7">
        <f t="shared" ca="1" si="86"/>
        <v>0.81611696904579489</v>
      </c>
      <c r="F1413" s="7">
        <f t="shared" ca="1" si="87"/>
        <v>2.3935628128912194E-2</v>
      </c>
      <c r="G1413" s="7">
        <f ca="1">$C$11/(1+D1413)^1
 +$D$11/(1+D1413)^2
 +$E$11/(1+D1413)^3
 +$F$11/(1+D1413)^4
 +$G$11/(1+D1413)^5
 +$H$11/(1+D1413)^6
 +$I$11/(1+D1413)^7
 + ( $I$11*(1+F1413)/(D1413-F1413) )/(1+D1413)^7</f>
        <v>356.14673745748496</v>
      </c>
      <c r="H1413" s="7">
        <f ca="1">(G1413-$C$8)/$C$9</f>
        <v>1.9486473171499601</v>
      </c>
    </row>
    <row r="1414" spans="3:8" x14ac:dyDescent="0.35">
      <c r="C1414" s="8">
        <f t="shared" ca="1" si="84"/>
        <v>0.78794874780267832</v>
      </c>
      <c r="D1414" s="7">
        <f t="shared" ca="1" si="85"/>
        <v>9.7139207772694913E-2</v>
      </c>
      <c r="E1414" s="7">
        <f t="shared" ca="1" si="86"/>
        <v>0.89548304037261395</v>
      </c>
      <c r="F1414" s="7">
        <f t="shared" ca="1" si="87"/>
        <v>2.5427977261049853E-2</v>
      </c>
      <c r="G1414" s="7">
        <f ca="1">$C$11/(1+D1414)^1
 +$D$11/(1+D1414)^2
 +$E$11/(1+D1414)^3
 +$F$11/(1+D1414)^4
 +$G$11/(1+D1414)^5
 +$H$11/(1+D1414)^6
 +$I$11/(1+D1414)^7
 + ( $I$11*(1+F1414)/(D1414-F1414) )/(1+D1414)^7</f>
        <v>362.01437052439394</v>
      </c>
      <c r="H1414" s="7">
        <f ca="1">(G1414-$C$8)/$C$9</f>
        <v>1.9818202765965283</v>
      </c>
    </row>
    <row r="1415" spans="3:8" x14ac:dyDescent="0.35">
      <c r="C1415" s="8">
        <f t="shared" ca="1" si="84"/>
        <v>0.52675575465597402</v>
      </c>
      <c r="D1415" s="7">
        <f t="shared" ca="1" si="85"/>
        <v>9.0787230512798522E-2</v>
      </c>
      <c r="E1415" s="7">
        <f t="shared" ca="1" si="86"/>
        <v>0.27063720238182543</v>
      </c>
      <c r="F1415" s="7">
        <f t="shared" ca="1" si="87"/>
        <v>1.7357135344437065E-2</v>
      </c>
      <c r="G1415" s="7">
        <f ca="1">$C$11/(1+D1415)^1
 +$D$11/(1+D1415)^2
 +$E$11/(1+D1415)^3
 +$F$11/(1+D1415)^4
 +$G$11/(1+D1415)^5
 +$H$11/(1+D1415)^6
 +$I$11/(1+D1415)^7
 + ( $I$11*(1+F1415)/(D1415-F1415) )/(1+D1415)^7</f>
        <v>367.05856030737527</v>
      </c>
      <c r="H1415" s="7">
        <f ca="1">(G1415-$C$8)/$C$9</f>
        <v>2.0103378579114386</v>
      </c>
    </row>
    <row r="1416" spans="3:8" x14ac:dyDescent="0.35">
      <c r="C1416" s="8">
        <f t="shared" ca="1" si="84"/>
        <v>0.85421267836887715</v>
      </c>
      <c r="D1416" s="7">
        <f t="shared" ca="1" si="85"/>
        <v>9.9336318137140639E-2</v>
      </c>
      <c r="E1416" s="7">
        <f t="shared" ca="1" si="86"/>
        <v>0.95069891602732215</v>
      </c>
      <c r="F1416" s="7">
        <f t="shared" ca="1" si="87"/>
        <v>2.6859901785845613E-2</v>
      </c>
      <c r="G1416" s="7">
        <f ca="1">$C$11/(1+D1416)^1
 +$D$11/(1+D1416)^2
 +$E$11/(1+D1416)^3
 +$F$11/(1+D1416)^4
 +$G$11/(1+D1416)^5
 +$H$11/(1+D1416)^6
 +$I$11/(1+D1416)^7
 + ( $I$11*(1+F1416)/(D1416-F1416) )/(1+D1416)^7</f>
        <v>355.62243721947704</v>
      </c>
      <c r="H1416" s="7">
        <f ca="1">(G1416-$C$8)/$C$9</f>
        <v>1.9456831593140944</v>
      </c>
    </row>
    <row r="1417" spans="3:8" x14ac:dyDescent="0.35">
      <c r="C1417" s="8">
        <f t="shared" ca="1" si="84"/>
        <v>0.64514155658122396</v>
      </c>
      <c r="D1417" s="7">
        <f t="shared" ca="1" si="85"/>
        <v>9.3363005503798308E-2</v>
      </c>
      <c r="E1417" s="7">
        <f t="shared" ca="1" si="86"/>
        <v>0.44225285543853066</v>
      </c>
      <c r="F1417" s="7">
        <f t="shared" ca="1" si="87"/>
        <v>1.9404816377139221E-2</v>
      </c>
      <c r="G1417" s="7">
        <f ca="1">$C$11/(1+D1417)^1
 +$D$11/(1+D1417)^2
 +$E$11/(1+D1417)^3
 +$F$11/(1+D1417)^4
 +$G$11/(1+D1417)^5
 +$H$11/(1+D1417)^6
 +$I$11/(1+D1417)^7
 + ( $I$11*(1+F1417)/(D1417-F1417) )/(1+D1417)^7</f>
        <v>360.77176248000956</v>
      </c>
      <c r="H1417" s="7">
        <f ca="1">(G1417-$C$8)/$C$9</f>
        <v>1.9747951293532877</v>
      </c>
    </row>
    <row r="1418" spans="3:8" x14ac:dyDescent="0.35">
      <c r="C1418" s="8">
        <f t="shared" ca="1" si="84"/>
        <v>0.50627019070769297</v>
      </c>
      <c r="D1418" s="7">
        <f t="shared" ca="1" si="85"/>
        <v>9.0375022855945661E-2</v>
      </c>
      <c r="E1418" s="7">
        <f t="shared" ca="1" si="86"/>
        <v>0.38914999341562984</v>
      </c>
      <c r="F1418" s="7">
        <f t="shared" ca="1" si="87"/>
        <v>1.8822131187141003E-2</v>
      </c>
      <c r="G1418" s="7">
        <f ca="1">$C$11/(1+D1418)^1
 +$D$11/(1+D1418)^2
 +$E$11/(1+D1418)^3
 +$F$11/(1+D1418)^4
 +$G$11/(1+D1418)^5
 +$H$11/(1+D1418)^6
 +$I$11/(1+D1418)^7
 + ( $I$11*(1+F1418)/(D1418-F1418) )/(1+D1418)^7</f>
        <v>374.49122890826021</v>
      </c>
      <c r="H1418" s="7">
        <f ca="1">(G1418-$C$8)/$C$9</f>
        <v>2.0523588246735649</v>
      </c>
    </row>
    <row r="1419" spans="3:8" x14ac:dyDescent="0.35">
      <c r="C1419" s="8">
        <f t="shared" ca="1" si="84"/>
        <v>0.22803019906195254</v>
      </c>
      <c r="D1419" s="7">
        <f t="shared" ca="1" si="85"/>
        <v>8.3674237208371111E-2</v>
      </c>
      <c r="E1419" s="7">
        <f t="shared" ca="1" si="86"/>
        <v>0.8542256152275518</v>
      </c>
      <c r="F1419" s="7">
        <f t="shared" ca="1" si="87"/>
        <v>2.4600474376902205E-2</v>
      </c>
      <c r="G1419" s="7">
        <f ca="1">$C$11/(1+D1419)^1
 +$D$11/(1+D1419)^2
 +$E$11/(1+D1419)^3
 +$F$11/(1+D1419)^4
 +$G$11/(1+D1419)^5
 +$H$11/(1+D1419)^6
 +$I$11/(1+D1419)^7
 + ( $I$11*(1+F1419)/(D1419-F1419) )/(1+D1419)^7</f>
        <v>444.30744887845532</v>
      </c>
      <c r="H1419" s="7">
        <f ca="1">(G1419-$C$8)/$C$9</f>
        <v>2.4470683450839852</v>
      </c>
    </row>
    <row r="1420" spans="3:8" x14ac:dyDescent="0.35">
      <c r="C1420" s="8">
        <f t="shared" ca="1" si="84"/>
        <v>0.18579476806341944</v>
      </c>
      <c r="D1420" s="7">
        <f t="shared" ca="1" si="85"/>
        <v>8.2343083480719226E-2</v>
      </c>
      <c r="E1420" s="7">
        <f t="shared" ca="1" si="86"/>
        <v>0.62568827113973646</v>
      </c>
      <c r="F1420" s="7">
        <f t="shared" ca="1" si="87"/>
        <v>2.1347697082738454E-2</v>
      </c>
      <c r="G1420" s="7">
        <f ca="1">$C$11/(1+D1420)^1
 +$D$11/(1+D1420)^2
 +$E$11/(1+D1420)^3
 +$F$11/(1+D1420)^4
 +$G$11/(1+D1420)^5
 +$H$11/(1+D1420)^6
 +$I$11/(1+D1420)^7
 + ( $I$11*(1+F1420)/(D1420-F1420) )/(1+D1420)^7</f>
        <v>436.77191976670503</v>
      </c>
      <c r="H1420" s="7">
        <f ca="1">(G1420-$C$8)/$C$9</f>
        <v>2.4044658512364596</v>
      </c>
    </row>
    <row r="1421" spans="3:8" x14ac:dyDescent="0.35">
      <c r="C1421" s="8">
        <f t="shared" ca="1" si="84"/>
        <v>0.73652491762256844</v>
      </c>
      <c r="D1421" s="7">
        <f t="shared" ca="1" si="85"/>
        <v>9.566436034721866E-2</v>
      </c>
      <c r="E1421" s="7">
        <f t="shared" ca="1" si="86"/>
        <v>0.15479706544051042</v>
      </c>
      <c r="F1421" s="7">
        <f t="shared" ca="1" si="87"/>
        <v>1.5564118356766153E-2</v>
      </c>
      <c r="G1421" s="7">
        <f ca="1">$C$11/(1+D1421)^1
 +$D$11/(1+D1421)^2
 +$E$11/(1+D1421)^3
 +$F$11/(1+D1421)^4
 +$G$11/(1+D1421)^5
 +$H$11/(1+D1421)^6
 +$I$11/(1+D1421)^7
 + ( $I$11*(1+F1421)/(D1421-F1421) )/(1+D1421)^7</f>
        <v>337.93366536647784</v>
      </c>
      <c r="H1421" s="7">
        <f ca="1">(G1421-$C$8)/$C$9</f>
        <v>1.8456787956042391</v>
      </c>
    </row>
    <row r="1422" spans="3:8" x14ac:dyDescent="0.35">
      <c r="C1422" s="8">
        <f t="shared" ca="1" si="84"/>
        <v>2.2023045058203405E-2</v>
      </c>
      <c r="D1422" s="7">
        <f t="shared" ca="1" si="85"/>
        <v>7.4249576090356165E-2</v>
      </c>
      <c r="E1422" s="7">
        <f t="shared" ca="1" si="86"/>
        <v>1.9027343113652395E-2</v>
      </c>
      <c r="F1422" s="7">
        <f t="shared" ca="1" si="87"/>
        <v>1.1950761036808578E-2</v>
      </c>
      <c r="G1422" s="7">
        <f ca="1">$C$11/(1+D1422)^1
 +$D$11/(1+D1422)^2
 +$E$11/(1+D1422)^3
 +$F$11/(1+D1422)^4
 +$G$11/(1+D1422)^5
 +$H$11/(1+D1422)^6
 +$I$11/(1+D1422)^7
 + ( $I$11*(1+F1422)/(D1422-F1422) )/(1+D1422)^7</f>
        <v>447.59834542426518</v>
      </c>
      <c r="H1422" s="7">
        <f ca="1">(G1422-$C$8)/$C$9</f>
        <v>2.4656735946645476</v>
      </c>
    </row>
    <row r="1423" spans="3:8" x14ac:dyDescent="0.35">
      <c r="C1423" s="8">
        <f t="shared" ca="1" si="84"/>
        <v>0.77598960394759575</v>
      </c>
      <c r="D1423" s="7">
        <f t="shared" ca="1" si="85"/>
        <v>9.6781523956186361E-2</v>
      </c>
      <c r="E1423" s="7">
        <f t="shared" ca="1" si="86"/>
        <v>0.59724917310695325</v>
      </c>
      <c r="F1423" s="7">
        <f t="shared" ca="1" si="87"/>
        <v>2.1025025605685033E-2</v>
      </c>
      <c r="G1423" s="7">
        <f ca="1">$C$11/(1+D1423)^1
 +$D$11/(1+D1423)^2
 +$E$11/(1+D1423)^3
 +$F$11/(1+D1423)^4
 +$G$11/(1+D1423)^5
 +$H$11/(1+D1423)^6
 +$I$11/(1+D1423)^7
 + ( $I$11*(1+F1423)/(D1423-F1423) )/(1+D1423)^7</f>
        <v>349.1348918165346</v>
      </c>
      <c r="H1423" s="7">
        <f ca="1">(G1423-$C$8)/$C$9</f>
        <v>1.9090054942137866</v>
      </c>
    </row>
    <row r="1424" spans="3:8" x14ac:dyDescent="0.35">
      <c r="C1424" s="8">
        <f t="shared" ca="1" si="84"/>
        <v>0.45916502576304818</v>
      </c>
      <c r="D1424" s="7">
        <f t="shared" ca="1" si="85"/>
        <v>8.9404002708866531E-2</v>
      </c>
      <c r="E1424" s="7">
        <f t="shared" ca="1" si="86"/>
        <v>0.81316203140828847</v>
      </c>
      <c r="F1424" s="7">
        <f t="shared" ca="1" si="87"/>
        <v>2.3887096130451396E-2</v>
      </c>
      <c r="G1424" s="7">
        <f ca="1">$C$11/(1+D1424)^1
 +$D$11/(1+D1424)^2
 +$E$11/(1+D1424)^3
 +$F$11/(1+D1424)^4
 +$G$11/(1+D1424)^5
 +$H$11/(1+D1424)^6
 +$I$11/(1+D1424)^7
 + ( $I$11*(1+F1424)/(D1424-F1424) )/(1+D1424)^7</f>
        <v>400.54440482006601</v>
      </c>
      <c r="H1424" s="7">
        <f ca="1">(G1424-$C$8)/$C$9</f>
        <v>2.1996517685440184</v>
      </c>
    </row>
    <row r="1425" spans="3:8" x14ac:dyDescent="0.35">
      <c r="C1425" s="8">
        <f t="shared" ref="C1425:C1488" ca="1" si="88">RAND()</f>
        <v>0.65868660915866284</v>
      </c>
      <c r="D1425" s="7">
        <f t="shared" ref="D1425:D1488" ca="1" si="89">IF(C1425&lt;(0.0905-0.07)/(0.11-0.07),
 0.07+SQRT(C1425*(0.11-0.07)*(0.0905-0.07)),
 0.11-SQRT((1-C1425)*(0.11-0.07)*(0.11-0.0905))
)</f>
        <v>9.3683614222008507E-2</v>
      </c>
      <c r="E1425" s="7">
        <f t="shared" ref="E1425:E1488" ca="1" si="90">RAND()</f>
        <v>5.2754992069894646E-2</v>
      </c>
      <c r="F1425" s="7">
        <f t="shared" ref="F1425:F1488" ca="1" si="91">MIN(
 IF(E1425&lt;(0.02-0.01)/(0.03-0.01),
   0.01+SQRT(E1425*(0.03-0.01)*(0.02-0.01)),
   0.03-SQRT((1-E1425)*(0.03-0.01)*(0.03-0.02))
 ),
 D1425-0.005
)</f>
        <v>1.3248230043266475E-2</v>
      </c>
      <c r="G1425" s="7">
        <f ca="1">$C$11/(1+D1425)^1
 +$D$11/(1+D1425)^2
 +$E$11/(1+D1425)^3
 +$F$11/(1+D1425)^4
 +$G$11/(1+D1425)^5
 +$H$11/(1+D1425)^6
 +$I$11/(1+D1425)^7
 + ( $I$11*(1+F1425)/(D1425-F1425) )/(1+D1425)^7</f>
        <v>340.14828093789151</v>
      </c>
      <c r="H1425" s="7">
        <f ca="1">(G1425-$C$8)/$C$9</f>
        <v>1.8581992364195585</v>
      </c>
    </row>
    <row r="1426" spans="3:8" x14ac:dyDescent="0.35">
      <c r="C1426" s="8">
        <f t="shared" ca="1" si="88"/>
        <v>0.70005568143036889</v>
      </c>
      <c r="D1426" s="7">
        <f t="shared" ca="1" si="89"/>
        <v>9.4704361128599035E-2</v>
      </c>
      <c r="E1426" s="7">
        <f t="shared" ca="1" si="90"/>
        <v>0.1039674848446942</v>
      </c>
      <c r="F1426" s="7">
        <f t="shared" ca="1" si="91"/>
        <v>1.4559988702720527E-2</v>
      </c>
      <c r="G1426" s="7">
        <f ca="1">$C$11/(1+D1426)^1
 +$D$11/(1+D1426)^2
 +$E$11/(1+D1426)^3
 +$F$11/(1+D1426)^4
 +$G$11/(1+D1426)^5
 +$H$11/(1+D1426)^6
 +$I$11/(1+D1426)^7
 + ( $I$11*(1+F1426)/(D1426-F1426) )/(1+D1426)^7</f>
        <v>339.34100908401615</v>
      </c>
      <c r="H1426" s="7">
        <f ca="1">(G1426-$C$8)/$C$9</f>
        <v>1.8536352842832211</v>
      </c>
    </row>
    <row r="1427" spans="3:8" x14ac:dyDescent="0.35">
      <c r="C1427" s="8">
        <f t="shared" ca="1" si="88"/>
        <v>0.12635026573670816</v>
      </c>
      <c r="D1427" s="7">
        <f t="shared" ca="1" si="89"/>
        <v>8.017876308320912E-2</v>
      </c>
      <c r="E1427" s="7">
        <f t="shared" ca="1" si="90"/>
        <v>0.45086684234168117</v>
      </c>
      <c r="F1427" s="7">
        <f t="shared" ca="1" si="91"/>
        <v>1.9495965904969131E-2</v>
      </c>
      <c r="G1427" s="7">
        <f ca="1">$C$11/(1+D1427)^1
 +$D$11/(1+D1427)^2
 +$E$11/(1+D1427)^3
 +$F$11/(1+D1427)^4
 +$G$11/(1+D1427)^5
 +$H$11/(1+D1427)^6
 +$I$11/(1+D1427)^7
 + ( $I$11*(1+F1427)/(D1427-F1427) )/(1+D1427)^7</f>
        <v>443.13973843090253</v>
      </c>
      <c r="H1427" s="7">
        <f ca="1">(G1427-$C$8)/$C$9</f>
        <v>2.440466635181493</v>
      </c>
    </row>
    <row r="1428" spans="3:8" x14ac:dyDescent="0.35">
      <c r="C1428" s="8">
        <f t="shared" ca="1" si="88"/>
        <v>0.41664555213606491</v>
      </c>
      <c r="D1428" s="7">
        <f t="shared" ca="1" si="89"/>
        <v>8.8483759161803996E-2</v>
      </c>
      <c r="E1428" s="7">
        <f t="shared" ca="1" si="90"/>
        <v>0.32582075884219364</v>
      </c>
      <c r="F1428" s="7">
        <f t="shared" ca="1" si="91"/>
        <v>1.8072431589579357E-2</v>
      </c>
      <c r="G1428" s="7">
        <f ca="1">$C$11/(1+D1428)^1
 +$D$11/(1+D1428)^2
 +$E$11/(1+D1428)^3
 +$F$11/(1+D1428)^4
 +$G$11/(1+D1428)^5
 +$H$11/(1+D1428)^6
 +$I$11/(1+D1428)^7
 + ( $I$11*(1+F1428)/(D1428-F1428) )/(1+D1428)^7</f>
        <v>382.21091922202527</v>
      </c>
      <c r="H1428" s="7">
        <f ca="1">(G1428-$C$8)/$C$9</f>
        <v>2.0960024831638697</v>
      </c>
    </row>
    <row r="1429" spans="3:8" x14ac:dyDescent="0.35">
      <c r="C1429" s="8">
        <f t="shared" ca="1" si="88"/>
        <v>0.13294873838184762</v>
      </c>
      <c r="D1429" s="7">
        <f t="shared" ca="1" si="89"/>
        <v>8.0441166863579716E-2</v>
      </c>
      <c r="E1429" s="7">
        <f t="shared" ca="1" si="90"/>
        <v>0.42108839523578012</v>
      </c>
      <c r="F1429" s="7">
        <f t="shared" ca="1" si="91"/>
        <v>1.9177019071962093E-2</v>
      </c>
      <c r="G1429" s="7">
        <f ca="1">$C$11/(1+D1429)^1
 +$D$11/(1+D1429)^2
 +$E$11/(1+D1429)^3
 +$F$11/(1+D1429)^4
 +$G$11/(1+D1429)^5
 +$H$11/(1+D1429)^6
 +$I$11/(1+D1429)^7
 + ( $I$11*(1+F1429)/(D1429-F1429) )/(1+D1429)^7</f>
        <v>439.46385600134914</v>
      </c>
      <c r="H1429" s="7">
        <f ca="1">(G1429-$C$8)/$C$9</f>
        <v>2.419684848492476</v>
      </c>
    </row>
    <row r="1430" spans="3:8" x14ac:dyDescent="0.35">
      <c r="C1430" s="8">
        <f t="shared" ca="1" si="88"/>
        <v>0.33399770059825162</v>
      </c>
      <c r="D1430" s="7">
        <f t="shared" ca="1" si="89"/>
        <v>8.6549263261262305E-2</v>
      </c>
      <c r="E1430" s="7">
        <f t="shared" ca="1" si="90"/>
        <v>0.32681431079020373</v>
      </c>
      <c r="F1430" s="7">
        <f t="shared" ca="1" si="91"/>
        <v>1.8084730184615982E-2</v>
      </c>
      <c r="G1430" s="7">
        <f ca="1">$C$11/(1+D1430)^1
 +$D$11/(1+D1430)^2
 +$E$11/(1+D1430)^3
 +$F$11/(1+D1430)^4
 +$G$11/(1+D1430)^5
 +$H$11/(1+D1430)^6
 +$I$11/(1+D1430)^7
 + ( $I$11*(1+F1430)/(D1430-F1430) )/(1+D1430)^7</f>
        <v>393.54095256364417</v>
      </c>
      <c r="H1430" s="7">
        <f ca="1">(G1430-$C$8)/$C$9</f>
        <v>2.1600573980305526</v>
      </c>
    </row>
    <row r="1431" spans="3:8" x14ac:dyDescent="0.35">
      <c r="C1431" s="8">
        <f t="shared" ca="1" si="88"/>
        <v>0.15551878525919538</v>
      </c>
      <c r="D1431" s="7">
        <f t="shared" ca="1" si="89"/>
        <v>8.1292714638763364E-2</v>
      </c>
      <c r="E1431" s="7">
        <f t="shared" ca="1" si="90"/>
        <v>0.53640345097155639</v>
      </c>
      <c r="F1431" s="7">
        <f t="shared" ca="1" si="91"/>
        <v>2.0370913345197857E-2</v>
      </c>
      <c r="G1431" s="7">
        <f ca="1">$C$11/(1+D1431)^1
 +$D$11/(1+D1431)^2
 +$E$11/(1+D1431)^3
 +$F$11/(1+D1431)^4
 +$G$11/(1+D1431)^5
 +$H$11/(1+D1431)^6
 +$I$11/(1+D1431)^7
 + ( $I$11*(1+F1431)/(D1431-F1431) )/(1+D1431)^7</f>
        <v>439.43125834157354</v>
      </c>
      <c r="H1431" s="7">
        <f ca="1">(G1431-$C$8)/$C$9</f>
        <v>2.4195005559790452</v>
      </c>
    </row>
    <row r="1432" spans="3:8" x14ac:dyDescent="0.35">
      <c r="C1432" s="8">
        <f t="shared" ca="1" si="88"/>
        <v>0.71897740994362147</v>
      </c>
      <c r="D1432" s="7">
        <f t="shared" ca="1" si="89"/>
        <v>9.5194675949376348E-2</v>
      </c>
      <c r="E1432" s="7">
        <f t="shared" ca="1" si="90"/>
        <v>0.9883020113541412</v>
      </c>
      <c r="F1432" s="7">
        <f t="shared" ca="1" si="91"/>
        <v>2.8470425637907144E-2</v>
      </c>
      <c r="G1432" s="7">
        <f ca="1">$C$11/(1+D1432)^1
 +$D$11/(1+D1432)^2
 +$E$11/(1+D1432)^3
 +$F$11/(1+D1432)^4
 +$G$11/(1+D1432)^5
 +$H$11/(1+D1432)^6
 +$I$11/(1+D1432)^7
 + ( $I$11*(1+F1432)/(D1432-F1432) )/(1+D1432)^7</f>
        <v>384.4400059259462</v>
      </c>
      <c r="H1432" s="7">
        <f ca="1">(G1432-$C$8)/$C$9</f>
        <v>2.1086047372565933</v>
      </c>
    </row>
    <row r="1433" spans="3:8" x14ac:dyDescent="0.35">
      <c r="C1433" s="8">
        <f t="shared" ca="1" si="88"/>
        <v>0.70677110640863805</v>
      </c>
      <c r="D1433" s="7">
        <f t="shared" ca="1" si="89"/>
        <v>9.4876556708167872E-2</v>
      </c>
      <c r="E1433" s="7">
        <f t="shared" ca="1" si="90"/>
        <v>0.13310131017932059</v>
      </c>
      <c r="F1433" s="7">
        <f t="shared" ca="1" si="91"/>
        <v>1.515948272948598E-2</v>
      </c>
      <c r="G1433" s="7">
        <f ca="1">$C$11/(1+D1433)^1
 +$D$11/(1+D1433)^2
 +$E$11/(1+D1433)^3
 +$F$11/(1+D1433)^4
 +$G$11/(1+D1433)^5
 +$H$11/(1+D1433)^6
 +$I$11/(1+D1433)^7
 + ( $I$11*(1+F1433)/(D1433-F1433) )/(1+D1433)^7</f>
        <v>340.29037263059581</v>
      </c>
      <c r="H1433" s="7">
        <f ca="1">(G1433-$C$8)/$C$9</f>
        <v>1.8590025589698993</v>
      </c>
    </row>
    <row r="1434" spans="3:8" x14ac:dyDescent="0.35">
      <c r="C1434" s="8">
        <f t="shared" ca="1" si="88"/>
        <v>3.9287087501032381E-2</v>
      </c>
      <c r="D1434" s="7">
        <f t="shared" ca="1" si="89"/>
        <v>7.5675862203299749E-2</v>
      </c>
      <c r="E1434" s="7">
        <f t="shared" ca="1" si="90"/>
        <v>5.0145912595015441E-2</v>
      </c>
      <c r="F1434" s="7">
        <f t="shared" ca="1" si="91"/>
        <v>1.3166888460145555E-2</v>
      </c>
      <c r="G1434" s="7">
        <f ca="1">$C$11/(1+D1434)^1
 +$D$11/(1+D1434)^2
 +$E$11/(1+D1434)^3
 +$F$11/(1+D1434)^4
 +$G$11/(1+D1434)^5
 +$H$11/(1+D1434)^6
 +$I$11/(1+D1434)^7
 + ( $I$11*(1+F1434)/(D1434-F1434) )/(1+D1434)^7</f>
        <v>443.34049155800585</v>
      </c>
      <c r="H1434" s="7">
        <f ca="1">(G1434-$C$8)/$C$9</f>
        <v>2.4416016031094858</v>
      </c>
    </row>
    <row r="1435" spans="3:8" x14ac:dyDescent="0.35">
      <c r="C1435" s="8">
        <f t="shared" ca="1" si="88"/>
        <v>0.95489893583884211</v>
      </c>
      <c r="D1435" s="7">
        <f t="shared" ca="1" si="89"/>
        <v>0.10406882557618619</v>
      </c>
      <c r="E1435" s="7">
        <f t="shared" ca="1" si="90"/>
        <v>0.18827024817691751</v>
      </c>
      <c r="F1435" s="7">
        <f t="shared" ca="1" si="91"/>
        <v>1.6136289565803059E-2</v>
      </c>
      <c r="G1435" s="7">
        <f ca="1">$C$11/(1+D1435)^1
 +$D$11/(1+D1435)^2
 +$E$11/(1+D1435)^3
 +$F$11/(1+D1435)^4
 +$G$11/(1+D1435)^5
 +$H$11/(1+D1435)^6
 +$I$11/(1+D1435)^7
 + ( $I$11*(1+F1435)/(D1435-F1435) )/(1+D1435)^7</f>
        <v>305.51211241254924</v>
      </c>
      <c r="H1435" s="7">
        <f ca="1">(G1435-$C$8)/$C$9</f>
        <v>1.662381910970993</v>
      </c>
    </row>
    <row r="1436" spans="3:8" x14ac:dyDescent="0.35">
      <c r="C1436" s="8">
        <f t="shared" ca="1" si="88"/>
        <v>6.5323425141673441E-2</v>
      </c>
      <c r="D1436" s="7">
        <f t="shared" ca="1" si="89"/>
        <v>7.7318825630944638E-2</v>
      </c>
      <c r="E1436" s="7">
        <f t="shared" ca="1" si="90"/>
        <v>0.38463210955884419</v>
      </c>
      <c r="F1436" s="7">
        <f t="shared" ca="1" si="91"/>
        <v>1.877077088469245E-2</v>
      </c>
      <c r="G1436" s="7">
        <f ca="1">$C$11/(1+D1436)^1
 +$D$11/(1+D1436)^2
 +$E$11/(1+D1436)^3
 +$F$11/(1+D1436)^4
 +$G$11/(1+D1436)^5
 +$H$11/(1+D1436)^6
 +$I$11/(1+D1436)^7
 + ( $I$11*(1+F1436)/(D1436-F1436) )/(1+D1436)^7</f>
        <v>461.58766653784744</v>
      </c>
      <c r="H1436" s="7">
        <f ca="1">(G1436-$C$8)/$C$9</f>
        <v>2.5447629270570298</v>
      </c>
    </row>
    <row r="1437" spans="3:8" x14ac:dyDescent="0.35">
      <c r="C1437" s="8">
        <f t="shared" ca="1" si="88"/>
        <v>0.52152226214748509</v>
      </c>
      <c r="D1437" s="7">
        <f t="shared" ca="1" si="89"/>
        <v>9.068128794342227E-2</v>
      </c>
      <c r="E1437" s="7">
        <f t="shared" ca="1" si="90"/>
        <v>0.97471221664205432</v>
      </c>
      <c r="F1437" s="7">
        <f t="shared" ca="1" si="91"/>
        <v>2.7751098785720206E-2</v>
      </c>
      <c r="G1437" s="7">
        <f ca="1">$C$11/(1+D1437)^1
 +$D$11/(1+D1437)^2
 +$E$11/(1+D1437)^3
 +$F$11/(1+D1437)^4
 +$G$11/(1+D1437)^5
 +$H$11/(1+D1437)^6
 +$I$11/(1+D1437)^7
 + ( $I$11*(1+F1437)/(D1437-F1437) )/(1+D1437)^7</f>
        <v>409.83055680848054</v>
      </c>
      <c r="H1437" s="7">
        <f ca="1">(G1437-$C$8)/$C$9</f>
        <v>2.2521514971080987</v>
      </c>
    </row>
    <row r="1438" spans="3:8" x14ac:dyDescent="0.35">
      <c r="C1438" s="8">
        <f t="shared" ca="1" si="88"/>
        <v>0.36943485160296008</v>
      </c>
      <c r="D1438" s="7">
        <f t="shared" ca="1" si="89"/>
        <v>8.7405073349872076E-2</v>
      </c>
      <c r="E1438" s="7">
        <f t="shared" ca="1" si="90"/>
        <v>0.6903458629760626</v>
      </c>
      <c r="F1438" s="7">
        <f t="shared" ca="1" si="91"/>
        <v>2.213038581601439E-2</v>
      </c>
      <c r="G1438" s="7">
        <f ca="1">$C$11/(1+D1438)^1
 +$D$11/(1+D1438)^2
 +$E$11/(1+D1438)^3
 +$F$11/(1+D1438)^4
 +$G$11/(1+D1438)^5
 +$H$11/(1+D1438)^6
 +$I$11/(1+D1438)^7
 + ( $I$11*(1+F1438)/(D1438-F1438) )/(1+D1438)^7</f>
        <v>405.53341570514937</v>
      </c>
      <c r="H1438" s="7">
        <f ca="1">(G1438-$C$8)/$C$9</f>
        <v>2.2278573931770089</v>
      </c>
    </row>
    <row r="1439" spans="3:8" x14ac:dyDescent="0.35">
      <c r="C1439" s="8">
        <f t="shared" ca="1" si="88"/>
        <v>0.43131152748316348</v>
      </c>
      <c r="D1439" s="7">
        <f t="shared" ca="1" si="89"/>
        <v>8.8806260992982999E-2</v>
      </c>
      <c r="E1439" s="7">
        <f t="shared" ca="1" si="90"/>
        <v>0.25321733393488111</v>
      </c>
      <c r="F1439" s="7">
        <f t="shared" ca="1" si="91"/>
        <v>1.7116422330565845E-2</v>
      </c>
      <c r="G1439" s="7">
        <f ca="1">$C$11/(1+D1439)^1
 +$D$11/(1+D1439)^2
 +$E$11/(1+D1439)^3
 +$F$11/(1+D1439)^4
 +$G$11/(1+D1439)^5
 +$H$11/(1+D1439)^6
 +$I$11/(1+D1439)^7
 + ( $I$11*(1+F1439)/(D1439-F1439) )/(1+D1439)^7</f>
        <v>376.82083256292435</v>
      </c>
      <c r="H1439" s="7">
        <f ca="1">(G1439-$C$8)/$C$9</f>
        <v>2.0655293564163522</v>
      </c>
    </row>
    <row r="1440" spans="3:8" x14ac:dyDescent="0.35">
      <c r="C1440" s="8">
        <f t="shared" ca="1" si="88"/>
        <v>0.63643672200418999</v>
      </c>
      <c r="D1440" s="7">
        <f t="shared" ca="1" si="89"/>
        <v>9.316018536810064E-2</v>
      </c>
      <c r="E1440" s="7">
        <f t="shared" ca="1" si="90"/>
        <v>0.34298698656305371</v>
      </c>
      <c r="F1440" s="7">
        <f t="shared" ca="1" si="91"/>
        <v>1.8282354575397671E-2</v>
      </c>
      <c r="G1440" s="7">
        <f ca="1">$C$11/(1+D1440)^1
 +$D$11/(1+D1440)^2
 +$E$11/(1+D1440)^3
 +$F$11/(1+D1440)^4
 +$G$11/(1+D1440)^5
 +$H$11/(1+D1440)^6
 +$I$11/(1+D1440)^7
 + ( $I$11*(1+F1440)/(D1440-F1440) )/(1+D1440)^7</f>
        <v>358.05057448228251</v>
      </c>
      <c r="H1440" s="7">
        <f ca="1">(G1440-$C$8)/$C$9</f>
        <v>1.9594107557795257</v>
      </c>
    </row>
    <row r="1441" spans="3:8" x14ac:dyDescent="0.35">
      <c r="C1441" s="8">
        <f t="shared" ca="1" si="88"/>
        <v>0.78969859578162127</v>
      </c>
      <c r="D1441" s="7">
        <f t="shared" ca="1" si="89"/>
        <v>9.71923813575538E-2</v>
      </c>
      <c r="E1441" s="7">
        <f t="shared" ca="1" si="90"/>
        <v>0.64601935036572478</v>
      </c>
      <c r="F1441" s="7">
        <f t="shared" ca="1" si="91"/>
        <v>2.1585956386679764E-2</v>
      </c>
      <c r="G1441" s="7">
        <f ca="1">$C$11/(1+D1441)^1
 +$D$11/(1+D1441)^2
 +$E$11/(1+D1441)^3
 +$F$11/(1+D1441)^4
 +$G$11/(1+D1441)^5
 +$H$11/(1+D1441)^6
 +$I$11/(1+D1441)^7
 + ( $I$11*(1+F1441)/(D1441-F1441) )/(1+D1441)^7</f>
        <v>348.93047197338956</v>
      </c>
      <c r="H1441" s="7">
        <f ca="1">(G1441-$C$8)/$C$9</f>
        <v>1.9078497963217409</v>
      </c>
    </row>
    <row r="1442" spans="3:8" x14ac:dyDescent="0.35">
      <c r="C1442" s="8">
        <f t="shared" ca="1" si="88"/>
        <v>0.58601104302349094</v>
      </c>
      <c r="D1442" s="7">
        <f t="shared" ca="1" si="89"/>
        <v>9.2030264708636442E-2</v>
      </c>
      <c r="E1442" s="7">
        <f t="shared" ca="1" si="90"/>
        <v>0.66893788785788288</v>
      </c>
      <c r="F1442" s="7">
        <f t="shared" ca="1" si="91"/>
        <v>2.1862898401247319E-2</v>
      </c>
      <c r="G1442" s="7">
        <f ca="1">$C$11/(1+D1442)^1
 +$D$11/(1+D1442)^2
 +$E$11/(1+D1442)^3
 +$F$11/(1+D1442)^4
 +$G$11/(1+D1442)^5
 +$H$11/(1+D1442)^6
 +$I$11/(1+D1442)^7
 + ( $I$11*(1+F1442)/(D1442-F1442) )/(1+D1442)^7</f>
        <v>376.66295769623059</v>
      </c>
      <c r="H1442" s="7">
        <f ca="1">(G1442-$C$8)/$C$9</f>
        <v>2.0646368028959214</v>
      </c>
    </row>
    <row r="1443" spans="3:8" x14ac:dyDescent="0.35">
      <c r="C1443" s="8">
        <f t="shared" ca="1" si="88"/>
        <v>0.19954863412660484</v>
      </c>
      <c r="D1443" s="7">
        <f t="shared" ca="1" si="89"/>
        <v>8.279178955360883E-2</v>
      </c>
      <c r="E1443" s="7">
        <f t="shared" ca="1" si="90"/>
        <v>0.28203452585014177</v>
      </c>
      <c r="F1443" s="7">
        <f t="shared" ca="1" si="91"/>
        <v>1.7510453060237335E-2</v>
      </c>
      <c r="G1443" s="7">
        <f ca="1">$C$11/(1+D1443)^1
 +$D$11/(1+D1443)^2
 +$E$11/(1+D1443)^3
 +$F$11/(1+D1443)^4
 +$G$11/(1+D1443)^5
 +$H$11/(1+D1443)^6
 +$I$11/(1+D1443)^7
 + ( $I$11*(1+F1443)/(D1443-F1443) )/(1+D1443)^7</f>
        <v>414.73608954488884</v>
      </c>
      <c r="H1443" s="7">
        <f ca="1">(G1443-$C$8)/$C$9</f>
        <v>2.2798851738177794</v>
      </c>
    </row>
    <row r="1444" spans="3:8" x14ac:dyDescent="0.35">
      <c r="C1444" s="8">
        <f t="shared" ca="1" si="88"/>
        <v>0.59118687942523307</v>
      </c>
      <c r="D1444" s="7">
        <f t="shared" ca="1" si="89"/>
        <v>9.2142950018317182E-2</v>
      </c>
      <c r="E1444" s="7">
        <f t="shared" ca="1" si="90"/>
        <v>0.90091515678163248</v>
      </c>
      <c r="F1444" s="7">
        <f t="shared" ca="1" si="91"/>
        <v>2.5548374606542738E-2</v>
      </c>
      <c r="G1444" s="7">
        <f ca="1">$C$11/(1+D1444)^1
 +$D$11/(1+D1444)^2
 +$E$11/(1+D1444)^3
 +$F$11/(1+D1444)^4
 +$G$11/(1+D1444)^5
 +$H$11/(1+D1444)^6
 +$I$11/(1+D1444)^7
 + ( $I$11*(1+F1444)/(D1444-F1444) )/(1+D1444)^7</f>
        <v>390.6745105772406</v>
      </c>
      <c r="H1444" s="7">
        <f ca="1">(G1444-$C$8)/$C$9</f>
        <v>2.1438518237066972</v>
      </c>
    </row>
    <row r="1445" spans="3:8" x14ac:dyDescent="0.35">
      <c r="C1445" s="8">
        <f t="shared" ca="1" si="88"/>
        <v>0.12927422545904532</v>
      </c>
      <c r="D1445" s="7">
        <f t="shared" ca="1" si="89"/>
        <v>8.0295866397560589E-2</v>
      </c>
      <c r="E1445" s="7">
        <f t="shared" ca="1" si="90"/>
        <v>0.60507315573474851</v>
      </c>
      <c r="F1445" s="7">
        <f t="shared" ca="1" si="91"/>
        <v>2.1112628687117305E-2</v>
      </c>
      <c r="G1445" s="7">
        <f ca="1">$C$11/(1+D1445)^1
 +$D$11/(1+D1445)^2
 +$E$11/(1+D1445)^3
 +$F$11/(1+D1445)^4
 +$G$11/(1+D1445)^5
 +$H$11/(1+D1445)^6
 +$I$11/(1+D1445)^7
 + ( $I$11*(1+F1445)/(D1445-F1445) )/(1+D1445)^7</f>
        <v>451.17111175026332</v>
      </c>
      <c r="H1445" s="7">
        <f ca="1">(G1445-$C$8)/$C$9</f>
        <v>2.4858724092620044</v>
      </c>
    </row>
    <row r="1446" spans="3:8" x14ac:dyDescent="0.35">
      <c r="C1446" s="8">
        <f t="shared" ca="1" si="88"/>
        <v>0.13426662824846725</v>
      </c>
      <c r="D1446" s="7">
        <f t="shared" ca="1" si="89"/>
        <v>8.0492789674997928E-2</v>
      </c>
      <c r="E1446" s="7">
        <f t="shared" ca="1" si="90"/>
        <v>0.43599337060095855</v>
      </c>
      <c r="F1446" s="7">
        <f t="shared" ca="1" si="91"/>
        <v>1.9338023030609407E-2</v>
      </c>
      <c r="G1446" s="7">
        <f ca="1">$C$11/(1+D1446)^1
 +$D$11/(1+D1446)^2
 +$E$11/(1+D1446)^3
 +$F$11/(1+D1446)^4
 +$G$11/(1+D1446)^5
 +$H$11/(1+D1446)^6
 +$I$11/(1+D1446)^7
 + ( $I$11*(1+F1446)/(D1446-F1446) )/(1+D1446)^7</f>
        <v>439.93069883678754</v>
      </c>
      <c r="H1446" s="7">
        <f ca="1">(G1446-$C$8)/$C$9</f>
        <v>2.4223241680053569</v>
      </c>
    </row>
    <row r="1447" spans="3:8" x14ac:dyDescent="0.35">
      <c r="C1447" s="8">
        <f t="shared" ca="1" si="88"/>
        <v>0.85724080781495049</v>
      </c>
      <c r="D1447" s="7">
        <f t="shared" ca="1" si="89"/>
        <v>9.944764623866606E-2</v>
      </c>
      <c r="E1447" s="7">
        <f t="shared" ca="1" si="90"/>
        <v>0.23015809334591364</v>
      </c>
      <c r="F1447" s="7">
        <f t="shared" ca="1" si="91"/>
        <v>1.6784660541927114E-2</v>
      </c>
      <c r="G1447" s="7">
        <f ca="1">$C$11/(1+D1447)^1
 +$D$11/(1+D1447)^2
 +$E$11/(1+D1447)^3
 +$F$11/(1+D1447)^4
 +$G$11/(1+D1447)^5
 +$H$11/(1+D1447)^6
 +$I$11/(1+D1447)^7
 + ( $I$11*(1+F1447)/(D1447-F1447) )/(1+D1447)^7</f>
        <v>325.06290535345943</v>
      </c>
      <c r="H1447" s="7">
        <f ca="1">(G1447-$C$8)/$C$9</f>
        <v>1.7729133048024617</v>
      </c>
    </row>
    <row r="1448" spans="3:8" x14ac:dyDescent="0.35">
      <c r="C1448" s="8">
        <f t="shared" ca="1" si="88"/>
        <v>0.47787356289229344</v>
      </c>
      <c r="D1448" s="7">
        <f t="shared" ca="1" si="89"/>
        <v>8.9795361112434413E-2</v>
      </c>
      <c r="E1448" s="7">
        <f t="shared" ca="1" si="90"/>
        <v>0.24085649372742701</v>
      </c>
      <c r="F1448" s="7">
        <f t="shared" ca="1" si="91"/>
        <v>1.694055464249691E-2</v>
      </c>
      <c r="G1448" s="7">
        <f ca="1">$C$11/(1+D1448)^1
 +$D$11/(1+D1448)^2
 +$E$11/(1+D1448)^3
 +$F$11/(1+D1448)^4
 +$G$11/(1+D1448)^5
 +$H$11/(1+D1448)^6
 +$I$11/(1+D1448)^7
 + ( $I$11*(1+F1448)/(D1448-F1448) )/(1+D1448)^7</f>
        <v>370.83209744009707</v>
      </c>
      <c r="H1448" s="7">
        <f ca="1">(G1448-$C$8)/$C$9</f>
        <v>2.031671740389513</v>
      </c>
    </row>
    <row r="1449" spans="3:8" x14ac:dyDescent="0.35">
      <c r="C1449" s="8">
        <f t="shared" ca="1" si="88"/>
        <v>0.10449351568142529</v>
      </c>
      <c r="D1449" s="7">
        <f t="shared" ca="1" si="89"/>
        <v>7.9256602122742922E-2</v>
      </c>
      <c r="E1449" s="7">
        <f t="shared" ca="1" si="90"/>
        <v>0.12387865081937965</v>
      </c>
      <c r="F1449" s="7">
        <f t="shared" ca="1" si="91"/>
        <v>1.4977522492553491E-2</v>
      </c>
      <c r="G1449" s="7">
        <f ca="1">$C$11/(1+D1449)^1
 +$D$11/(1+D1449)^2
 +$E$11/(1+D1449)^3
 +$F$11/(1+D1449)^4
 +$G$11/(1+D1449)^5
 +$H$11/(1+D1449)^6
 +$I$11/(1+D1449)^7
 + ( $I$11*(1+F1449)/(D1449-F1449) )/(1+D1449)^7</f>
        <v>426.75962295970851</v>
      </c>
      <c r="H1449" s="7">
        <f ca="1">(G1449-$C$8)/$C$9</f>
        <v>2.3478608263212828</v>
      </c>
    </row>
    <row r="1450" spans="3:8" x14ac:dyDescent="0.35">
      <c r="C1450" s="8">
        <f t="shared" ca="1" si="88"/>
        <v>0.69606594913232511</v>
      </c>
      <c r="D1450" s="7">
        <f t="shared" ca="1" si="89"/>
        <v>9.4602969127887473E-2</v>
      </c>
      <c r="E1450" s="7">
        <f t="shared" ca="1" si="90"/>
        <v>0.64132993850510356</v>
      </c>
      <c r="F1450" s="7">
        <f t="shared" ca="1" si="91"/>
        <v>2.1530406603680476E-2</v>
      </c>
      <c r="G1450" s="7">
        <f ca="1">$C$11/(1+D1450)^1
 +$D$11/(1+D1450)^2
 +$E$11/(1+D1450)^3
 +$F$11/(1+D1450)^4
 +$G$11/(1+D1450)^5
 +$H$11/(1+D1450)^6
 +$I$11/(1+D1450)^7
 + ( $I$11*(1+F1450)/(D1450-F1450) )/(1+D1450)^7</f>
        <v>361.6528535919698</v>
      </c>
      <c r="H1450" s="7">
        <f ca="1">(G1450-$C$8)/$C$9</f>
        <v>1.9797764223878889</v>
      </c>
    </row>
    <row r="1451" spans="3:8" x14ac:dyDescent="0.35">
      <c r="C1451" s="8">
        <f t="shared" ca="1" si="88"/>
        <v>0.33124780102055529</v>
      </c>
      <c r="D1451" s="7">
        <f t="shared" ca="1" si="89"/>
        <v>8.648099501962353E-2</v>
      </c>
      <c r="E1451" s="7">
        <f t="shared" ca="1" si="90"/>
        <v>0.74353936805340404</v>
      </c>
      <c r="F1451" s="7">
        <f t="shared" ca="1" si="91"/>
        <v>2.2838147838071553E-2</v>
      </c>
      <c r="G1451" s="7">
        <f ca="1">$C$11/(1+D1451)^1
 +$D$11/(1+D1451)^2
 +$E$11/(1+D1451)^3
 +$F$11/(1+D1451)^4
 +$G$11/(1+D1451)^5
 +$H$11/(1+D1451)^6
 +$I$11/(1+D1451)^7
 + ( $I$11*(1+F1451)/(D1451-F1451) )/(1+D1451)^7</f>
        <v>414.89635766211256</v>
      </c>
      <c r="H1451" s="7">
        <f ca="1">(G1451-$C$8)/$C$9</f>
        <v>2.2807912577007721</v>
      </c>
    </row>
    <row r="1452" spans="3:8" x14ac:dyDescent="0.35">
      <c r="C1452" s="8">
        <f t="shared" ca="1" si="88"/>
        <v>0.27312321605265311</v>
      </c>
      <c r="D1452" s="7">
        <f t="shared" ca="1" si="89"/>
        <v>8.4965327833468121E-2</v>
      </c>
      <c r="E1452" s="7">
        <f t="shared" ca="1" si="90"/>
        <v>0.70061225618649281</v>
      </c>
      <c r="F1452" s="7">
        <f t="shared" ca="1" si="91"/>
        <v>2.2261941537911372E-2</v>
      </c>
      <c r="G1452" s="7">
        <f ca="1">$C$11/(1+D1452)^1
 +$D$11/(1+D1452)^2
 +$E$11/(1+D1452)^3
 +$F$11/(1+D1452)^4
 +$G$11/(1+D1452)^5
 +$H$11/(1+D1452)^6
 +$I$11/(1+D1452)^7
 + ( $I$11*(1+F1452)/(D1452-F1452) )/(1+D1452)^7</f>
        <v>422.53495294145421</v>
      </c>
      <c r="H1452" s="7">
        <f ca="1">(G1452-$C$8)/$C$9</f>
        <v>2.3239764413243678</v>
      </c>
    </row>
    <row r="1453" spans="3:8" x14ac:dyDescent="0.35">
      <c r="C1453" s="8">
        <f t="shared" ca="1" si="88"/>
        <v>0.24107103627859405</v>
      </c>
      <c r="D1453" s="7">
        <f t="shared" ca="1" si="89"/>
        <v>8.4059809733721402E-2</v>
      </c>
      <c r="E1453" s="7">
        <f t="shared" ca="1" si="90"/>
        <v>0.84054626404234345</v>
      </c>
      <c r="F1453" s="7">
        <f t="shared" ca="1" si="91"/>
        <v>2.4352810682159547E-2</v>
      </c>
      <c r="G1453" s="7">
        <f ca="1">$C$11/(1+D1453)^1
 +$D$11/(1+D1453)^2
 +$E$11/(1+D1453)^3
 +$F$11/(1+D1453)^4
 +$G$11/(1+D1453)^5
 +$H$11/(1+D1453)^6
 +$I$11/(1+D1453)^7
 + ( $I$11*(1+F1453)/(D1453-F1453) )/(1+D1453)^7</f>
        <v>439.97309499515382</v>
      </c>
      <c r="H1453" s="7">
        <f ca="1">(G1453-$C$8)/$C$9</f>
        <v>2.4225638568247048</v>
      </c>
    </row>
    <row r="1454" spans="3:8" x14ac:dyDescent="0.35">
      <c r="C1454" s="8">
        <f t="shared" ca="1" si="88"/>
        <v>0.71524802609107296</v>
      </c>
      <c r="D1454" s="7">
        <f t="shared" ca="1" si="89"/>
        <v>9.5096760766566119E-2</v>
      </c>
      <c r="E1454" s="7">
        <f t="shared" ca="1" si="90"/>
        <v>0.30707944660525399</v>
      </c>
      <c r="F1454" s="7">
        <f t="shared" ca="1" si="91"/>
        <v>1.7836829034823386E-2</v>
      </c>
      <c r="G1454" s="7">
        <f ca="1">$C$11/(1+D1454)^1
 +$D$11/(1+D1454)^2
 +$E$11/(1+D1454)^3
 +$F$11/(1+D1454)^4
 +$G$11/(1+D1454)^5
 +$H$11/(1+D1454)^6
 +$I$11/(1+D1454)^7
 + ( $I$11*(1+F1454)/(D1454-F1454) )/(1+D1454)^7</f>
        <v>347.23499090588837</v>
      </c>
      <c r="H1454" s="7">
        <f ca="1">(G1454-$C$8)/$C$9</f>
        <v>1.8982643086040725</v>
      </c>
    </row>
    <row r="1455" spans="3:8" x14ac:dyDescent="0.35">
      <c r="C1455" s="8">
        <f t="shared" ca="1" si="88"/>
        <v>0.22270976548729748</v>
      </c>
      <c r="D1455" s="7">
        <f t="shared" ca="1" si="89"/>
        <v>8.3513771039187543E-2</v>
      </c>
      <c r="E1455" s="7">
        <f t="shared" ca="1" si="90"/>
        <v>0.77152867846343431</v>
      </c>
      <c r="F1455" s="7">
        <f t="shared" ca="1" si="91"/>
        <v>2.3240246727334411E-2</v>
      </c>
      <c r="G1455" s="7">
        <f ca="1">$C$11/(1+D1455)^1
 +$D$11/(1+D1455)^2
 +$E$11/(1+D1455)^3
 +$F$11/(1+D1455)^4
 +$G$11/(1+D1455)^5
 +$H$11/(1+D1455)^6
 +$I$11/(1+D1455)^7
 + ( $I$11*(1+F1455)/(D1455-F1455) )/(1+D1455)^7</f>
        <v>438.08942661027248</v>
      </c>
      <c r="H1455" s="7">
        <f ca="1">(G1455-$C$8)/$C$9</f>
        <v>2.4119144426180035</v>
      </c>
    </row>
    <row r="1456" spans="3:8" x14ac:dyDescent="0.35">
      <c r="C1456" s="8">
        <f t="shared" ca="1" si="88"/>
        <v>0.38317909803374528</v>
      </c>
      <c r="D1456" s="7">
        <f t="shared" ca="1" si="89"/>
        <v>8.7725881089177796E-2</v>
      </c>
      <c r="E1456" s="7">
        <f t="shared" ca="1" si="90"/>
        <v>0.66562299346656884</v>
      </c>
      <c r="F1456" s="7">
        <f t="shared" ca="1" si="91"/>
        <v>2.1822261846532E-2</v>
      </c>
      <c r="G1456" s="7">
        <f ca="1">$C$11/(1+D1456)^1
 +$D$11/(1+D1456)^2
 +$E$11/(1+D1456)^3
 +$F$11/(1+D1456)^4
 +$G$11/(1+D1456)^5
 +$H$11/(1+D1456)^6
 +$I$11/(1+D1456)^7
 + ( $I$11*(1+F1456)/(D1456-F1456) )/(1+D1456)^7</f>
        <v>402.11600029719267</v>
      </c>
      <c r="H1456" s="7">
        <f ca="1">(G1456-$C$8)/$C$9</f>
        <v>2.208536862828995</v>
      </c>
    </row>
    <row r="1457" spans="3:8" x14ac:dyDescent="0.35">
      <c r="C1457" s="8">
        <f t="shared" ca="1" si="88"/>
        <v>0.5403082711224847</v>
      </c>
      <c r="D1457" s="7">
        <f t="shared" ca="1" si="89"/>
        <v>9.10643313156239E-2</v>
      </c>
      <c r="E1457" s="7">
        <f t="shared" ca="1" si="90"/>
        <v>0.33321094456937594</v>
      </c>
      <c r="F1457" s="7">
        <f t="shared" ca="1" si="91"/>
        <v>1.816346672155128E-2</v>
      </c>
      <c r="G1457" s="7">
        <f ca="1">$C$11/(1+D1457)^1
 +$D$11/(1+D1457)^2
 +$E$11/(1+D1457)^3
 +$F$11/(1+D1457)^4
 +$G$11/(1+D1457)^5
 +$H$11/(1+D1457)^6
 +$I$11/(1+D1457)^7
 + ( $I$11*(1+F1457)/(D1457-F1457) )/(1+D1457)^7</f>
        <v>368.42102503863464</v>
      </c>
      <c r="H1457" s="7">
        <f ca="1">(G1457-$C$8)/$C$9</f>
        <v>2.01804062097826</v>
      </c>
    </row>
    <row r="1458" spans="3:8" x14ac:dyDescent="0.35">
      <c r="C1458" s="8">
        <f t="shared" ca="1" si="88"/>
        <v>0.58048155023616832</v>
      </c>
      <c r="D1458" s="7">
        <f t="shared" ca="1" si="89"/>
        <v>9.1910655323760651E-2</v>
      </c>
      <c r="E1458" s="7">
        <f t="shared" ca="1" si="90"/>
        <v>0.75052927859299523</v>
      </c>
      <c r="F1458" s="7">
        <f t="shared" ca="1" si="91"/>
        <v>2.293642128369755E-2</v>
      </c>
      <c r="G1458" s="7">
        <f ca="1">$C$11/(1+D1458)^1
 +$D$11/(1+D1458)^2
 +$E$11/(1+D1458)^3
 +$F$11/(1+D1458)^4
 +$G$11/(1+D1458)^5
 +$H$11/(1+D1458)^6
 +$I$11/(1+D1458)^7
 + ( $I$11*(1+F1458)/(D1458-F1458) )/(1+D1458)^7</f>
        <v>381.46864349358719</v>
      </c>
      <c r="H1458" s="7">
        <f ca="1">(G1458-$C$8)/$C$9</f>
        <v>2.0918059899004251</v>
      </c>
    </row>
    <row r="1459" spans="3:8" x14ac:dyDescent="0.35">
      <c r="C1459" s="8">
        <f t="shared" ca="1" si="88"/>
        <v>0.37950444900914704</v>
      </c>
      <c r="D1459" s="7">
        <f t="shared" ca="1" si="89"/>
        <v>8.7640681624798419E-2</v>
      </c>
      <c r="E1459" s="7">
        <f t="shared" ca="1" si="90"/>
        <v>0.27979326737414034</v>
      </c>
      <c r="F1459" s="7">
        <f t="shared" ca="1" si="91"/>
        <v>1.7480551682518344E-2</v>
      </c>
      <c r="G1459" s="7">
        <f ca="1">$C$11/(1+D1459)^1
 +$D$11/(1+D1459)^2
 +$E$11/(1+D1459)^3
 +$F$11/(1+D1459)^4
 +$G$11/(1+D1459)^5
 +$H$11/(1+D1459)^6
 +$I$11/(1+D1459)^7
 + ( $I$11*(1+F1459)/(D1459-F1459) )/(1+D1459)^7</f>
        <v>384.7380219905707</v>
      </c>
      <c r="H1459" s="7">
        <f ca="1">(G1459-$C$8)/$C$9</f>
        <v>2.1102895861067994</v>
      </c>
    </row>
    <row r="1460" spans="3:8" x14ac:dyDescent="0.35">
      <c r="C1460" s="8">
        <f t="shared" ca="1" si="88"/>
        <v>0.5179149339159278</v>
      </c>
      <c r="D1460" s="7">
        <f t="shared" ca="1" si="89"/>
        <v>9.0608601093640093E-2</v>
      </c>
      <c r="E1460" s="7">
        <f t="shared" ca="1" si="90"/>
        <v>0.66666770114387175</v>
      </c>
      <c r="F1460" s="7">
        <f t="shared" ca="1" si="91"/>
        <v>2.1835046860439085E-2</v>
      </c>
      <c r="G1460" s="7">
        <f ca="1">$C$11/(1+D1460)^1
 +$D$11/(1+D1460)^2
 +$E$11/(1+D1460)^3
 +$F$11/(1+D1460)^4
 +$G$11/(1+D1460)^5
 +$H$11/(1+D1460)^6
 +$I$11/(1+D1460)^7
 + ( $I$11*(1+F1460)/(D1460-F1460) )/(1+D1460)^7</f>
        <v>384.66098784290295</v>
      </c>
      <c r="H1460" s="7">
        <f ca="1">(G1460-$C$8)/$C$9</f>
        <v>2.1098540696681534</v>
      </c>
    </row>
    <row r="1461" spans="3:8" x14ac:dyDescent="0.35">
      <c r="C1461" s="8">
        <f t="shared" ca="1" si="88"/>
        <v>0.17887045789295108</v>
      </c>
      <c r="D1461" s="7">
        <f t="shared" ca="1" si="89"/>
        <v>8.211089490798347E-2</v>
      </c>
      <c r="E1461" s="7">
        <f t="shared" ca="1" si="90"/>
        <v>0.98124079033908385</v>
      </c>
      <c r="F1461" s="7">
        <f t="shared" ca="1" si="91"/>
        <v>2.806303280043692E-2</v>
      </c>
      <c r="G1461" s="7">
        <f ca="1">$C$11/(1+D1461)^1
 +$D$11/(1+D1461)^2
 +$E$11/(1+D1461)^3
 +$F$11/(1+D1461)^4
 +$G$11/(1+D1461)^5
 +$H$11/(1+D1461)^6
 +$I$11/(1+D1461)^7
 + ( $I$11*(1+F1461)/(D1461-F1461) )/(1+D1461)^7</f>
        <v>478.68382174094421</v>
      </c>
      <c r="H1461" s="7">
        <f ca="1">(G1461-$C$8)/$C$9</f>
        <v>2.6414169026511995</v>
      </c>
    </row>
    <row r="1462" spans="3:8" x14ac:dyDescent="0.35">
      <c r="C1462" s="8">
        <f t="shared" ca="1" si="88"/>
        <v>0.19398687794853242</v>
      </c>
      <c r="D1462" s="7">
        <f t="shared" ca="1" si="89"/>
        <v>8.2612265455412698E-2</v>
      </c>
      <c r="E1462" s="7">
        <f t="shared" ca="1" si="90"/>
        <v>0.53751169138665589</v>
      </c>
      <c r="F1462" s="7">
        <f t="shared" ca="1" si="91"/>
        <v>2.0382429531182585E-2</v>
      </c>
      <c r="G1462" s="7">
        <f ca="1">$C$11/(1+D1462)^1
 +$D$11/(1+D1462)^2
 +$E$11/(1+D1462)^3
 +$F$11/(1+D1462)^4
 +$G$11/(1+D1462)^5
 +$H$11/(1+D1462)^6
 +$I$11/(1+D1462)^7
 + ( $I$11*(1+F1462)/(D1462-F1462) )/(1+D1462)^7</f>
        <v>429.82001802306138</v>
      </c>
      <c r="H1462" s="7">
        <f ca="1">(G1462-$C$8)/$C$9</f>
        <v>2.3651629241466607</v>
      </c>
    </row>
    <row r="1463" spans="3:8" x14ac:dyDescent="0.35">
      <c r="C1463" s="8">
        <f t="shared" ca="1" si="88"/>
        <v>0.18183455317133268</v>
      </c>
      <c r="D1463" s="7">
        <f t="shared" ca="1" si="89"/>
        <v>8.2210828538657521E-2</v>
      </c>
      <c r="E1463" s="7">
        <f t="shared" ca="1" si="90"/>
        <v>0.29735473043422611</v>
      </c>
      <c r="F1463" s="7">
        <f t="shared" ca="1" si="91"/>
        <v>1.7711740794842966E-2</v>
      </c>
      <c r="G1463" s="7">
        <f ca="1">$C$11/(1+D1463)^1
 +$D$11/(1+D1463)^2
 +$E$11/(1+D1463)^3
 +$F$11/(1+D1463)^4
 +$G$11/(1+D1463)^5
 +$H$11/(1+D1463)^6
 +$I$11/(1+D1463)^7
 + ( $I$11*(1+F1463)/(D1463-F1463) )/(1+D1463)^7</f>
        <v>419.56613645842913</v>
      </c>
      <c r="H1463" s="7">
        <f ca="1">(G1463-$C$8)/$C$9</f>
        <v>2.3071920876211505</v>
      </c>
    </row>
    <row r="1464" spans="3:8" x14ac:dyDescent="0.35">
      <c r="C1464" s="8">
        <f t="shared" ca="1" si="88"/>
        <v>0.29429358033924935</v>
      </c>
      <c r="D1464" s="7">
        <f t="shared" ca="1" si="89"/>
        <v>8.5534501468608012E-2</v>
      </c>
      <c r="E1464" s="7">
        <f t="shared" ca="1" si="90"/>
        <v>0.29746979195918621</v>
      </c>
      <c r="F1464" s="7">
        <f t="shared" ca="1" si="91"/>
        <v>1.7713232681038298E-2</v>
      </c>
      <c r="G1464" s="7">
        <f ca="1">$C$11/(1+D1464)^1
 +$D$11/(1+D1464)^2
 +$E$11/(1+D1464)^3
 +$F$11/(1+D1464)^4
 +$G$11/(1+D1464)^5
 +$H$11/(1+D1464)^6
 +$I$11/(1+D1464)^7
 + ( $I$11*(1+F1464)/(D1464-F1464) )/(1+D1464)^7</f>
        <v>398.15428133012603</v>
      </c>
      <c r="H1464" s="7">
        <f ca="1">(G1464-$C$8)/$C$9</f>
        <v>2.1861390848605042</v>
      </c>
    </row>
    <row r="1465" spans="3:8" x14ac:dyDescent="0.35">
      <c r="C1465" s="8">
        <f t="shared" ca="1" si="88"/>
        <v>0.80476507393513619</v>
      </c>
      <c r="D1465" s="7">
        <f t="shared" ca="1" si="89"/>
        <v>9.7659690347053935E-2</v>
      </c>
      <c r="E1465" s="7">
        <f t="shared" ca="1" si="90"/>
        <v>0.92811313690597341</v>
      </c>
      <c r="F1465" s="7">
        <f t="shared" ca="1" si="91"/>
        <v>2.6208249399181781E-2</v>
      </c>
      <c r="G1465" s="7">
        <f ca="1">$C$11/(1+D1465)^1
 +$D$11/(1+D1465)^2
 +$E$11/(1+D1465)^3
 +$F$11/(1+D1465)^4
 +$G$11/(1+D1465)^5
 +$H$11/(1+D1465)^6
 +$I$11/(1+D1465)^7
 + ( $I$11*(1+F1465)/(D1465-F1465) )/(1+D1465)^7</f>
        <v>362.03357679183182</v>
      </c>
      <c r="H1465" s="7">
        <f ca="1">(G1465-$C$8)/$C$9</f>
        <v>1.981928860198054</v>
      </c>
    </row>
    <row r="1466" spans="3:8" x14ac:dyDescent="0.35">
      <c r="C1466" s="8">
        <f t="shared" ca="1" si="88"/>
        <v>0.57192585579922139</v>
      </c>
      <c r="D1466" s="7">
        <f t="shared" ca="1" si="89"/>
        <v>9.1727128510367961E-2</v>
      </c>
      <c r="E1466" s="7">
        <f t="shared" ca="1" si="90"/>
        <v>0.4385168763188001</v>
      </c>
      <c r="F1466" s="7">
        <f t="shared" ca="1" si="91"/>
        <v>1.9365008022621231E-2</v>
      </c>
      <c r="G1466" s="7">
        <f ca="1">$C$11/(1+D1466)^1
 +$D$11/(1+D1466)^2
 +$E$11/(1+D1466)^3
 +$F$11/(1+D1466)^4
 +$G$11/(1+D1466)^5
 +$H$11/(1+D1466)^6
 +$I$11/(1+D1466)^7
 + ( $I$11*(1+F1466)/(D1466-F1466) )/(1+D1466)^7</f>
        <v>369.15696608309281</v>
      </c>
      <c r="H1466" s="7">
        <f ca="1">(G1466-$C$8)/$C$9</f>
        <v>2.0222013007863682</v>
      </c>
    </row>
    <row r="1467" spans="3:8" x14ac:dyDescent="0.35">
      <c r="C1467" s="8">
        <f t="shared" ca="1" si="88"/>
        <v>0.26799136585370054</v>
      </c>
      <c r="D1467" s="7">
        <f t="shared" ca="1" si="89"/>
        <v>8.4824065569203161E-2</v>
      </c>
      <c r="E1467" s="7">
        <f t="shared" ca="1" si="90"/>
        <v>0.92169998897830474</v>
      </c>
      <c r="F1467" s="7">
        <f t="shared" ca="1" si="91"/>
        <v>2.6042727934000615E-2</v>
      </c>
      <c r="G1467" s="7">
        <f ca="1">$C$11/(1+D1467)^1
 +$D$11/(1+D1467)^2
 +$E$11/(1+D1467)^3
 +$F$11/(1+D1467)^4
 +$G$11/(1+D1467)^5
 +$H$11/(1+D1467)^6
 +$I$11/(1+D1467)^7
 + ( $I$11*(1+F1467)/(D1467-F1467) )/(1+D1467)^7</f>
        <v>443.42556794800839</v>
      </c>
      <c r="H1467" s="7">
        <f ca="1">(G1467-$C$8)/$C$9</f>
        <v>2.4420825867707392</v>
      </c>
    </row>
    <row r="1468" spans="3:8" x14ac:dyDescent="0.35">
      <c r="C1468" s="8">
        <f t="shared" ca="1" si="88"/>
        <v>0.89622293669392417</v>
      </c>
      <c r="D1468" s="7">
        <f t="shared" ca="1" si="89"/>
        <v>0.10100299442154563</v>
      </c>
      <c r="E1468" s="7">
        <f t="shared" ca="1" si="90"/>
        <v>0.82741377748248301</v>
      </c>
      <c r="F1468" s="7">
        <f t="shared" ca="1" si="91"/>
        <v>2.4124862171531342E-2</v>
      </c>
      <c r="G1468" s="7">
        <f ca="1">$C$11/(1+D1468)^1
 +$D$11/(1+D1468)^2
 +$E$11/(1+D1468)^3
 +$F$11/(1+D1468)^4
 +$G$11/(1+D1468)^5
 +$H$11/(1+D1468)^6
 +$I$11/(1+D1468)^7
 + ( $I$11*(1+F1468)/(D1468-F1468) )/(1+D1468)^7</f>
        <v>338.83447607184519</v>
      </c>
      <c r="H1468" s="7">
        <f ca="1">(G1468-$C$8)/$C$9</f>
        <v>1.8507715743546198</v>
      </c>
    </row>
    <row r="1469" spans="3:8" x14ac:dyDescent="0.35">
      <c r="C1469" s="8">
        <f t="shared" ca="1" si="88"/>
        <v>0.53104745006501308</v>
      </c>
      <c r="D1469" s="7">
        <f t="shared" ca="1" si="89"/>
        <v>9.0874546045929011E-2</v>
      </c>
      <c r="E1469" s="7">
        <f t="shared" ca="1" si="90"/>
        <v>0.71285627914887562</v>
      </c>
      <c r="F1469" s="7">
        <f t="shared" ca="1" si="91"/>
        <v>2.2421824482751478E-2</v>
      </c>
      <c r="G1469" s="7">
        <f ca="1">$C$11/(1+D1469)^1
 +$D$11/(1+D1469)^2
 +$E$11/(1+D1469)^3
 +$F$11/(1+D1469)^4
 +$G$11/(1+D1469)^5
 +$H$11/(1+D1469)^6
 +$I$11/(1+D1469)^7
 + ( $I$11*(1+F1469)/(D1469-F1469) )/(1+D1469)^7</f>
        <v>385.44414907672154</v>
      </c>
      <c r="H1469" s="7">
        <f ca="1">(G1469-$C$8)/$C$9</f>
        <v>2.1142817111981089</v>
      </c>
    </row>
    <row r="1470" spans="3:8" x14ac:dyDescent="0.35">
      <c r="C1470" s="8">
        <f t="shared" ca="1" si="88"/>
        <v>0.89474551073117681</v>
      </c>
      <c r="D1470" s="7">
        <f t="shared" ca="1" si="89"/>
        <v>0.10093917765157698</v>
      </c>
      <c r="E1470" s="7">
        <f t="shared" ca="1" si="90"/>
        <v>0.78258394360991557</v>
      </c>
      <c r="F1470" s="7">
        <f t="shared" ca="1" si="91"/>
        <v>2.3405819893419888E-2</v>
      </c>
      <c r="G1470" s="7">
        <f ca="1">$C$11/(1+D1470)^1
 +$D$11/(1+D1470)^2
 +$E$11/(1+D1470)^3
 +$F$11/(1+D1470)^4
 +$G$11/(1+D1470)^5
 +$H$11/(1+D1470)^6
 +$I$11/(1+D1470)^7
 + ( $I$11*(1+F1470)/(D1470-F1470) )/(1+D1470)^7</f>
        <v>336.98844921121042</v>
      </c>
      <c r="H1470" s="7">
        <f ca="1">(G1470-$C$8)/$C$9</f>
        <v>1.8403349684034962</v>
      </c>
    </row>
    <row r="1471" spans="3:8" x14ac:dyDescent="0.35">
      <c r="C1471" s="8">
        <f t="shared" ca="1" si="88"/>
        <v>0.78225805533266424</v>
      </c>
      <c r="D1471" s="7">
        <f t="shared" ca="1" si="89"/>
        <v>9.6967781584069351E-2</v>
      </c>
      <c r="E1471" s="7">
        <f t="shared" ca="1" si="90"/>
        <v>0.25633410408338453</v>
      </c>
      <c r="F1471" s="7">
        <f t="shared" ca="1" si="91"/>
        <v>1.7160085252053699E-2</v>
      </c>
      <c r="G1471" s="7">
        <f ca="1">$C$11/(1+D1471)^1
 +$D$11/(1+D1471)^2
 +$E$11/(1+D1471)^3
 +$F$11/(1+D1471)^4
 +$G$11/(1+D1471)^5
 +$H$11/(1+D1471)^6
 +$I$11/(1+D1471)^7
 + ( $I$11*(1+F1471)/(D1471-F1471) )/(1+D1471)^7</f>
        <v>336.69457383961935</v>
      </c>
      <c r="H1471" s="7">
        <f ca="1">(G1471-$C$8)/$C$9</f>
        <v>1.8386735291701681</v>
      </c>
    </row>
    <row r="1472" spans="3:8" x14ac:dyDescent="0.35">
      <c r="C1472" s="8">
        <f t="shared" ca="1" si="88"/>
        <v>0.88268699428178776</v>
      </c>
      <c r="D1472" s="7">
        <f t="shared" ca="1" si="89"/>
        <v>0.10043422013319324</v>
      </c>
      <c r="E1472" s="7">
        <f t="shared" ca="1" si="90"/>
        <v>0.9872679845195883</v>
      </c>
      <c r="F1472" s="7">
        <f t="shared" ca="1" si="91"/>
        <v>2.8404254689468791E-2</v>
      </c>
      <c r="G1472" s="7">
        <f ca="1">$C$11/(1+D1472)^1
 +$D$11/(1+D1472)^2
 +$E$11/(1+D1472)^3
 +$F$11/(1+D1472)^4
 +$G$11/(1+D1472)^5
 +$H$11/(1+D1472)^6
 +$I$11/(1+D1472)^7
 + ( $I$11*(1+F1472)/(D1472-F1472) )/(1+D1472)^7</f>
        <v>355.2971259524877</v>
      </c>
      <c r="H1472" s="7">
        <f ca="1">(G1472-$C$8)/$C$9</f>
        <v>1.9438439956608304</v>
      </c>
    </row>
    <row r="1473" spans="3:8" x14ac:dyDescent="0.35">
      <c r="C1473" s="8">
        <f t="shared" ca="1" si="88"/>
        <v>0.40317239241172131</v>
      </c>
      <c r="D1473" s="7">
        <f t="shared" ca="1" si="89"/>
        <v>8.8182446528935851E-2</v>
      </c>
      <c r="E1473" s="7">
        <f t="shared" ca="1" si="90"/>
        <v>0.19865059825189513</v>
      </c>
      <c r="F1473" s="7">
        <f t="shared" ca="1" si="91"/>
        <v>1.630318329500095E-2</v>
      </c>
      <c r="G1473" s="7">
        <f ca="1">$C$11/(1+D1473)^1
 +$D$11/(1+D1473)^2
 +$E$11/(1+D1473)^3
 +$F$11/(1+D1473)^4
 +$G$11/(1+D1473)^5
 +$H$11/(1+D1473)^6
 +$I$11/(1+D1473)^7
 + ( $I$11*(1+F1473)/(D1473-F1473) )/(1+D1473)^7</f>
        <v>377.25557071780304</v>
      </c>
      <c r="H1473" s="7">
        <f ca="1">(G1473-$C$8)/$C$9</f>
        <v>2.0679871704986601</v>
      </c>
    </row>
    <row r="1474" spans="3:8" x14ac:dyDescent="0.35">
      <c r="C1474" s="8">
        <f t="shared" ca="1" si="88"/>
        <v>0.14960041008313274</v>
      </c>
      <c r="D1474" s="7">
        <f t="shared" ca="1" si="89"/>
        <v>8.1075754433363401E-2</v>
      </c>
      <c r="E1474" s="7">
        <f t="shared" ca="1" si="90"/>
        <v>0.91542755407676102</v>
      </c>
      <c r="F1474" s="7">
        <f t="shared" ca="1" si="91"/>
        <v>2.5887277156840277E-2</v>
      </c>
      <c r="G1474" s="7">
        <f ca="1">$C$11/(1+D1474)^1
 +$D$11/(1+D1474)^2
 +$E$11/(1+D1474)^3
 +$F$11/(1+D1474)^4
 +$G$11/(1+D1474)^5
 +$H$11/(1+D1474)^6
 +$I$11/(1+D1474)^7
 + ( $I$11*(1+F1474)/(D1474-F1474) )/(1+D1474)^7</f>
        <v>473.60353506985723</v>
      </c>
      <c r="H1474" s="7">
        <f ca="1">(G1474-$C$8)/$C$9</f>
        <v>2.61269524575903</v>
      </c>
    </row>
    <row r="1475" spans="3:8" x14ac:dyDescent="0.35">
      <c r="C1475" s="8">
        <f t="shared" ca="1" si="88"/>
        <v>0.93277652673315448</v>
      </c>
      <c r="D1475" s="7">
        <f t="shared" ca="1" si="89"/>
        <v>0.10275884614525146</v>
      </c>
      <c r="E1475" s="7">
        <f t="shared" ca="1" si="90"/>
        <v>0.20489890385460419</v>
      </c>
      <c r="F1475" s="7">
        <f t="shared" ca="1" si="91"/>
        <v>1.6401545186196909E-2</v>
      </c>
      <c r="G1475" s="7">
        <f ca="1">$C$11/(1+D1475)^1
 +$D$11/(1+D1475)^2
 +$E$11/(1+D1475)^3
 +$F$11/(1+D1475)^4
 +$G$11/(1+D1475)^5
 +$H$11/(1+D1475)^6
 +$I$11/(1+D1475)^7
 + ( $I$11*(1+F1475)/(D1475-F1475) )/(1+D1475)^7</f>
        <v>311.00406362074881</v>
      </c>
      <c r="H1475" s="7">
        <f ca="1">(G1475-$C$8)/$C$9</f>
        <v>1.6934309340838354</v>
      </c>
    </row>
    <row r="1476" spans="3:8" x14ac:dyDescent="0.35">
      <c r="C1476" s="8">
        <f t="shared" ca="1" si="88"/>
        <v>0.23980757963058108</v>
      </c>
      <c r="D1476" s="7">
        <f t="shared" ca="1" si="89"/>
        <v>8.402291750304039E-2</v>
      </c>
      <c r="E1476" s="7">
        <f t="shared" ca="1" si="90"/>
        <v>0.74414674075065312</v>
      </c>
      <c r="F1476" s="7">
        <f t="shared" ca="1" si="91"/>
        <v>2.2846633530297124E-2</v>
      </c>
      <c r="G1476" s="7">
        <f ca="1">$C$11/(1+D1476)^1
 +$D$11/(1+D1476)^2
 +$E$11/(1+D1476)^3
 +$F$11/(1+D1476)^4
 +$G$11/(1+D1476)^5
 +$H$11/(1+D1476)^6
 +$I$11/(1+D1476)^7
 + ( $I$11*(1+F1476)/(D1476-F1476) )/(1+D1476)^7</f>
        <v>432.23201231262374</v>
      </c>
      <c r="H1476" s="7">
        <f ca="1">(G1476-$C$8)/$C$9</f>
        <v>2.3787992554987771</v>
      </c>
    </row>
    <row r="1477" spans="3:8" x14ac:dyDescent="0.35">
      <c r="C1477" s="8">
        <f t="shared" ca="1" si="88"/>
        <v>0.27003844619876727</v>
      </c>
      <c r="D1477" s="7">
        <f t="shared" ca="1" si="89"/>
        <v>8.4880575455370977E-2</v>
      </c>
      <c r="E1477" s="7">
        <f t="shared" ca="1" si="90"/>
        <v>0.38201414176218074</v>
      </c>
      <c r="F1477" s="7">
        <f t="shared" ca="1" si="91"/>
        <v>1.8740871143795461E-2</v>
      </c>
      <c r="G1477" s="7">
        <f ca="1">$C$11/(1+D1477)^1
 +$D$11/(1+D1477)^2
 +$E$11/(1+D1477)^3
 +$F$11/(1+D1477)^4
 +$G$11/(1+D1477)^5
 +$H$11/(1+D1477)^6
 +$I$11/(1+D1477)^7
 + ( $I$11*(1+F1477)/(D1477-F1477) )/(1+D1477)^7</f>
        <v>406.67623252476108</v>
      </c>
      <c r="H1477" s="7">
        <f ca="1">(G1477-$C$8)/$C$9</f>
        <v>2.2343183656985586</v>
      </c>
    </row>
    <row r="1478" spans="3:8" x14ac:dyDescent="0.35">
      <c r="C1478" s="8">
        <f t="shared" ca="1" si="88"/>
        <v>0.84224715843123832</v>
      </c>
      <c r="D1478" s="7">
        <f t="shared" ca="1" si="89"/>
        <v>9.8907335017064918E-2</v>
      </c>
      <c r="E1478" s="7">
        <f t="shared" ca="1" si="90"/>
        <v>0.39974797559134045</v>
      </c>
      <c r="F1478" s="7">
        <f t="shared" ca="1" si="91"/>
        <v>1.8941453747476866E-2</v>
      </c>
      <c r="G1478" s="7">
        <f ca="1">$C$11/(1+D1478)^1
 +$D$11/(1+D1478)^2
 +$E$11/(1+D1478)^3
 +$F$11/(1+D1478)^4
 +$G$11/(1+D1478)^5
 +$H$11/(1+D1478)^6
 +$I$11/(1+D1478)^7
 + ( $I$11*(1+F1478)/(D1478-F1478) )/(1+D1478)^7</f>
        <v>333.19489759235148</v>
      </c>
      <c r="H1478" s="7">
        <f ca="1">(G1478-$C$8)/$C$9</f>
        <v>1.8188879330187215</v>
      </c>
    </row>
    <row r="1479" spans="3:8" x14ac:dyDescent="0.35">
      <c r="C1479" s="8">
        <f t="shared" ca="1" si="88"/>
        <v>8.3827869317161019E-2</v>
      </c>
      <c r="D1479" s="7">
        <f t="shared" ca="1" si="89"/>
        <v>7.8290889749602993E-2</v>
      </c>
      <c r="E1479" s="7">
        <f t="shared" ca="1" si="90"/>
        <v>8.364479064458874E-2</v>
      </c>
      <c r="F1479" s="7">
        <f t="shared" ca="1" si="91"/>
        <v>1.4090104904390319E-2</v>
      </c>
      <c r="G1479" s="7">
        <f ca="1">$C$11/(1+D1479)^1
 +$D$11/(1+D1479)^2
 +$E$11/(1+D1479)^3
 +$F$11/(1+D1479)^4
 +$G$11/(1+D1479)^5
 +$H$11/(1+D1479)^6
 +$I$11/(1+D1479)^7
 + ( $I$11*(1+F1479)/(D1479-F1479) )/(1+D1479)^7</f>
        <v>429.1758137051869</v>
      </c>
      <c r="H1479" s="7">
        <f ca="1">(G1479-$C$8)/$C$9</f>
        <v>2.3615208825485463</v>
      </c>
    </row>
    <row r="1480" spans="3:8" x14ac:dyDescent="0.35">
      <c r="C1480" s="8">
        <f t="shared" ca="1" si="88"/>
        <v>0.31338524986780503</v>
      </c>
      <c r="D1480" s="7">
        <f t="shared" ca="1" si="89"/>
        <v>8.6030468018482811E-2</v>
      </c>
      <c r="E1480" s="7">
        <f t="shared" ca="1" si="90"/>
        <v>0.84181943150142324</v>
      </c>
      <c r="F1480" s="7">
        <f t="shared" ca="1" si="91"/>
        <v>2.4375401018764505E-2</v>
      </c>
      <c r="G1480" s="7">
        <f ca="1">$C$11/(1+D1480)^1
 +$D$11/(1+D1480)^2
 +$E$11/(1+D1480)^3
 +$F$11/(1+D1480)^4
 +$G$11/(1+D1480)^5
 +$H$11/(1+D1480)^6
 +$I$11/(1+D1480)^7
 + ( $I$11*(1+F1480)/(D1480-F1480) )/(1+D1480)^7</f>
        <v>425.55125080147468</v>
      </c>
      <c r="H1480" s="7">
        <f ca="1">(G1480-$C$8)/$C$9</f>
        <v>2.3410292333868989</v>
      </c>
    </row>
    <row r="1481" spans="3:8" x14ac:dyDescent="0.35">
      <c r="C1481" s="8">
        <f t="shared" ca="1" si="88"/>
        <v>0.41138238187459708</v>
      </c>
      <c r="D1481" s="7">
        <f t="shared" ca="1" si="89"/>
        <v>8.8366642402387258E-2</v>
      </c>
      <c r="E1481" s="7">
        <f t="shared" ca="1" si="90"/>
        <v>0.72410485478362696</v>
      </c>
      <c r="F1481" s="7">
        <f t="shared" ca="1" si="91"/>
        <v>2.2571741183610078E-2</v>
      </c>
      <c r="G1481" s="7">
        <f ca="1">$C$11/(1+D1481)^1
 +$D$11/(1+D1481)^2
 +$E$11/(1+D1481)^3
 +$F$11/(1+D1481)^4
 +$G$11/(1+D1481)^5
 +$H$11/(1+D1481)^6
 +$I$11/(1+D1481)^7
 + ( $I$11*(1+F1481)/(D1481-F1481) )/(1+D1481)^7</f>
        <v>401.34242743317299</v>
      </c>
      <c r="H1481" s="7">
        <f ca="1">(G1481-$C$8)/$C$9</f>
        <v>2.2041634296312358</v>
      </c>
    </row>
    <row r="1482" spans="3:8" x14ac:dyDescent="0.35">
      <c r="C1482" s="8">
        <f t="shared" ca="1" si="88"/>
        <v>0.37369000309014011</v>
      </c>
      <c r="D1482" s="7">
        <f t="shared" ca="1" si="89"/>
        <v>8.7505022208895222E-2</v>
      </c>
      <c r="E1482" s="7">
        <f t="shared" ca="1" si="90"/>
        <v>0.54637326079073223</v>
      </c>
      <c r="F1482" s="7">
        <f t="shared" ca="1" si="91"/>
        <v>2.0475014548995175E-2</v>
      </c>
      <c r="G1482" s="7">
        <f ca="1">$C$11/(1+D1482)^1
 +$D$11/(1+D1482)^2
 +$E$11/(1+D1482)^3
 +$F$11/(1+D1482)^4
 +$G$11/(1+D1482)^5
 +$H$11/(1+D1482)^6
 +$I$11/(1+D1482)^7
 + ( $I$11*(1+F1482)/(D1482-F1482) )/(1+D1482)^7</f>
        <v>397.68463343821816</v>
      </c>
      <c r="H1482" s="7">
        <f ca="1">(G1482-$C$8)/$C$9</f>
        <v>2.183483906819415</v>
      </c>
    </row>
    <row r="1483" spans="3:8" x14ac:dyDescent="0.35">
      <c r="C1483" s="8">
        <f t="shared" ca="1" si="88"/>
        <v>0.62071969403688021</v>
      </c>
      <c r="D1483" s="7">
        <f t="shared" ca="1" si="89"/>
        <v>9.2800039574137572E-2</v>
      </c>
      <c r="E1483" s="7">
        <f t="shared" ca="1" si="90"/>
        <v>0.64423715392627268</v>
      </c>
      <c r="F1483" s="7">
        <f t="shared" ca="1" si="91"/>
        <v>2.1564801767904596E-2</v>
      </c>
      <c r="G1483" s="7">
        <f ca="1">$C$11/(1+D1483)^1
 +$D$11/(1+D1483)^2
 +$E$11/(1+D1483)^3
 +$F$11/(1+D1483)^4
 +$G$11/(1+D1483)^5
 +$H$11/(1+D1483)^6
 +$I$11/(1+D1483)^7
 + ( $I$11*(1+F1483)/(D1483-F1483) )/(1+D1483)^7</f>
        <v>371.31620166543121</v>
      </c>
      <c r="H1483" s="7">
        <f ca="1">(G1483-$C$8)/$C$9</f>
        <v>2.0344086480406558</v>
      </c>
    </row>
    <row r="1484" spans="3:8" x14ac:dyDescent="0.35">
      <c r="C1484" s="8">
        <f t="shared" ca="1" si="88"/>
        <v>0.43409338273813525</v>
      </c>
      <c r="D1484" s="7">
        <f t="shared" ca="1" si="89"/>
        <v>8.8866811438217924E-2</v>
      </c>
      <c r="E1484" s="7">
        <f t="shared" ca="1" si="90"/>
        <v>0.12893370628182599</v>
      </c>
      <c r="F1484" s="7">
        <f t="shared" ca="1" si="91"/>
        <v>1.5078064715653514E-2</v>
      </c>
      <c r="G1484" s="7">
        <f ca="1">$C$11/(1+D1484)^1
 +$D$11/(1+D1484)^2
 +$E$11/(1+D1484)^3
 +$F$11/(1+D1484)^4
 +$G$11/(1+D1484)^5
 +$H$11/(1+D1484)^6
 +$I$11/(1+D1484)^7
 + ( $I$11*(1+F1484)/(D1484-F1484) )/(1+D1484)^7</f>
        <v>369.20008779008344</v>
      </c>
      <c r="H1484" s="7">
        <f ca="1">(G1484-$C$8)/$C$9</f>
        <v>2.0224450915314529</v>
      </c>
    </row>
    <row r="1485" spans="3:8" x14ac:dyDescent="0.35">
      <c r="C1485" s="8">
        <f t="shared" ca="1" si="88"/>
        <v>0.62709395311671101</v>
      </c>
      <c r="D1485" s="7">
        <f t="shared" ca="1" si="89"/>
        <v>9.294518494474463E-2</v>
      </c>
      <c r="E1485" s="7">
        <f t="shared" ca="1" si="90"/>
        <v>0.68889667043309921</v>
      </c>
      <c r="F1485" s="7">
        <f t="shared" ca="1" si="91"/>
        <v>2.2111992272228674E-2</v>
      </c>
      <c r="G1485" s="7">
        <f ca="1">$C$11/(1+D1485)^1
 +$D$11/(1+D1485)^2
 +$E$11/(1+D1485)^3
 +$F$11/(1+D1485)^4
 +$G$11/(1+D1485)^5
 +$H$11/(1+D1485)^6
 +$I$11/(1+D1485)^7
 + ( $I$11*(1+F1485)/(D1485-F1485) )/(1+D1485)^7</f>
        <v>372.5330369411588</v>
      </c>
      <c r="H1485" s="7">
        <f ca="1">(G1485-$C$8)/$C$9</f>
        <v>2.0412880876365831</v>
      </c>
    </row>
    <row r="1486" spans="3:8" x14ac:dyDescent="0.35">
      <c r="C1486" s="8">
        <f t="shared" ca="1" si="88"/>
        <v>0.71389120677464668</v>
      </c>
      <c r="D1486" s="7">
        <f t="shared" ca="1" si="89"/>
        <v>9.5061296618656102E-2</v>
      </c>
      <c r="E1486" s="7">
        <f t="shared" ca="1" si="90"/>
        <v>0.29694958848863195</v>
      </c>
      <c r="F1486" s="7">
        <f t="shared" ca="1" si="91"/>
        <v>1.7706485430968283E-2</v>
      </c>
      <c r="G1486" s="7">
        <f ca="1">$C$11/(1+D1486)^1
 +$D$11/(1+D1486)^2
 +$E$11/(1+D1486)^3
 +$F$11/(1+D1486)^4
 +$G$11/(1+D1486)^5
 +$H$11/(1+D1486)^6
 +$I$11/(1+D1486)^7
 + ( $I$11*(1+F1486)/(D1486-F1486) )/(1+D1486)^7</f>
        <v>347.00283519282777</v>
      </c>
      <c r="H1486" s="7">
        <f ca="1">(G1486-$C$8)/$C$9</f>
        <v>1.8969518045727485</v>
      </c>
    </row>
    <row r="1487" spans="3:8" x14ac:dyDescent="0.35">
      <c r="C1487" s="8">
        <f t="shared" ca="1" si="88"/>
        <v>0.98193609599492115</v>
      </c>
      <c r="D1487" s="7">
        <f t="shared" ca="1" si="89"/>
        <v>0.10624635575420878</v>
      </c>
      <c r="E1487" s="7">
        <f t="shared" ca="1" si="90"/>
        <v>0.97735710374454798</v>
      </c>
      <c r="F1487" s="7">
        <f t="shared" ca="1" si="91"/>
        <v>2.7871954123828528E-2</v>
      </c>
      <c r="G1487" s="7">
        <f ca="1">$C$11/(1+D1487)^1
 +$D$11/(1+D1487)^2
 +$E$11/(1+D1487)^3
 +$F$11/(1+D1487)^4
 +$G$11/(1+D1487)^5
 +$H$11/(1+D1487)^6
 +$I$11/(1+D1487)^7
 + ( $I$11*(1+F1487)/(D1487-F1487) )/(1+D1487)^7</f>
        <v>326.33899323088474</v>
      </c>
      <c r="H1487" s="7">
        <f ca="1">(G1487-$C$8)/$C$9</f>
        <v>1.780127731970176</v>
      </c>
    </row>
    <row r="1488" spans="3:8" x14ac:dyDescent="0.35">
      <c r="C1488" s="8">
        <f t="shared" ca="1" si="88"/>
        <v>5.1058271902084451E-2</v>
      </c>
      <c r="D1488" s="7">
        <f t="shared" ca="1" si="89"/>
        <v>7.6470531891561111E-2</v>
      </c>
      <c r="E1488" s="7">
        <f t="shared" ca="1" si="90"/>
        <v>1.6989990981874925E-2</v>
      </c>
      <c r="F1488" s="7">
        <f t="shared" ca="1" si="91"/>
        <v>1.1843365996316246E-2</v>
      </c>
      <c r="G1488" s="7">
        <f ca="1">$C$11/(1+D1488)^1
 +$D$11/(1+D1488)^2
 +$E$11/(1+D1488)^3
 +$F$11/(1+D1488)^4
 +$G$11/(1+D1488)^5
 +$H$11/(1+D1488)^6
 +$I$11/(1+D1488)^7
 + ( $I$11*(1+F1488)/(D1488-F1488) )/(1+D1488)^7</f>
        <v>430.96607715178709</v>
      </c>
      <c r="H1488" s="7">
        <f ca="1">(G1488-$C$8)/$C$9</f>
        <v>2.3716422272262951</v>
      </c>
    </row>
    <row r="1489" spans="3:8" x14ac:dyDescent="0.35">
      <c r="C1489" s="8">
        <f t="shared" ref="C1489:C1552" ca="1" si="92">RAND()</f>
        <v>0.50986564164334447</v>
      </c>
      <c r="D1489" s="7">
        <f t="shared" ref="D1489:D1552" ca="1" si="93">IF(C1489&lt;(0.0905-0.07)/(0.11-0.07),
 0.07+SQRT(C1489*(0.11-0.07)*(0.0905-0.07)),
 0.11-SQRT((1-C1489)*(0.11-0.07)*(0.11-0.0905))
)</f>
        <v>9.0447244952500144E-2</v>
      </c>
      <c r="E1489" s="7">
        <f t="shared" ref="E1489:E1552" ca="1" si="94">RAND()</f>
        <v>0.24691426695626206</v>
      </c>
      <c r="F1489" s="7">
        <f t="shared" ref="F1489:F1552" ca="1" si="95">MIN(
 IF(E1489&lt;(0.02-0.01)/(0.03-0.01),
   0.01+SQRT(E1489*(0.03-0.01)*(0.02-0.01)),
   0.03-SQRT((1-E1489)*(0.03-0.01)*(0.03-0.02))
 ),
 D1489-0.005
)</f>
        <v>1.7027293461301614E-2</v>
      </c>
      <c r="G1489" s="7">
        <f ca="1">$C$11/(1+D1489)^1
 +$D$11/(1+D1489)^2
 +$E$11/(1+D1489)^3
 +$F$11/(1+D1489)^4
 +$G$11/(1+D1489)^5
 +$H$11/(1+D1489)^6
 +$I$11/(1+D1489)^7
 + ( $I$11*(1+F1489)/(D1489-F1489) )/(1+D1489)^7</f>
        <v>367.6919343249931</v>
      </c>
      <c r="H1489" s="7">
        <f ca="1">(G1489-$C$8)/$C$9</f>
        <v>2.0139186698608835</v>
      </c>
    </row>
    <row r="1490" spans="3:8" x14ac:dyDescent="0.35">
      <c r="C1490" s="8">
        <f t="shared" ca="1" si="92"/>
        <v>0.42350452507078018</v>
      </c>
      <c r="D1490" s="7">
        <f t="shared" ca="1" si="93"/>
        <v>8.8635281338312E-2</v>
      </c>
      <c r="E1490" s="7">
        <f t="shared" ca="1" si="94"/>
        <v>0.90790578224488383</v>
      </c>
      <c r="F1490" s="7">
        <f t="shared" ca="1" si="95"/>
        <v>2.5708281981417787E-2</v>
      </c>
      <c r="G1490" s="7">
        <f ca="1">$C$11/(1+D1490)^1
 +$D$11/(1+D1490)^2
 +$E$11/(1+D1490)^3
 +$F$11/(1+D1490)^4
 +$G$11/(1+D1490)^5
 +$H$11/(1+D1490)^6
 +$I$11/(1+D1490)^7
 + ( $I$11*(1+F1490)/(D1490-F1490) )/(1+D1490)^7</f>
        <v>413.94858019917257</v>
      </c>
      <c r="H1490" s="7">
        <f ca="1">(G1490-$C$8)/$C$9</f>
        <v>2.2754329500179362</v>
      </c>
    </row>
    <row r="1491" spans="3:8" x14ac:dyDescent="0.35">
      <c r="C1491" s="8">
        <f t="shared" ca="1" si="92"/>
        <v>0.92534697894238982</v>
      </c>
      <c r="D1491" s="7">
        <f t="shared" ca="1" si="93"/>
        <v>0.10236918376417464</v>
      </c>
      <c r="E1491" s="7">
        <f t="shared" ca="1" si="94"/>
        <v>0.75334790618852032</v>
      </c>
      <c r="F1491" s="7">
        <f t="shared" ca="1" si="95"/>
        <v>2.2976438313626345E-2</v>
      </c>
      <c r="G1491" s="7">
        <f ca="1">$C$11/(1+D1491)^1
 +$D$11/(1+D1491)^2
 +$E$11/(1+D1491)^3
 +$F$11/(1+D1491)^4
 +$G$11/(1+D1491)^5
 +$H$11/(1+D1491)^6
 +$I$11/(1+D1491)^7
 + ( $I$11*(1+F1491)/(D1491-F1491) )/(1+D1491)^7</f>
        <v>329.42441681163348</v>
      </c>
      <c r="H1491" s="7">
        <f ca="1">(G1491-$C$8)/$C$9</f>
        <v>1.7975713297808313</v>
      </c>
    </row>
    <row r="1492" spans="3:8" x14ac:dyDescent="0.35">
      <c r="C1492" s="8">
        <f t="shared" ca="1" si="92"/>
        <v>9.3541663421613519E-3</v>
      </c>
      <c r="D1492" s="7">
        <f t="shared" ca="1" si="93"/>
        <v>7.2769551660571141E-2</v>
      </c>
      <c r="E1492" s="7">
        <f t="shared" ca="1" si="94"/>
        <v>0.9955751811081589</v>
      </c>
      <c r="F1492" s="7">
        <f t="shared" ca="1" si="95"/>
        <v>2.9059274865665737E-2</v>
      </c>
      <c r="G1492" s="7">
        <f ca="1">$C$11/(1+D1492)^1
 +$D$11/(1+D1492)^2
 +$E$11/(1+D1492)^3
 +$F$11/(1+D1492)^4
 +$G$11/(1+D1492)^5
 +$H$11/(1+D1492)^6
 +$I$11/(1+D1492)^7
 + ( $I$11*(1+F1492)/(D1492-F1492) )/(1+D1492)^7</f>
        <v>592.20615883121695</v>
      </c>
      <c r="H1492" s="7">
        <f ca="1">(G1492-$C$8)/$C$9</f>
        <v>3.2832211602850347</v>
      </c>
    </row>
    <row r="1493" spans="3:8" x14ac:dyDescent="0.35">
      <c r="C1493" s="8">
        <f t="shared" ca="1" si="92"/>
        <v>0.45226976425270582</v>
      </c>
      <c r="D1493" s="7">
        <f t="shared" ca="1" si="93"/>
        <v>8.9257757052346953E-2</v>
      </c>
      <c r="E1493" s="7">
        <f t="shared" ca="1" si="94"/>
        <v>0.10262380450716824</v>
      </c>
      <c r="F1493" s="7">
        <f t="shared" ca="1" si="95"/>
        <v>1.4530426128018605E-2</v>
      </c>
      <c r="G1493" s="7">
        <f ca="1">$C$11/(1+D1493)^1
 +$D$11/(1+D1493)^2
 +$E$11/(1+D1493)^3
 +$F$11/(1+D1493)^4
 +$G$11/(1+D1493)^5
 +$H$11/(1+D1493)^6
 +$I$11/(1+D1493)^7
 + ( $I$11*(1+F1493)/(D1493-F1493) )/(1+D1493)^7</f>
        <v>365.29323072669018</v>
      </c>
      <c r="H1493" s="7">
        <f ca="1">(G1493-$C$8)/$C$9</f>
        <v>2.0003574781020474</v>
      </c>
    </row>
    <row r="1494" spans="3:8" x14ac:dyDescent="0.35">
      <c r="C1494" s="8">
        <f t="shared" ca="1" si="92"/>
        <v>0.8017223508231498</v>
      </c>
      <c r="D1494" s="7">
        <f t="shared" ca="1" si="93"/>
        <v>9.7563900677545903E-2</v>
      </c>
      <c r="E1494" s="7">
        <f t="shared" ca="1" si="94"/>
        <v>8.5686442396244566E-2</v>
      </c>
      <c r="F1494" s="7">
        <f t="shared" ca="1" si="95"/>
        <v>1.4139720821414037E-2</v>
      </c>
      <c r="G1494" s="7">
        <f ca="1">$C$11/(1+D1494)^1
 +$D$11/(1+D1494)^2
 +$E$11/(1+D1494)^3
 +$F$11/(1+D1494)^4
 +$G$11/(1+D1494)^5
 +$H$11/(1+D1494)^6
 +$I$11/(1+D1494)^7
 + ( $I$11*(1+F1494)/(D1494-F1494) )/(1+D1494)^7</f>
        <v>325.94837257944175</v>
      </c>
      <c r="H1494" s="7">
        <f ca="1">(G1494-$C$8)/$C$9</f>
        <v>1.7779193384183725</v>
      </c>
    </row>
    <row r="1495" spans="3:8" x14ac:dyDescent="0.35">
      <c r="C1495" s="8">
        <f t="shared" ca="1" si="92"/>
        <v>0.81694122334122232</v>
      </c>
      <c r="D1495" s="7">
        <f t="shared" ca="1" si="93"/>
        <v>9.8050696849027286E-2</v>
      </c>
      <c r="E1495" s="7">
        <f t="shared" ca="1" si="94"/>
        <v>0.63137361546300608</v>
      </c>
      <c r="F1495" s="7">
        <f t="shared" ca="1" si="95"/>
        <v>2.141365753609846E-2</v>
      </c>
      <c r="G1495" s="7">
        <f ca="1">$C$11/(1+D1495)^1
 +$D$11/(1+D1495)^2
 +$E$11/(1+D1495)^3
 +$F$11/(1+D1495)^4
 +$G$11/(1+D1495)^5
 +$H$11/(1+D1495)^6
 +$I$11/(1+D1495)^7
 + ( $I$11*(1+F1495)/(D1495-F1495) )/(1+D1495)^7</f>
        <v>344.31517594361526</v>
      </c>
      <c r="H1495" s="7">
        <f ca="1">(G1495-$C$8)/$C$9</f>
        <v>1.881756987469557</v>
      </c>
    </row>
    <row r="1496" spans="3:8" x14ac:dyDescent="0.35">
      <c r="C1496" s="8">
        <f t="shared" ca="1" si="92"/>
        <v>0.11692734441440611</v>
      </c>
      <c r="D1496" s="7">
        <f t="shared" ca="1" si="93"/>
        <v>7.9791854901897441E-2</v>
      </c>
      <c r="E1496" s="7">
        <f t="shared" ca="1" si="94"/>
        <v>0.96178580159627791</v>
      </c>
      <c r="F1496" s="7">
        <f t="shared" ca="1" si="95"/>
        <v>2.7235431375287562E-2</v>
      </c>
      <c r="G1496" s="7">
        <f ca="1">$C$11/(1+D1496)^1
 +$D$11/(1+D1496)^2
 +$E$11/(1+D1496)^3
 +$F$11/(1+D1496)^4
 +$G$11/(1+D1496)^5
 +$H$11/(1+D1496)^6
 +$I$11/(1+D1496)^7
 + ( $I$11*(1+F1496)/(D1496-F1496) )/(1+D1496)^7</f>
        <v>494.70677452560165</v>
      </c>
      <c r="H1496" s="7">
        <f ca="1">(G1496-$C$8)/$C$9</f>
        <v>2.7320034742514792</v>
      </c>
    </row>
    <row r="1497" spans="3:8" x14ac:dyDescent="0.35">
      <c r="C1497" s="8">
        <f t="shared" ca="1" si="92"/>
        <v>0.53084393179043554</v>
      </c>
      <c r="D1497" s="7">
        <f t="shared" ca="1" si="93"/>
        <v>9.0870396418026328E-2</v>
      </c>
      <c r="E1497" s="7">
        <f t="shared" ca="1" si="94"/>
        <v>0.3665157398994352</v>
      </c>
      <c r="F1497" s="7">
        <f t="shared" ca="1" si="95"/>
        <v>1.856172575944167E-2</v>
      </c>
      <c r="G1497" s="7">
        <f ca="1">$C$11/(1+D1497)^1
 +$D$11/(1+D1497)^2
 +$E$11/(1+D1497)^3
 +$F$11/(1+D1497)^4
 +$G$11/(1+D1497)^5
 +$H$11/(1+D1497)^6
 +$I$11/(1+D1497)^7
 + ( $I$11*(1+F1497)/(D1497-F1497) )/(1+D1497)^7</f>
        <v>370.86671978556262</v>
      </c>
      <c r="H1497" s="7">
        <f ca="1">(G1497-$C$8)/$C$9</f>
        <v>2.0318674795655958</v>
      </c>
    </row>
    <row r="1498" spans="3:8" x14ac:dyDescent="0.35">
      <c r="C1498" s="8">
        <f t="shared" ca="1" si="92"/>
        <v>0.76197016624807801</v>
      </c>
      <c r="D1498" s="7">
        <f t="shared" ca="1" si="93"/>
        <v>9.6374169004185495E-2</v>
      </c>
      <c r="E1498" s="7">
        <f t="shared" ca="1" si="94"/>
        <v>0.52618545626789481</v>
      </c>
      <c r="F1498" s="7">
        <f t="shared" ca="1" si="95"/>
        <v>2.0265375777852489E-2</v>
      </c>
      <c r="G1498" s="7">
        <f ca="1">$C$11/(1+D1498)^1
 +$D$11/(1+D1498)^2
 +$E$11/(1+D1498)^3
 +$F$11/(1+D1498)^4
 +$G$11/(1+D1498)^5
 +$H$11/(1+D1498)^6
 +$I$11/(1+D1498)^7
 + ( $I$11*(1+F1498)/(D1498-F1498) )/(1+D1498)^7</f>
        <v>348.69909672764521</v>
      </c>
      <c r="H1498" s="7">
        <f ca="1">(G1498-$C$8)/$C$9</f>
        <v>1.9065417047017481</v>
      </c>
    </row>
    <row r="1499" spans="3:8" x14ac:dyDescent="0.35">
      <c r="C1499" s="8">
        <f t="shared" ca="1" si="92"/>
        <v>1.0637594479120382E-3</v>
      </c>
      <c r="D1499" s="7">
        <f t="shared" ca="1" si="93"/>
        <v>7.093396078466277E-2</v>
      </c>
      <c r="E1499" s="7">
        <f t="shared" ca="1" si="94"/>
        <v>0.37019677465159639</v>
      </c>
      <c r="F1499" s="7">
        <f t="shared" ca="1" si="95"/>
        <v>1.8604612421853718E-2</v>
      </c>
      <c r="G1499" s="7">
        <f ca="1">$C$11/(1+D1499)^1
 +$D$11/(1+D1499)^2
 +$E$11/(1+D1499)^3
 +$F$11/(1+D1499)^4
 +$G$11/(1+D1499)^5
 +$H$11/(1+D1499)^6
 +$I$11/(1+D1499)^7
 + ( $I$11*(1+F1499)/(D1499-F1499) )/(1+D1499)^7</f>
        <v>519.00543856717172</v>
      </c>
      <c r="H1499" s="7">
        <f ca="1">(G1499-$C$8)/$C$9</f>
        <v>2.8693771967841006</v>
      </c>
    </row>
    <row r="1500" spans="3:8" x14ac:dyDescent="0.35">
      <c r="C1500" s="8">
        <f t="shared" ca="1" si="92"/>
        <v>0.43646911749329376</v>
      </c>
      <c r="D1500" s="7">
        <f t="shared" ca="1" si="93"/>
        <v>8.891836875485043E-2</v>
      </c>
      <c r="E1500" s="7">
        <f t="shared" ca="1" si="94"/>
        <v>2.0130928111732449E-2</v>
      </c>
      <c r="F1500" s="7">
        <f t="shared" ca="1" si="95"/>
        <v>1.2006535726655892E-2</v>
      </c>
      <c r="G1500" s="7">
        <f ca="1">$C$11/(1+D1500)^1
 +$D$11/(1+D1500)^2
 +$E$11/(1+D1500)^3
 +$F$11/(1+D1500)^4
 +$G$11/(1+D1500)^5
 +$H$11/(1+D1500)^6
 +$I$11/(1+D1500)^7
 + ( $I$11*(1+F1500)/(D1500-F1500) )/(1+D1500)^7</f>
        <v>358.69453659525436</v>
      </c>
      <c r="H1500" s="7">
        <f ca="1">(G1500-$C$8)/$C$9</f>
        <v>1.9630514280600087</v>
      </c>
    </row>
    <row r="1501" spans="3:8" x14ac:dyDescent="0.35">
      <c r="C1501" s="8">
        <f t="shared" ca="1" si="92"/>
        <v>0.98915951048884576</v>
      </c>
      <c r="D1501" s="7">
        <f t="shared" ca="1" si="93"/>
        <v>0.10709215168574764</v>
      </c>
      <c r="E1501" s="7">
        <f t="shared" ca="1" si="94"/>
        <v>0.98106153842023591</v>
      </c>
      <c r="F1501" s="7">
        <f t="shared" ca="1" si="95"/>
        <v>2.8053800545690954E-2</v>
      </c>
      <c r="G1501" s="7">
        <f ca="1">$C$11/(1+D1501)^1
 +$D$11/(1+D1501)^2
 +$E$11/(1+D1501)^3
 +$F$11/(1+D1501)^4
 +$G$11/(1+D1501)^5
 +$H$11/(1+D1501)^6
 +$I$11/(1+D1501)^7
 + ( $I$11*(1+F1501)/(D1501-F1501) )/(1+D1501)^7</f>
        <v>323.21993833638004</v>
      </c>
      <c r="H1501" s="7">
        <f ca="1">(G1501-$C$8)/$C$9</f>
        <v>1.7624939978311851</v>
      </c>
    </row>
    <row r="1502" spans="3:8" x14ac:dyDescent="0.35">
      <c r="C1502" s="8">
        <f t="shared" ca="1" si="92"/>
        <v>0.25116547919390853</v>
      </c>
      <c r="D1502" s="7">
        <f t="shared" ca="1" si="93"/>
        <v>8.4351156501794727E-2</v>
      </c>
      <c r="E1502" s="7">
        <f t="shared" ca="1" si="94"/>
        <v>0.88267208386074736</v>
      </c>
      <c r="F1502" s="7">
        <f t="shared" ca="1" si="95"/>
        <v>2.5155871262254631E-2</v>
      </c>
      <c r="G1502" s="7">
        <f ca="1">$C$11/(1+D1502)^1
 +$D$11/(1+D1502)^2
 +$E$11/(1+D1502)^3
 +$F$11/(1+D1502)^4
 +$G$11/(1+D1502)^5
 +$H$11/(1+D1502)^6
 +$I$11/(1+D1502)^7
 + ( $I$11*(1+F1502)/(D1502-F1502) )/(1+D1502)^7</f>
        <v>442.15196767955388</v>
      </c>
      <c r="H1502" s="7">
        <f ca="1">(G1502-$C$8)/$C$9</f>
        <v>2.4348822234257907</v>
      </c>
    </row>
    <row r="1503" spans="3:8" x14ac:dyDescent="0.35">
      <c r="C1503" s="8">
        <f t="shared" ca="1" si="92"/>
        <v>0.84026451602554808</v>
      </c>
      <c r="D1503" s="7">
        <f t="shared" ca="1" si="93"/>
        <v>9.8837846197974491E-2</v>
      </c>
      <c r="E1503" s="7">
        <f t="shared" ca="1" si="94"/>
        <v>0.71975842717721628</v>
      </c>
      <c r="F1503" s="7">
        <f t="shared" ca="1" si="95"/>
        <v>2.2513457769800752E-2</v>
      </c>
      <c r="G1503" s="7">
        <f ca="1">$C$11/(1+D1503)^1
 +$D$11/(1+D1503)^2
 +$E$11/(1+D1503)^3
 +$F$11/(1+D1503)^4
 +$G$11/(1+D1503)^5
 +$H$11/(1+D1503)^6
 +$I$11/(1+D1503)^7
 + ( $I$11*(1+F1503)/(D1503-F1503) )/(1+D1503)^7</f>
        <v>343.99682163454253</v>
      </c>
      <c r="H1503" s="7">
        <f ca="1">(G1503-$C$8)/$C$9</f>
        <v>1.8799571553287115</v>
      </c>
    </row>
    <row r="1504" spans="3:8" x14ac:dyDescent="0.35">
      <c r="C1504" s="8">
        <f t="shared" ca="1" si="92"/>
        <v>0.41190215121643681</v>
      </c>
      <c r="D1504" s="7">
        <f t="shared" ca="1" si="93"/>
        <v>8.837824159155272E-2</v>
      </c>
      <c r="E1504" s="7">
        <f t="shared" ca="1" si="94"/>
        <v>0.18112290719851021</v>
      </c>
      <c r="F1504" s="7">
        <f t="shared" ca="1" si="95"/>
        <v>1.6018686022688178E-2</v>
      </c>
      <c r="G1504" s="7">
        <f ca="1">$C$11/(1+D1504)^1
 +$D$11/(1+D1504)^2
 +$E$11/(1+D1504)^3
 +$F$11/(1+D1504)^4
 +$G$11/(1+D1504)^5
 +$H$11/(1+D1504)^6
 +$I$11/(1+D1504)^7
 + ( $I$11*(1+F1504)/(D1504-F1504) )/(1+D1504)^7</f>
        <v>375.147396772511</v>
      </c>
      <c r="H1504" s="7">
        <f ca="1">(G1504-$C$8)/$C$9</f>
        <v>2.0560685027844356</v>
      </c>
    </row>
    <row r="1505" spans="3:8" x14ac:dyDescent="0.35">
      <c r="C1505" s="8">
        <f t="shared" ca="1" si="92"/>
        <v>0.30882568777567498</v>
      </c>
      <c r="D1505" s="7">
        <f t="shared" ca="1" si="93"/>
        <v>8.5913424017980966E-2</v>
      </c>
      <c r="E1505" s="7">
        <f t="shared" ca="1" si="94"/>
        <v>0.31869973563840948</v>
      </c>
      <c r="F1505" s="7">
        <f t="shared" ca="1" si="95"/>
        <v>1.7983730151231433E-2</v>
      </c>
      <c r="G1505" s="7">
        <f ca="1">$C$11/(1+D1505)^1
 +$D$11/(1+D1505)^2
 +$E$11/(1+D1505)^3
 +$F$11/(1+D1505)^4
 +$G$11/(1+D1505)^5
 +$H$11/(1+D1505)^6
 +$I$11/(1+D1505)^7
 + ( $I$11*(1+F1505)/(D1505-F1505) )/(1+D1505)^7</f>
        <v>396.96921242014753</v>
      </c>
      <c r="H1505" s="7">
        <f ca="1">(G1505-$C$8)/$C$9</f>
        <v>2.1794392380153069</v>
      </c>
    </row>
    <row r="1506" spans="3:8" x14ac:dyDescent="0.35">
      <c r="C1506" s="8">
        <f t="shared" ca="1" si="92"/>
        <v>0.40594225725901401</v>
      </c>
      <c r="D1506" s="7">
        <f t="shared" ca="1" si="93"/>
        <v>8.8244797914813738E-2</v>
      </c>
      <c r="E1506" s="7">
        <f t="shared" ca="1" si="94"/>
        <v>5.0301880764434204E-2</v>
      </c>
      <c r="F1506" s="7">
        <f t="shared" ca="1" si="95"/>
        <v>1.3171809602243937E-2</v>
      </c>
      <c r="G1506" s="7">
        <f ca="1">$C$11/(1+D1506)^1
 +$D$11/(1+D1506)^2
 +$E$11/(1+D1506)^3
 +$F$11/(1+D1506)^4
 +$G$11/(1+D1506)^5
 +$H$11/(1+D1506)^6
 +$I$11/(1+D1506)^7
 + ( $I$11*(1+F1506)/(D1506-F1506) )/(1+D1506)^7</f>
        <v>365.90018170986491</v>
      </c>
      <c r="H1506" s="7">
        <f ca="1">(G1506-$C$8)/$C$9</f>
        <v>2.0037889060937637</v>
      </c>
    </row>
    <row r="1507" spans="3:8" x14ac:dyDescent="0.35">
      <c r="C1507" s="8">
        <f t="shared" ca="1" si="92"/>
        <v>3.1366065072691351E-2</v>
      </c>
      <c r="D1507" s="7">
        <f t="shared" ca="1" si="93"/>
        <v>7.5071506024802392E-2</v>
      </c>
      <c r="E1507" s="7">
        <f t="shared" ca="1" si="94"/>
        <v>0.73747148591861234</v>
      </c>
      <c r="F1507" s="7">
        <f t="shared" ca="1" si="95"/>
        <v>2.2753918105881114E-2</v>
      </c>
      <c r="G1507" s="7">
        <f ca="1">$C$11/(1+D1507)^1
 +$D$11/(1+D1507)^2
 +$E$11/(1+D1507)^3
 +$F$11/(1+D1507)^4
 +$G$11/(1+D1507)^5
 +$H$11/(1+D1507)^6
 +$I$11/(1+D1507)^7
 + ( $I$11*(1+F1507)/(D1507-F1507) )/(1+D1507)^7</f>
        <v>508.35405019677501</v>
      </c>
      <c r="H1507" s="7">
        <f ca="1">(G1507-$C$8)/$C$9</f>
        <v>2.809159035486064</v>
      </c>
    </row>
    <row r="1508" spans="3:8" x14ac:dyDescent="0.35">
      <c r="C1508" s="8">
        <f t="shared" ca="1" si="92"/>
        <v>5.8688351973160247E-2</v>
      </c>
      <c r="D1508" s="7">
        <f t="shared" ca="1" si="93"/>
        <v>7.6937178721785349E-2</v>
      </c>
      <c r="E1508" s="7">
        <f t="shared" ca="1" si="94"/>
        <v>1.8691379714804612E-2</v>
      </c>
      <c r="F1508" s="7">
        <f t="shared" ca="1" si="95"/>
        <v>1.1933462164864087E-2</v>
      </c>
      <c r="G1508" s="7">
        <f ca="1">$C$11/(1+D1508)^1
 +$D$11/(1+D1508)^2
 +$E$11/(1+D1508)^3
 +$F$11/(1+D1508)^4
 +$G$11/(1+D1508)^5
 +$H$11/(1+D1508)^6
 +$I$11/(1+D1508)^7
 + ( $I$11*(1+F1508)/(D1508-F1508) )/(1+D1508)^7</f>
        <v>428.16151894969948</v>
      </c>
      <c r="H1508" s="7">
        <f ca="1">(G1508-$C$8)/$C$9</f>
        <v>2.3557865159978486</v>
      </c>
    </row>
    <row r="1509" spans="3:8" x14ac:dyDescent="0.35">
      <c r="C1509" s="8">
        <f t="shared" ca="1" si="92"/>
        <v>0.32738317471725242</v>
      </c>
      <c r="D1509" s="7">
        <f t="shared" ca="1" si="93"/>
        <v>8.6384572111231558E-2</v>
      </c>
      <c r="E1509" s="7">
        <f t="shared" ca="1" si="94"/>
        <v>5.7796395222179164E-2</v>
      </c>
      <c r="F1509" s="7">
        <f t="shared" ca="1" si="95"/>
        <v>1.3399893975469798E-2</v>
      </c>
      <c r="G1509" s="7">
        <f ca="1">$C$11/(1+D1509)^1
 +$D$11/(1+D1509)^2
 +$E$11/(1+D1509)^3
 +$F$11/(1+D1509)^4
 +$G$11/(1+D1509)^5
 +$H$11/(1+D1509)^6
 +$I$11/(1+D1509)^7
 + ( $I$11*(1+F1509)/(D1509-F1509) )/(1+D1509)^7</f>
        <v>376.49521374810115</v>
      </c>
      <c r="H1509" s="7">
        <f ca="1">(G1509-$C$8)/$C$9</f>
        <v>2.0636884540258995</v>
      </c>
    </row>
    <row r="1510" spans="3:8" x14ac:dyDescent="0.35">
      <c r="C1510" s="8">
        <f t="shared" ca="1" si="92"/>
        <v>0.67095691912239996</v>
      </c>
      <c r="D1510" s="7">
        <f t="shared" ca="1" si="93"/>
        <v>9.3979587924009941E-2</v>
      </c>
      <c r="E1510" s="7">
        <f t="shared" ca="1" si="94"/>
        <v>0.3299771481693472</v>
      </c>
      <c r="F1510" s="7">
        <f t="shared" ca="1" si="95"/>
        <v>1.8123757113175494E-2</v>
      </c>
      <c r="G1510" s="7">
        <f ca="1">$C$11/(1+D1510)^1
 +$D$11/(1+D1510)^2
 +$E$11/(1+D1510)^3
 +$F$11/(1+D1510)^4
 +$G$11/(1+D1510)^5
 +$H$11/(1+D1510)^6
 +$I$11/(1+D1510)^7
 + ( $I$11*(1+F1510)/(D1510-F1510) )/(1+D1510)^7</f>
        <v>353.48757189278405</v>
      </c>
      <c r="H1510" s="7">
        <f ca="1">(G1510-$C$8)/$C$9</f>
        <v>1.9336135905290821</v>
      </c>
    </row>
    <row r="1511" spans="3:8" x14ac:dyDescent="0.35">
      <c r="C1511" s="8">
        <f t="shared" ca="1" si="92"/>
        <v>0.74839991244615778</v>
      </c>
      <c r="D1511" s="7">
        <f t="shared" ca="1" si="93"/>
        <v>9.59911432196629E-2</v>
      </c>
      <c r="E1511" s="7">
        <f t="shared" ca="1" si="94"/>
        <v>0.22495930046401558</v>
      </c>
      <c r="F1511" s="7">
        <f t="shared" ca="1" si="95"/>
        <v>1.6707597192199539E-2</v>
      </c>
      <c r="G1511" s="7">
        <f ca="1">$C$11/(1+D1511)^1
 +$D$11/(1+D1511)^2
 +$E$11/(1+D1511)^3
 +$F$11/(1+D1511)^4
 +$G$11/(1+D1511)^5
 +$H$11/(1+D1511)^6
 +$I$11/(1+D1511)^7
 + ( $I$11*(1+F1511)/(D1511-F1511) )/(1+D1511)^7</f>
        <v>339.75473258860148</v>
      </c>
      <c r="H1511" s="7">
        <f ca="1">(G1511-$C$8)/$C$9</f>
        <v>1.8559742909803338</v>
      </c>
    </row>
    <row r="1512" spans="3:8" x14ac:dyDescent="0.35">
      <c r="C1512" s="8">
        <f t="shared" ca="1" si="92"/>
        <v>0.51258024195746832</v>
      </c>
      <c r="D1512" s="7">
        <f t="shared" ca="1" si="93"/>
        <v>9.0501604905193489E-2</v>
      </c>
      <c r="E1512" s="7">
        <f t="shared" ca="1" si="94"/>
        <v>0.37451056117731463</v>
      </c>
      <c r="F1512" s="7">
        <f t="shared" ca="1" si="95"/>
        <v>1.8654600639859874E-2</v>
      </c>
      <c r="G1512" s="7">
        <f ca="1">$C$11/(1+D1512)^1
 +$D$11/(1+D1512)^2
 +$E$11/(1+D1512)^3
 +$F$11/(1+D1512)^4
 +$G$11/(1+D1512)^5
 +$H$11/(1+D1512)^6
 +$I$11/(1+D1512)^7
 + ( $I$11*(1+F1512)/(D1512-F1512) )/(1+D1512)^7</f>
        <v>373.1903507863596</v>
      </c>
      <c r="H1512" s="7">
        <f ca="1">(G1512-$C$8)/$C$9</f>
        <v>2.0450042446085459</v>
      </c>
    </row>
    <row r="1513" spans="3:8" x14ac:dyDescent="0.35">
      <c r="C1513" s="8">
        <f t="shared" ca="1" si="92"/>
        <v>0.42585820081235937</v>
      </c>
      <c r="D1513" s="7">
        <f t="shared" ca="1" si="93"/>
        <v>8.868699346246299E-2</v>
      </c>
      <c r="E1513" s="7">
        <f t="shared" ca="1" si="94"/>
        <v>0.2857630429515805</v>
      </c>
      <c r="F1513" s="7">
        <f t="shared" ca="1" si="95"/>
        <v>1.755993443029211E-2</v>
      </c>
      <c r="G1513" s="7">
        <f ca="1">$C$11/(1+D1513)^1
 +$D$11/(1+D1513)^2
 +$E$11/(1+D1513)^3
 +$F$11/(1+D1513)^4
 +$G$11/(1+D1513)^5
 +$H$11/(1+D1513)^6
 +$I$11/(1+D1513)^7
 + ( $I$11*(1+F1513)/(D1513-F1513) )/(1+D1513)^7</f>
        <v>379.12851369649167</v>
      </c>
      <c r="H1513" s="7">
        <f ca="1">(G1513-$C$8)/$C$9</f>
        <v>2.0785759480805726</v>
      </c>
    </row>
    <row r="1514" spans="3:8" x14ac:dyDescent="0.35">
      <c r="C1514" s="8">
        <f t="shared" ca="1" si="92"/>
        <v>0.58176824762119717</v>
      </c>
      <c r="D1514" s="7">
        <f t="shared" ca="1" si="93"/>
        <v>9.1938417376778242E-2</v>
      </c>
      <c r="E1514" s="7">
        <f t="shared" ca="1" si="94"/>
        <v>0.96205063659057977</v>
      </c>
      <c r="F1514" s="7">
        <f t="shared" ca="1" si="95"/>
        <v>2.7245027644079881E-2</v>
      </c>
      <c r="G1514" s="7">
        <f ca="1">$C$11/(1+D1514)^1
 +$D$11/(1+D1514)^2
 +$E$11/(1+D1514)^3
 +$F$11/(1+D1514)^4
 +$G$11/(1+D1514)^5
 +$H$11/(1+D1514)^6
 +$I$11/(1+D1514)^7
 + ( $I$11*(1+F1514)/(D1514-F1514) )/(1+D1514)^7</f>
        <v>399.27406511957378</v>
      </c>
      <c r="H1514" s="7">
        <f ca="1">(G1514-$C$8)/$C$9</f>
        <v>2.1924698389844739</v>
      </c>
    </row>
    <row r="1515" spans="3:8" x14ac:dyDescent="0.35">
      <c r="C1515" s="8">
        <f t="shared" ca="1" si="92"/>
        <v>0.77366375410076782</v>
      </c>
      <c r="D1515" s="7">
        <f t="shared" ca="1" si="93"/>
        <v>9.6713078919426029E-2</v>
      </c>
      <c r="E1515" s="7">
        <f t="shared" ca="1" si="94"/>
        <v>0.22224215168725991</v>
      </c>
      <c r="F1515" s="7">
        <f t="shared" ca="1" si="95"/>
        <v>1.6666965601940059E-2</v>
      </c>
      <c r="G1515" s="7">
        <f ca="1">$C$11/(1+D1515)^1
 +$D$11/(1+D1515)^2
 +$E$11/(1+D1515)^3
 +$F$11/(1+D1515)^4
 +$G$11/(1+D1515)^5
 +$H$11/(1+D1515)^6
 +$I$11/(1+D1515)^7
 + ( $I$11*(1+F1515)/(D1515-F1515) )/(1+D1515)^7</f>
        <v>336.42180589232726</v>
      </c>
      <c r="H1515" s="7">
        <f ca="1">(G1515-$C$8)/$C$9</f>
        <v>1.8371314218245547</v>
      </c>
    </row>
    <row r="1516" spans="3:8" x14ac:dyDescent="0.35">
      <c r="C1516" s="8">
        <f t="shared" ca="1" si="92"/>
        <v>5.1671097690622059E-3</v>
      </c>
      <c r="D1516" s="7">
        <f t="shared" ca="1" si="93"/>
        <v>7.2058404724691189E-2</v>
      </c>
      <c r="E1516" s="7">
        <f t="shared" ca="1" si="94"/>
        <v>0.79669896546510655</v>
      </c>
      <c r="F1516" s="7">
        <f t="shared" ca="1" si="95"/>
        <v>2.3623464349117249E-2</v>
      </c>
      <c r="G1516" s="7">
        <f ca="1">$C$11/(1+D1516)^1
 +$D$11/(1+D1516)^2
 +$E$11/(1+D1516)^3
 +$F$11/(1+D1516)^4
 +$G$11/(1+D1516)^5
 +$H$11/(1+D1516)^6
 +$I$11/(1+D1516)^7
 + ( $I$11*(1+F1516)/(D1516-F1516) )/(1+D1516)^7</f>
        <v>547.99116428690581</v>
      </c>
      <c r="H1516" s="7">
        <f ca="1">(G1516-$C$8)/$C$9</f>
        <v>3.0332494588811953</v>
      </c>
    </row>
    <row r="1517" spans="3:8" x14ac:dyDescent="0.35">
      <c r="C1517" s="8">
        <f t="shared" ca="1" si="92"/>
        <v>4.1467100957362835E-2</v>
      </c>
      <c r="D1517" s="7">
        <f t="shared" ca="1" si="93"/>
        <v>7.5831211090763018E-2</v>
      </c>
      <c r="E1517" s="7">
        <f t="shared" ca="1" si="94"/>
        <v>0.58461390268323565</v>
      </c>
      <c r="F1517" s="7">
        <f t="shared" ca="1" si="95"/>
        <v>2.0885329437475383E-2</v>
      </c>
      <c r="G1517" s="7">
        <f ca="1">$C$11/(1+D1517)^1
 +$D$11/(1+D1517)^2
 +$E$11/(1+D1517)^3
 +$F$11/(1+D1517)^4
 +$G$11/(1+D1517)^5
 +$H$11/(1+D1517)^6
 +$I$11/(1+D1517)^7
 + ( $I$11*(1+F1517)/(D1517-F1517) )/(1+D1517)^7</f>
        <v>487.80717802589288</v>
      </c>
      <c r="H1517" s="7">
        <f ca="1">(G1517-$C$8)/$C$9</f>
        <v>2.6929962574960022</v>
      </c>
    </row>
    <row r="1518" spans="3:8" x14ac:dyDescent="0.35">
      <c r="C1518" s="8">
        <f t="shared" ca="1" si="92"/>
        <v>0.56034145511730493</v>
      </c>
      <c r="D1518" s="7">
        <f t="shared" ca="1" si="93"/>
        <v>9.1481531785579509E-2</v>
      </c>
      <c r="E1518" s="7">
        <f t="shared" ca="1" si="94"/>
        <v>0.31462978308489709</v>
      </c>
      <c r="F1518" s="7">
        <f t="shared" ca="1" si="95"/>
        <v>1.79325882672038E-2</v>
      </c>
      <c r="G1518" s="7">
        <f ca="1">$C$11/(1+D1518)^1
 +$D$11/(1+D1518)^2
 +$E$11/(1+D1518)^3
 +$F$11/(1+D1518)^4
 +$G$11/(1+D1518)^5
 +$H$11/(1+D1518)^6
 +$I$11/(1+D1518)^7
 + ( $I$11*(1+F1518)/(D1518-F1518) )/(1+D1518)^7</f>
        <v>365.43044431258369</v>
      </c>
      <c r="H1518" s="7">
        <f ca="1">(G1518-$C$8)/$C$9</f>
        <v>2.0011332220295324</v>
      </c>
    </row>
    <row r="1519" spans="3:8" x14ac:dyDescent="0.35">
      <c r="C1519" s="8">
        <f t="shared" ca="1" si="92"/>
        <v>0.94688143006537706</v>
      </c>
      <c r="D1519" s="7">
        <f t="shared" ca="1" si="93"/>
        <v>0.1035631929849493</v>
      </c>
      <c r="E1519" s="7">
        <f t="shared" ca="1" si="94"/>
        <v>0.88175834178340251</v>
      </c>
      <c r="F1519" s="7">
        <f t="shared" ca="1" si="95"/>
        <v>2.5137044967993277E-2</v>
      </c>
      <c r="G1519" s="7">
        <f ca="1">$C$11/(1+D1519)^1
 +$D$11/(1+D1519)^2
 +$E$11/(1+D1519)^3
 +$F$11/(1+D1519)^4
 +$G$11/(1+D1519)^5
 +$H$11/(1+D1519)^6
 +$I$11/(1+D1519)^7
 + ( $I$11*(1+F1519)/(D1519-F1519) )/(1+D1519)^7</f>
        <v>330.30354970664041</v>
      </c>
      <c r="H1519" s="7">
        <f ca="1">(G1519-$C$8)/$C$9</f>
        <v>1.8025415519371348</v>
      </c>
    </row>
    <row r="1520" spans="3:8" x14ac:dyDescent="0.35">
      <c r="C1520" s="8">
        <f t="shared" ca="1" si="92"/>
        <v>0.9778140697773926</v>
      </c>
      <c r="D1520" s="7">
        <f t="shared" ca="1" si="93"/>
        <v>0.1058400690422035</v>
      </c>
      <c r="E1520" s="7">
        <f t="shared" ca="1" si="94"/>
        <v>0.47875193203740318</v>
      </c>
      <c r="F1520" s="7">
        <f t="shared" ca="1" si="95"/>
        <v>1.9785212639870459E-2</v>
      </c>
      <c r="G1520" s="7">
        <f ca="1">$C$11/(1+D1520)^1
 +$D$11/(1+D1520)^2
 +$E$11/(1+D1520)^3
 +$F$11/(1+D1520)^4
 +$G$11/(1+D1520)^5
 +$H$11/(1+D1520)^6
 +$I$11/(1+D1520)^7
 + ( $I$11*(1+F1520)/(D1520-F1520) )/(1+D1520)^7</f>
        <v>307.31094642641619</v>
      </c>
      <c r="H1520" s="7">
        <f ca="1">(G1520-$C$8)/$C$9</f>
        <v>1.6725517097829952</v>
      </c>
    </row>
    <row r="1521" spans="3:8" x14ac:dyDescent="0.35">
      <c r="C1521" s="8">
        <f t="shared" ca="1" si="92"/>
        <v>0.3684758819958629</v>
      </c>
      <c r="D1521" s="7">
        <f t="shared" ca="1" si="93"/>
        <v>8.7382468847566147E-2</v>
      </c>
      <c r="E1521" s="7">
        <f t="shared" ca="1" si="94"/>
        <v>0.99519357788968899</v>
      </c>
      <c r="F1521" s="7">
        <f t="shared" ca="1" si="95"/>
        <v>2.9019548868090713E-2</v>
      </c>
      <c r="G1521" s="7">
        <f ca="1">$C$11/(1+D1521)^1
 +$D$11/(1+D1521)^2
 +$E$11/(1+D1521)^3
 +$F$11/(1+D1521)^4
 +$G$11/(1+D1521)^5
 +$H$11/(1+D1521)^6
 +$I$11/(1+D1521)^7
 + ( $I$11*(1+F1521)/(D1521-F1521) )/(1+D1521)^7</f>
        <v>440.20484870973485</v>
      </c>
      <c r="H1521" s="7">
        <f ca="1">(G1521-$C$8)/$C$9</f>
        <v>2.4238740881373522</v>
      </c>
    </row>
    <row r="1522" spans="3:8" x14ac:dyDescent="0.35">
      <c r="C1522" s="8">
        <f t="shared" ca="1" si="92"/>
        <v>0.23626893068856236</v>
      </c>
      <c r="D1522" s="7">
        <f t="shared" ca="1" si="93"/>
        <v>8.3919070484936173E-2</v>
      </c>
      <c r="E1522" s="7">
        <f t="shared" ca="1" si="94"/>
        <v>0.60220470190447339</v>
      </c>
      <c r="F1522" s="7">
        <f t="shared" ca="1" si="95"/>
        <v>2.1080411465818318E-2</v>
      </c>
      <c r="G1522" s="7">
        <f ca="1">$C$11/(1+D1522)^1
 +$D$11/(1+D1522)^2
 +$E$11/(1+D1522)^3
 +$F$11/(1+D1522)^4
 +$G$11/(1+D1522)^5
 +$H$11/(1+D1522)^6
 +$I$11/(1+D1522)^7
 + ( $I$11*(1+F1522)/(D1522-F1522) )/(1+D1522)^7</f>
        <v>424.04003713203048</v>
      </c>
      <c r="H1522" s="7">
        <f ca="1">(G1522-$C$8)/$C$9</f>
        <v>2.3324855106966895</v>
      </c>
    </row>
    <row r="1523" spans="3:8" x14ac:dyDescent="0.35">
      <c r="C1523" s="8">
        <f t="shared" ca="1" si="92"/>
        <v>5.3970799292009985E-2</v>
      </c>
      <c r="D1523" s="7">
        <f t="shared" ca="1" si="93"/>
        <v>7.665252248545229E-2</v>
      </c>
      <c r="E1523" s="7">
        <f t="shared" ca="1" si="94"/>
        <v>0.25625206989044746</v>
      </c>
      <c r="F1523" s="7">
        <f t="shared" ca="1" si="95"/>
        <v>1.7158939445063737E-2</v>
      </c>
      <c r="G1523" s="7">
        <f ca="1">$C$11/(1+D1523)^1
 +$D$11/(1+D1523)^2
 +$E$11/(1+D1523)^3
 +$F$11/(1+D1523)^4
 +$G$11/(1+D1523)^5
 +$H$11/(1+D1523)^6
 +$I$11/(1+D1523)^7
 + ( $I$11*(1+F1523)/(D1523-F1523) )/(1+D1523)^7</f>
        <v>457.62356328255294</v>
      </c>
      <c r="H1523" s="7">
        <f ca="1">(G1523-$C$8)/$C$9</f>
        <v>2.522351669394804</v>
      </c>
    </row>
    <row r="1524" spans="3:8" x14ac:dyDescent="0.35">
      <c r="C1524" s="8">
        <f t="shared" ca="1" si="92"/>
        <v>0.94723713225084616</v>
      </c>
      <c r="D1524" s="7">
        <f t="shared" ca="1" si="93"/>
        <v>0.10358478084206471</v>
      </c>
      <c r="E1524" s="7">
        <f t="shared" ca="1" si="94"/>
        <v>0.69770717216248046</v>
      </c>
      <c r="F1524" s="7">
        <f t="shared" ca="1" si="95"/>
        <v>2.2224489369340177E-2</v>
      </c>
      <c r="G1524" s="7">
        <f ca="1">$C$11/(1+D1524)^1
 +$D$11/(1+D1524)^2
 +$E$11/(1+D1524)^3
 +$F$11/(1+D1524)^4
 +$G$11/(1+D1524)^5
 +$H$11/(1+D1524)^6
 +$I$11/(1+D1524)^7
 + ( $I$11*(1+F1524)/(D1524-F1524) )/(1+D1524)^7</f>
        <v>322.23915711819717</v>
      </c>
      <c r="H1524" s="7">
        <f ca="1">(G1524-$C$8)/$C$9</f>
        <v>1.7569491017537153</v>
      </c>
    </row>
    <row r="1525" spans="3:8" x14ac:dyDescent="0.35">
      <c r="C1525" s="8">
        <f t="shared" ca="1" si="92"/>
        <v>0.12201183333917265</v>
      </c>
      <c r="D1525" s="7">
        <f t="shared" ca="1" si="93"/>
        <v>8.0002484858180067E-2</v>
      </c>
      <c r="E1525" s="7">
        <f t="shared" ca="1" si="94"/>
        <v>0.61552126717558775</v>
      </c>
      <c r="F1525" s="7">
        <f t="shared" ca="1" si="95"/>
        <v>2.1230978015486422E-2</v>
      </c>
      <c r="G1525" s="7">
        <f ca="1">$C$11/(1+D1525)^1
 +$D$11/(1+D1525)^2
 +$E$11/(1+D1525)^3
 +$F$11/(1+D1525)^4
 +$G$11/(1+D1525)^5
 +$H$11/(1+D1525)^6
 +$I$11/(1+D1525)^7
 + ( $I$11*(1+F1525)/(D1525-F1525) )/(1+D1525)^7</f>
        <v>454.18098180414808</v>
      </c>
      <c r="H1525" s="7">
        <f ca="1">(G1525-$C$8)/$C$9</f>
        <v>2.5028888613983948</v>
      </c>
    </row>
    <row r="1526" spans="3:8" x14ac:dyDescent="0.35">
      <c r="C1526" s="8">
        <f t="shared" ca="1" si="92"/>
        <v>1.5587183202895538E-2</v>
      </c>
      <c r="D1526" s="7">
        <f t="shared" ca="1" si="93"/>
        <v>7.3575121008633754E-2</v>
      </c>
      <c r="E1526" s="7">
        <f t="shared" ca="1" si="94"/>
        <v>0.52434573239341786</v>
      </c>
      <c r="F1526" s="7">
        <f t="shared" ca="1" si="95"/>
        <v>2.02464953211004E-2</v>
      </c>
      <c r="G1526" s="7">
        <f ca="1">$C$11/(1+D1526)^1
 +$D$11/(1+D1526)^2
 +$E$11/(1+D1526)^3
 +$F$11/(1+D1526)^4
 +$G$11/(1+D1526)^5
 +$H$11/(1+D1526)^6
 +$I$11/(1+D1526)^7
 + ( $I$11*(1+F1526)/(D1526-F1526) )/(1+D1526)^7</f>
        <v>504.73918471554168</v>
      </c>
      <c r="H1526" s="7">
        <f ca="1">(G1526-$C$8)/$C$9</f>
        <v>2.7887222111914385</v>
      </c>
    </row>
    <row r="1527" spans="3:8" x14ac:dyDescent="0.35">
      <c r="C1527" s="8">
        <f t="shared" ca="1" si="92"/>
        <v>0.48449804213341241</v>
      </c>
      <c r="D1527" s="7">
        <f t="shared" ca="1" si="93"/>
        <v>8.9932094585100639E-2</v>
      </c>
      <c r="E1527" s="7">
        <f t="shared" ca="1" si="94"/>
        <v>0.14246915291960149</v>
      </c>
      <c r="F1527" s="7">
        <f t="shared" ca="1" si="95"/>
        <v>1.5337961275985457E-2</v>
      </c>
      <c r="G1527" s="7">
        <f ca="1">$C$11/(1+D1527)^1
 +$D$11/(1+D1527)^2
 +$E$11/(1+D1527)^3
 +$F$11/(1+D1527)^4
 +$G$11/(1+D1527)^5
 +$H$11/(1+D1527)^6
 +$I$11/(1+D1527)^7
 + ( $I$11*(1+F1527)/(D1527-F1527) )/(1+D1527)^7</f>
        <v>364.56582455798548</v>
      </c>
      <c r="H1527" s="7">
        <f ca="1">(G1527-$C$8)/$C$9</f>
        <v>1.9962450506444225</v>
      </c>
    </row>
    <row r="1528" spans="3:8" x14ac:dyDescent="0.35">
      <c r="C1528" s="8">
        <f t="shared" ca="1" si="92"/>
        <v>0.83809764587187574</v>
      </c>
      <c r="D1528" s="7">
        <f t="shared" ca="1" si="93"/>
        <v>9.8762391881724254E-2</v>
      </c>
      <c r="E1528" s="7">
        <f t="shared" ca="1" si="94"/>
        <v>0.62882663411651285</v>
      </c>
      <c r="F1528" s="7">
        <f t="shared" ca="1" si="95"/>
        <v>2.1384045428584398E-2</v>
      </c>
      <c r="G1528" s="7">
        <f ca="1">$C$11/(1+D1528)^1
 +$D$11/(1+D1528)^2
 +$E$11/(1+D1528)^3
 +$F$11/(1+D1528)^4
 +$G$11/(1+D1528)^5
 +$H$11/(1+D1528)^6
 +$I$11/(1+D1528)^7
 + ( $I$11*(1+F1528)/(D1528-F1528) )/(1+D1528)^7</f>
        <v>340.9195414135192</v>
      </c>
      <c r="H1528" s="7">
        <f ca="1">(G1528-$C$8)/$C$9</f>
        <v>1.8625595964129307</v>
      </c>
    </row>
    <row r="1529" spans="3:8" x14ac:dyDescent="0.35">
      <c r="C1529" s="8">
        <f t="shared" ca="1" si="92"/>
        <v>0.36978943153274246</v>
      </c>
      <c r="D1529" s="7">
        <f t="shared" ca="1" si="93"/>
        <v>8.7413423955582339E-2</v>
      </c>
      <c r="E1529" s="7">
        <f t="shared" ca="1" si="94"/>
        <v>0.11701997545160758</v>
      </c>
      <c r="F1529" s="7">
        <f t="shared" ca="1" si="95"/>
        <v>1.4837767572994957E-2</v>
      </c>
      <c r="G1529" s="7">
        <f ca="1">$C$11/(1+D1529)^1
 +$D$11/(1+D1529)^2
 +$E$11/(1+D1529)^3
 +$F$11/(1+D1529)^4
 +$G$11/(1+D1529)^5
 +$H$11/(1+D1529)^6
 +$I$11/(1+D1529)^7
 + ( $I$11*(1+F1529)/(D1529-F1529) )/(1+D1529)^7</f>
        <v>376.10823129459584</v>
      </c>
      <c r="H1529" s="7">
        <f ca="1">(G1529-$C$8)/$C$9</f>
        <v>2.0615006292096099</v>
      </c>
    </row>
    <row r="1530" spans="3:8" x14ac:dyDescent="0.35">
      <c r="C1530" s="8">
        <f t="shared" ca="1" si="92"/>
        <v>0.15416543256851367</v>
      </c>
      <c r="D1530" s="7">
        <f t="shared" ca="1" si="93"/>
        <v>8.1243471648302465E-2</v>
      </c>
      <c r="E1530" s="7">
        <f t="shared" ca="1" si="94"/>
        <v>0.25593659250812983</v>
      </c>
      <c r="F1530" s="7">
        <f t="shared" ca="1" si="95"/>
        <v>1.7154531326482956E-2</v>
      </c>
      <c r="G1530" s="7">
        <f ca="1">$C$11/(1+D1530)^1
 +$D$11/(1+D1530)^2
 +$E$11/(1+D1530)^3
 +$F$11/(1+D1530)^4
 +$G$11/(1+D1530)^5
 +$H$11/(1+D1530)^6
 +$I$11/(1+D1530)^7
 + ( $I$11*(1+F1530)/(D1530-F1530) )/(1+D1530)^7</f>
        <v>423.5215007978062</v>
      </c>
      <c r="H1530" s="7">
        <f ca="1">(G1530-$C$8)/$C$9</f>
        <v>2.3295539393815363</v>
      </c>
    </row>
    <row r="1531" spans="3:8" x14ac:dyDescent="0.35">
      <c r="C1531" s="8">
        <f t="shared" ca="1" si="92"/>
        <v>0.2368310336429259</v>
      </c>
      <c r="D1531" s="7">
        <f t="shared" ca="1" si="93"/>
        <v>8.3935617947805519E-2</v>
      </c>
      <c r="E1531" s="7">
        <f t="shared" ca="1" si="94"/>
        <v>0.34695670391796929</v>
      </c>
      <c r="F1531" s="7">
        <f t="shared" ca="1" si="95"/>
        <v>1.8330146504329552E-2</v>
      </c>
      <c r="G1531" s="7">
        <f ca="1">$C$11/(1+D1531)^1
 +$D$11/(1+D1531)^2
 +$E$11/(1+D1531)^3
 +$F$11/(1+D1531)^4
 +$G$11/(1+D1531)^5
 +$H$11/(1+D1531)^6
 +$I$11/(1+D1531)^7
 + ( $I$11*(1+F1531)/(D1531-F1531) )/(1+D1531)^7</f>
        <v>410.95019102442114</v>
      </c>
      <c r="H1531" s="7">
        <f ca="1">(G1531-$C$8)/$C$9</f>
        <v>2.258481405610703</v>
      </c>
    </row>
    <row r="1532" spans="3:8" x14ac:dyDescent="0.35">
      <c r="C1532" s="8">
        <f t="shared" ca="1" si="92"/>
        <v>7.4678638100905359E-2</v>
      </c>
      <c r="D1532" s="7">
        <f t="shared" ca="1" si="93"/>
        <v>7.7825374319656693E-2</v>
      </c>
      <c r="E1532" s="7">
        <f t="shared" ca="1" si="94"/>
        <v>0.58181778298668718</v>
      </c>
      <c r="F1532" s="7">
        <f t="shared" ca="1" si="95"/>
        <v>2.0854703755336157E-2</v>
      </c>
      <c r="G1532" s="7">
        <f ca="1">$C$11/(1+D1532)^1
 +$D$11/(1+D1532)^2
 +$E$11/(1+D1532)^3
 +$F$11/(1+D1532)^4
 +$G$11/(1+D1532)^5
 +$H$11/(1+D1532)^6
 +$I$11/(1+D1532)^7
 + ( $I$11*(1+F1532)/(D1532-F1532) )/(1+D1532)^7</f>
        <v>469.94210043040624</v>
      </c>
      <c r="H1532" s="7">
        <f ca="1">(G1532-$C$8)/$C$9</f>
        <v>2.5919951403799537</v>
      </c>
    </row>
    <row r="1533" spans="3:8" x14ac:dyDescent="0.35">
      <c r="C1533" s="8">
        <f t="shared" ca="1" si="92"/>
        <v>0.76879181244269434</v>
      </c>
      <c r="D1533" s="7">
        <f t="shared" ca="1" si="93"/>
        <v>9.6570838213250298E-2</v>
      </c>
      <c r="E1533" s="7">
        <f t="shared" ca="1" si="94"/>
        <v>0.64263835723617002</v>
      </c>
      <c r="F1533" s="7">
        <f t="shared" ca="1" si="95"/>
        <v>2.1545869142675519E-2</v>
      </c>
      <c r="G1533" s="7">
        <f ca="1">$C$11/(1+D1533)^1
 +$D$11/(1+D1533)^2
 +$E$11/(1+D1533)^3
 +$F$11/(1+D1533)^4
 +$G$11/(1+D1533)^5
 +$H$11/(1+D1533)^6
 +$I$11/(1+D1533)^7
 + ( $I$11*(1+F1533)/(D1533-F1533) )/(1+D1533)^7</f>
        <v>351.81888176891516</v>
      </c>
      <c r="H1533" s="7">
        <f ca="1">(G1533-$C$8)/$C$9</f>
        <v>1.9241795667622972</v>
      </c>
    </row>
    <row r="1534" spans="3:8" x14ac:dyDescent="0.35">
      <c r="C1534" s="8">
        <f t="shared" ca="1" si="92"/>
        <v>0.94035218130357634</v>
      </c>
      <c r="D1534" s="7">
        <f t="shared" ca="1" si="93"/>
        <v>0.10317905442162083</v>
      </c>
      <c r="E1534" s="7">
        <f t="shared" ca="1" si="94"/>
        <v>0.66276370692613396</v>
      </c>
      <c r="F1534" s="7">
        <f t="shared" ca="1" si="95"/>
        <v>2.1787372003142159E-2</v>
      </c>
      <c r="G1534" s="7">
        <f ca="1">$C$11/(1+D1534)^1
 +$D$11/(1+D1534)^2
 +$E$11/(1+D1534)^3
 +$F$11/(1+D1534)^4
 +$G$11/(1+D1534)^5
 +$H$11/(1+D1534)^6
 +$I$11/(1+D1534)^7
 + ( $I$11*(1+F1534)/(D1534-F1534) )/(1+D1534)^7</f>
        <v>322.7655448483772</v>
      </c>
      <c r="H1534" s="7">
        <f ca="1">(G1534-$C$8)/$C$9</f>
        <v>1.7599250613318476</v>
      </c>
    </row>
    <row r="1535" spans="3:8" x14ac:dyDescent="0.35">
      <c r="C1535" s="8">
        <f t="shared" ca="1" si="92"/>
        <v>0.36528597048642508</v>
      </c>
      <c r="D1535" s="7">
        <f t="shared" ca="1" si="93"/>
        <v>8.7307064909997553E-2</v>
      </c>
      <c r="E1535" s="7">
        <f t="shared" ca="1" si="94"/>
        <v>0.2920022092201594</v>
      </c>
      <c r="F1535" s="7">
        <f t="shared" ca="1" si="95"/>
        <v>1.7642018178729481E-2</v>
      </c>
      <c r="G1535" s="7">
        <f ca="1">$C$11/(1+D1535)^1
 +$D$11/(1+D1535)^2
 +$E$11/(1+D1535)^3
 +$F$11/(1+D1535)^4
 +$G$11/(1+D1535)^5
 +$H$11/(1+D1535)^6
 +$I$11/(1+D1535)^7
 + ( $I$11*(1+F1535)/(D1535-F1535) )/(1+D1535)^7</f>
        <v>387.29256721350328</v>
      </c>
      <c r="H1535" s="7">
        <f ca="1">(G1535-$C$8)/$C$9</f>
        <v>2.1247318363495209</v>
      </c>
    </row>
    <row r="1536" spans="3:8" x14ac:dyDescent="0.35">
      <c r="C1536" s="8">
        <f t="shared" ca="1" si="92"/>
        <v>0.90936591110474985</v>
      </c>
      <c r="D1536" s="7">
        <f t="shared" ca="1" si="93"/>
        <v>0.10159199254648908</v>
      </c>
      <c r="E1536" s="7">
        <f t="shared" ca="1" si="94"/>
        <v>0.55074260639070682</v>
      </c>
      <c r="F1536" s="7">
        <f t="shared" ca="1" si="95"/>
        <v>2.0520998010240814E-2</v>
      </c>
      <c r="G1536" s="7">
        <f ca="1">$C$11/(1+D1536)^1
 +$D$11/(1+D1536)^2
 +$E$11/(1+D1536)^3
 +$F$11/(1+D1536)^4
 +$G$11/(1+D1536)^5
 +$H$11/(1+D1536)^6
 +$I$11/(1+D1536)^7
 + ( $I$11*(1+F1536)/(D1536-F1536) )/(1+D1536)^7</f>
        <v>326.0207796557952</v>
      </c>
      <c r="H1536" s="7">
        <f ca="1">(G1536-$C$8)/$C$9</f>
        <v>1.7783286954760016</v>
      </c>
    </row>
    <row r="1537" spans="3:8" x14ac:dyDescent="0.35">
      <c r="C1537" s="8">
        <f t="shared" ca="1" si="92"/>
        <v>0.89004988365227533</v>
      </c>
      <c r="D1537" s="7">
        <f t="shared" ca="1" si="93"/>
        <v>0.10073927158635859</v>
      </c>
      <c r="E1537" s="7">
        <f t="shared" ca="1" si="94"/>
        <v>5.8627140909985886E-3</v>
      </c>
      <c r="F1537" s="7">
        <f t="shared" ca="1" si="95"/>
        <v>1.1082840162812461E-2</v>
      </c>
      <c r="G1537" s="7">
        <f ca="1">$C$11/(1+D1537)^1
 +$D$11/(1+D1537)^2
 +$E$11/(1+D1537)^3
 +$F$11/(1+D1537)^4
 +$G$11/(1+D1537)^5
 +$H$11/(1+D1537)^6
 +$I$11/(1+D1537)^7
 + ( $I$11*(1+F1537)/(D1537-F1537) )/(1+D1537)^7</f>
        <v>306.37107987277346</v>
      </c>
      <c r="H1537" s="7">
        <f ca="1">(G1537-$C$8)/$C$9</f>
        <v>1.667238126824816</v>
      </c>
    </row>
    <row r="1538" spans="3:8" x14ac:dyDescent="0.35">
      <c r="C1538" s="8">
        <f t="shared" ca="1" si="92"/>
        <v>0.44152874965973987</v>
      </c>
      <c r="D1538" s="7">
        <f t="shared" ca="1" si="93"/>
        <v>8.9027705450762759E-2</v>
      </c>
      <c r="E1538" s="7">
        <f t="shared" ca="1" si="94"/>
        <v>2.3390141128937447E-2</v>
      </c>
      <c r="F1538" s="7">
        <f t="shared" ca="1" si="95"/>
        <v>1.2162874990790612E-2</v>
      </c>
      <c r="G1538" s="7">
        <f ca="1">$C$11/(1+D1538)^1
 +$D$11/(1+D1538)^2
 +$E$11/(1+D1538)^3
 +$F$11/(1+D1538)^4
 +$G$11/(1+D1538)^5
 +$H$11/(1+D1538)^6
 +$I$11/(1+D1538)^7
 + ( $I$11*(1+F1538)/(D1538-F1538) )/(1+D1538)^7</f>
        <v>358.65766031097388</v>
      </c>
      <c r="H1538" s="7">
        <f ca="1">(G1538-$C$8)/$C$9</f>
        <v>1.9628429461271701</v>
      </c>
    </row>
    <row r="1539" spans="3:8" x14ac:dyDescent="0.35">
      <c r="C1539" s="8">
        <f t="shared" ca="1" si="92"/>
        <v>0.18950954016634269</v>
      </c>
      <c r="D1539" s="7">
        <f t="shared" ca="1" si="93"/>
        <v>8.2465866313112826E-2</v>
      </c>
      <c r="E1539" s="7">
        <f t="shared" ca="1" si="94"/>
        <v>0.22531744038091805</v>
      </c>
      <c r="F1539" s="7">
        <f t="shared" ca="1" si="95"/>
        <v>1.6712934386405368E-2</v>
      </c>
      <c r="G1539" s="7">
        <f ca="1">$C$11/(1+D1539)^1
 +$D$11/(1+D1539)^2
 +$E$11/(1+D1539)^3
 +$F$11/(1+D1539)^4
 +$G$11/(1+D1539)^5
 +$H$11/(1+D1539)^6
 +$I$11/(1+D1539)^7
 + ( $I$11*(1+F1539)/(D1539-F1539) )/(1+D1539)^7</f>
        <v>413.24368367715113</v>
      </c>
      <c r="H1539" s="7">
        <f ca="1">(G1539-$C$8)/$C$9</f>
        <v>2.2714477819829892</v>
      </c>
    </row>
    <row r="1540" spans="3:8" x14ac:dyDescent="0.35">
      <c r="C1540" s="8">
        <f t="shared" ca="1" si="92"/>
        <v>0.46169180268758203</v>
      </c>
      <c r="D1540" s="7">
        <f t="shared" ca="1" si="93"/>
        <v>8.945731939923425E-2</v>
      </c>
      <c r="E1540" s="7">
        <f t="shared" ca="1" si="94"/>
        <v>0.4798285733707458</v>
      </c>
      <c r="F1540" s="7">
        <f t="shared" ca="1" si="95"/>
        <v>1.9796209199182568E-2</v>
      </c>
      <c r="G1540" s="7">
        <f ca="1">$C$11/(1+D1540)^1
 +$D$11/(1+D1540)^2
 +$E$11/(1+D1540)^3
 +$F$11/(1+D1540)^4
 +$G$11/(1+D1540)^5
 +$H$11/(1+D1540)^6
 +$I$11/(1+D1540)^7
 + ( $I$11*(1+F1540)/(D1540-F1540) )/(1+D1540)^7</f>
        <v>383.30774295417257</v>
      </c>
      <c r="H1540" s="7">
        <f ca="1">(G1540-$C$8)/$C$9</f>
        <v>2.1022034314460232</v>
      </c>
    </row>
    <row r="1541" spans="3:8" x14ac:dyDescent="0.35">
      <c r="C1541" s="8">
        <f t="shared" ca="1" si="92"/>
        <v>0.37054745586215321</v>
      </c>
      <c r="D1541" s="7">
        <f t="shared" ca="1" si="93"/>
        <v>8.7431262541966537E-2</v>
      </c>
      <c r="E1541" s="7">
        <f t="shared" ca="1" si="94"/>
        <v>0.65861948640696566</v>
      </c>
      <c r="F1541" s="7">
        <f t="shared" ca="1" si="95"/>
        <v>2.1737064521696488E-2</v>
      </c>
      <c r="G1541" s="7">
        <f ca="1">$C$11/(1+D1541)^1
 +$D$11/(1+D1541)^2
 +$E$11/(1+D1541)^3
 +$F$11/(1+D1541)^4
 +$G$11/(1+D1541)^5
 +$H$11/(1+D1541)^6
 +$I$11/(1+D1541)^7
 + ( $I$11*(1+F1541)/(D1541-F1541) )/(1+D1541)^7</f>
        <v>403.61510981802792</v>
      </c>
      <c r="H1541" s="7">
        <f ca="1">(G1541-$C$8)/$C$9</f>
        <v>2.2170121541046353</v>
      </c>
    </row>
    <row r="1542" spans="3:8" x14ac:dyDescent="0.35">
      <c r="C1542" s="8">
        <f t="shared" ca="1" si="92"/>
        <v>0.7409687836092238</v>
      </c>
      <c r="D1542" s="7">
        <f t="shared" ca="1" si="93"/>
        <v>9.5785769497267692E-2</v>
      </c>
      <c r="E1542" s="7">
        <f t="shared" ca="1" si="94"/>
        <v>0.91006225034576882</v>
      </c>
      <c r="F1542" s="7">
        <f t="shared" ca="1" si="95"/>
        <v>2.5758826821403513E-2</v>
      </c>
      <c r="G1542" s="7">
        <f ca="1">$C$11/(1+D1542)^1
 +$D$11/(1+D1542)^2
 +$E$11/(1+D1542)^3
 +$F$11/(1+D1542)^4
 +$G$11/(1+D1542)^5
 +$H$11/(1+D1542)^6
 +$I$11/(1+D1542)^7
 + ( $I$11*(1+F1542)/(D1542-F1542) )/(1+D1542)^7</f>
        <v>370.46827958020685</v>
      </c>
      <c r="H1542" s="7">
        <f ca="1">(G1542-$C$8)/$C$9</f>
        <v>2.0296148777714089</v>
      </c>
    </row>
    <row r="1543" spans="3:8" x14ac:dyDescent="0.35">
      <c r="C1543" s="8">
        <f t="shared" ca="1" si="92"/>
        <v>0.99334471046941264</v>
      </c>
      <c r="D1543" s="7">
        <f t="shared" ca="1" si="93"/>
        <v>0.10772159577031244</v>
      </c>
      <c r="E1543" s="7">
        <f t="shared" ca="1" si="94"/>
        <v>0.48869816155908918</v>
      </c>
      <c r="F1543" s="7">
        <f t="shared" ca="1" si="95"/>
        <v>1.9886335636211117E-2</v>
      </c>
      <c r="G1543" s="7">
        <f ca="1">$C$11/(1+D1543)^1
 +$D$11/(1+D1543)^2
 +$E$11/(1+D1543)^3
 +$F$11/(1+D1543)^4
 +$G$11/(1+D1543)^5
 +$H$11/(1+D1543)^6
 +$I$11/(1+D1543)^7
 + ( $I$11*(1+F1543)/(D1543-F1543) )/(1+D1543)^7</f>
        <v>300.63691429273501</v>
      </c>
      <c r="H1543" s="7">
        <f ca="1">(G1543-$C$8)/$C$9</f>
        <v>1.6348197325459917</v>
      </c>
    </row>
    <row r="1544" spans="3:8" x14ac:dyDescent="0.35">
      <c r="C1544" s="8">
        <f t="shared" ca="1" si="92"/>
        <v>0.60887462063736497</v>
      </c>
      <c r="D1544" s="7">
        <f t="shared" ca="1" si="93"/>
        <v>9.2533523655217248E-2</v>
      </c>
      <c r="E1544" s="7">
        <f t="shared" ca="1" si="94"/>
        <v>0.85485972075965144</v>
      </c>
      <c r="F1544" s="7">
        <f t="shared" ca="1" si="95"/>
        <v>2.4612230902491299E-2</v>
      </c>
      <c r="G1544" s="7">
        <f ca="1">$C$11/(1+D1544)^1
 +$D$11/(1+D1544)^2
 +$E$11/(1+D1544)^3
 +$F$11/(1+D1544)^4
 +$G$11/(1+D1544)^5
 +$H$11/(1+D1544)^6
 +$I$11/(1+D1544)^7
 + ( $I$11*(1+F1544)/(D1544-F1544) )/(1+D1544)^7</f>
        <v>384.49736160913903</v>
      </c>
      <c r="H1544" s="7">
        <f ca="1">(G1544-$C$8)/$C$9</f>
        <v>2.1089290005039518</v>
      </c>
    </row>
    <row r="1545" spans="3:8" x14ac:dyDescent="0.35">
      <c r="C1545" s="8">
        <f t="shared" ca="1" si="92"/>
        <v>0.62159733325931332</v>
      </c>
      <c r="D1545" s="7">
        <f t="shared" ca="1" si="93"/>
        <v>9.2819951104326406E-2</v>
      </c>
      <c r="E1545" s="7">
        <f t="shared" ca="1" si="94"/>
        <v>0.99928552908160218</v>
      </c>
      <c r="F1545" s="7">
        <f t="shared" ca="1" si="95"/>
        <v>2.9621986529764395E-2</v>
      </c>
      <c r="G1545" s="7">
        <f ca="1">$C$11/(1+D1545)^1
 +$D$11/(1+D1545)^2
 +$E$11/(1+D1545)^3
 +$F$11/(1+D1545)^4
 +$G$11/(1+D1545)^5
 +$H$11/(1+D1545)^6
 +$I$11/(1+D1545)^7
 + ( $I$11*(1+F1545)/(D1545-F1545) )/(1+D1545)^7</f>
        <v>404.34959083421228</v>
      </c>
      <c r="H1545" s="7">
        <f ca="1">(G1545-$C$8)/$C$9</f>
        <v>2.2211645795692689</v>
      </c>
    </row>
    <row r="1546" spans="3:8" x14ac:dyDescent="0.35">
      <c r="C1546" s="8">
        <f t="shared" ca="1" si="92"/>
        <v>0.2828430915349921</v>
      </c>
      <c r="D1546" s="7">
        <f t="shared" ca="1" si="93"/>
        <v>8.5229292007795165E-2</v>
      </c>
      <c r="E1546" s="7">
        <f t="shared" ca="1" si="94"/>
        <v>0.44179886992172823</v>
      </c>
      <c r="F1546" s="7">
        <f t="shared" ca="1" si="95"/>
        <v>1.9399987977883039E-2</v>
      </c>
      <c r="G1546" s="7">
        <f ca="1">$C$11/(1+D1546)^1
 +$D$11/(1+D1546)^2
 +$E$11/(1+D1546)^3
 +$F$11/(1+D1546)^4
 +$G$11/(1+D1546)^5
 +$H$11/(1+D1546)^6
 +$I$11/(1+D1546)^7
 + ( $I$11*(1+F1546)/(D1546-F1546) )/(1+D1546)^7</f>
        <v>407.36253297990834</v>
      </c>
      <c r="H1546" s="7">
        <f ca="1">(G1546-$C$8)/$C$9</f>
        <v>2.238198399931639</v>
      </c>
    </row>
    <row r="1547" spans="3:8" x14ac:dyDescent="0.35">
      <c r="C1547" s="8">
        <f t="shared" ca="1" si="92"/>
        <v>0.99937273528147907</v>
      </c>
      <c r="D1547" s="7">
        <f t="shared" ca="1" si="93"/>
        <v>0.10930052413876795</v>
      </c>
      <c r="E1547" s="7">
        <f t="shared" ca="1" si="94"/>
        <v>0.55936673813994764</v>
      </c>
      <c r="F1547" s="7">
        <f t="shared" ca="1" si="95"/>
        <v>2.0612420313413555E-2</v>
      </c>
      <c r="G1547" s="7">
        <f ca="1">$C$11/(1+D1547)^1
 +$D$11/(1+D1547)^2
 +$E$11/(1+D1547)^3
 +$F$11/(1+D1547)^4
 +$G$11/(1+D1547)^5
 +$H$11/(1+D1547)^6
 +$I$11/(1+D1547)^7
 + ( $I$11*(1+F1547)/(D1547-F1547) )/(1+D1547)^7</f>
        <v>296.61510518264646</v>
      </c>
      <c r="H1547" s="7">
        <f ca="1">(G1547-$C$8)/$C$9</f>
        <v>1.6120822319236003</v>
      </c>
    </row>
    <row r="1548" spans="3:8" x14ac:dyDescent="0.35">
      <c r="C1548" s="8">
        <f t="shared" ca="1" si="92"/>
        <v>6.6205877661857038E-2</v>
      </c>
      <c r="D1548" s="7">
        <f t="shared" ca="1" si="93"/>
        <v>7.7368094711845317E-2</v>
      </c>
      <c r="E1548" s="7">
        <f t="shared" ca="1" si="94"/>
        <v>8.3737136493784448E-2</v>
      </c>
      <c r="F1548" s="7">
        <f t="shared" ca="1" si="95"/>
        <v>1.4092362068385066E-2</v>
      </c>
      <c r="G1548" s="7">
        <f ca="1">$C$11/(1+D1548)^1
 +$D$11/(1+D1548)^2
 +$E$11/(1+D1548)^3
 +$F$11/(1+D1548)^4
 +$G$11/(1+D1548)^5
 +$H$11/(1+D1548)^6
 +$I$11/(1+D1548)^7
 + ( $I$11*(1+F1548)/(D1548-F1548) )/(1+D1548)^7</f>
        <v>435.72827864603994</v>
      </c>
      <c r="H1548" s="7">
        <f ca="1">(G1548-$C$8)/$C$9</f>
        <v>2.3985655735303024</v>
      </c>
    </row>
    <row r="1549" spans="3:8" x14ac:dyDescent="0.35">
      <c r="C1549" s="8">
        <f t="shared" ca="1" si="92"/>
        <v>0.78608055467450266</v>
      </c>
      <c r="D1549" s="7">
        <f t="shared" ca="1" si="93"/>
        <v>9.7082679559835641E-2</v>
      </c>
      <c r="E1549" s="7">
        <f t="shared" ca="1" si="94"/>
        <v>0.34849626568890668</v>
      </c>
      <c r="F1549" s="7">
        <f t="shared" ca="1" si="95"/>
        <v>1.8348607856270488E-2</v>
      </c>
      <c r="G1549" s="7">
        <f ca="1">$C$11/(1+D1549)^1
 +$D$11/(1+D1549)^2
 +$E$11/(1+D1549)^3
 +$F$11/(1+D1549)^4
 +$G$11/(1+D1549)^5
 +$H$11/(1+D1549)^6
 +$I$11/(1+D1549)^7
 + ( $I$11*(1+F1549)/(D1549-F1549) )/(1+D1549)^7</f>
        <v>339.60434002845994</v>
      </c>
      <c r="H1549" s="7">
        <f ca="1">(G1549-$C$8)/$C$9</f>
        <v>1.8551240390573265</v>
      </c>
    </row>
    <row r="1550" spans="3:8" x14ac:dyDescent="0.35">
      <c r="C1550" s="8">
        <f t="shared" ca="1" si="92"/>
        <v>0.28779187086829361</v>
      </c>
      <c r="D1550" s="7">
        <f t="shared" ca="1" si="93"/>
        <v>8.5361944346729057E-2</v>
      </c>
      <c r="E1550" s="7">
        <f t="shared" ca="1" si="94"/>
        <v>0.19599496373181091</v>
      </c>
      <c r="F1550" s="7">
        <f t="shared" ca="1" si="95"/>
        <v>1.6260909897639654E-2</v>
      </c>
      <c r="G1550" s="7">
        <f ca="1">$C$11/(1+D1550)^1
 +$D$11/(1+D1550)^2
 +$E$11/(1+D1550)^3
 +$F$11/(1+D1550)^4
 +$G$11/(1+D1550)^5
 +$H$11/(1+D1550)^6
 +$I$11/(1+D1550)^7
 + ( $I$11*(1+F1550)/(D1550-F1550) )/(1+D1550)^7</f>
        <v>393.21804514080247</v>
      </c>
      <c r="H1550" s="7">
        <f ca="1">(G1550-$C$8)/$C$9</f>
        <v>2.1582318246314025</v>
      </c>
    </row>
    <row r="1551" spans="3:8" x14ac:dyDescent="0.35">
      <c r="C1551" s="8">
        <f t="shared" ca="1" si="92"/>
        <v>0.2621762704538636</v>
      </c>
      <c r="D1551" s="7">
        <f t="shared" ca="1" si="93"/>
        <v>8.4662351167946029E-2</v>
      </c>
      <c r="E1551" s="7">
        <f t="shared" ca="1" si="94"/>
        <v>0.90158205871496311</v>
      </c>
      <c r="F1551" s="7">
        <f t="shared" ca="1" si="95"/>
        <v>2.5563380988071278E-2</v>
      </c>
      <c r="G1551" s="7">
        <f ca="1">$C$11/(1+D1551)^1
 +$D$11/(1+D1551)^2
 +$E$11/(1+D1551)^3
 +$F$11/(1+D1551)^4
 +$G$11/(1+D1551)^5
 +$H$11/(1+D1551)^6
 +$I$11/(1+D1551)^7
 + ( $I$11*(1+F1551)/(D1551-F1551) )/(1+D1551)^7</f>
        <v>442.00775697537262</v>
      </c>
      <c r="H1551" s="7">
        <f ca="1">(G1551-$C$8)/$C$9</f>
        <v>2.4340669209372039</v>
      </c>
    </row>
    <row r="1552" spans="3:8" x14ac:dyDescent="0.35">
      <c r="C1552" s="8">
        <f t="shared" ca="1" si="92"/>
        <v>0.11482182800421936</v>
      </c>
      <c r="D1552" s="7">
        <f t="shared" ca="1" si="93"/>
        <v>7.9703293201973238E-2</v>
      </c>
      <c r="E1552" s="7">
        <f t="shared" ca="1" si="94"/>
        <v>0.18320910393112777</v>
      </c>
      <c r="F1552" s="7">
        <f t="shared" ca="1" si="95"/>
        <v>1.6053248779475823E-2</v>
      </c>
      <c r="G1552" s="7">
        <f ca="1">$C$11/(1+D1552)^1
 +$D$11/(1+D1552)^2
 +$E$11/(1+D1552)^3
 +$F$11/(1+D1552)^4
 +$G$11/(1+D1552)^5
 +$H$11/(1+D1552)^6
 +$I$11/(1+D1552)^7
 + ( $I$11*(1+F1552)/(D1552-F1552) )/(1+D1552)^7</f>
        <v>428.88409328744831</v>
      </c>
      <c r="H1552" s="7">
        <f ca="1">(G1552-$C$8)/$C$9</f>
        <v>2.3598716264554969</v>
      </c>
    </row>
    <row r="1553" spans="3:8" x14ac:dyDescent="0.35">
      <c r="C1553" s="8">
        <f t="shared" ref="C1553:C1616" ca="1" si="96">RAND()</f>
        <v>0.33754034345314377</v>
      </c>
      <c r="D1553" s="7">
        <f t="shared" ref="D1553:D1616" ca="1" si="97">IF(C1553&lt;(0.0905-0.07)/(0.11-0.07),
 0.07+SQRT(C1553*(0.11-0.07)*(0.0905-0.07)),
 0.11-SQRT((1-C1553)*(0.11-0.07)*(0.11-0.0905))
)</f>
        <v>8.6636799019991134E-2</v>
      </c>
      <c r="E1553" s="7">
        <f t="shared" ref="E1553:E1616" ca="1" si="98">RAND()</f>
        <v>0.11991825567028924</v>
      </c>
      <c r="F1553" s="7">
        <f t="shared" ref="F1553:F1616" ca="1" si="99">MIN(
 IF(E1553&lt;(0.02-0.01)/(0.03-0.01),
   0.01+SQRT(E1553*(0.03-0.01)*(0.02-0.01)),
   0.03-SQRT((1-E1553)*(0.03-0.01)*(0.03-0.02))
 ),
 D1553-0.005
)</f>
        <v>1.4897310602162971E-2</v>
      </c>
      <c r="G1553" s="7">
        <f ca="1">$C$11/(1+D1553)^1
 +$D$11/(1+D1553)^2
 +$E$11/(1+D1553)^3
 +$F$11/(1+D1553)^4
 +$G$11/(1+D1553)^5
 +$H$11/(1+D1553)^6
 +$I$11/(1+D1553)^7
 + ( $I$11*(1+F1553)/(D1553-F1553) )/(1+D1553)^7</f>
        <v>380.59564316443556</v>
      </c>
      <c r="H1553" s="7">
        <f ca="1">(G1553-$C$8)/$C$9</f>
        <v>2.0868704385144481</v>
      </c>
    </row>
    <row r="1554" spans="3:8" x14ac:dyDescent="0.35">
      <c r="C1554" s="8">
        <f t="shared" ca="1" si="96"/>
        <v>0.57848535991397909</v>
      </c>
      <c r="D1554" s="7">
        <f t="shared" ca="1" si="97"/>
        <v>9.1867669226845208E-2</v>
      </c>
      <c r="E1554" s="7">
        <f t="shared" ca="1" si="98"/>
        <v>0.33355316704998716</v>
      </c>
      <c r="F1554" s="7">
        <f t="shared" ca="1" si="99"/>
        <v>1.8167657767683303E-2</v>
      </c>
      <c r="G1554" s="7">
        <f ca="1">$C$11/(1+D1554)^1
 +$D$11/(1+D1554)^2
 +$E$11/(1+D1554)^3
 +$F$11/(1+D1554)^4
 +$G$11/(1+D1554)^5
 +$H$11/(1+D1554)^6
 +$I$11/(1+D1554)^7
 + ( $I$11*(1+F1554)/(D1554-F1554) )/(1+D1554)^7</f>
        <v>364.23750170294869</v>
      </c>
      <c r="H1554" s="7">
        <f ca="1">(G1554-$C$8)/$C$9</f>
        <v>1.994388860826259</v>
      </c>
    </row>
    <row r="1555" spans="3:8" x14ac:dyDescent="0.35">
      <c r="C1555" s="8">
        <f t="shared" ca="1" si="96"/>
        <v>0.430867773427699</v>
      </c>
      <c r="D1555" s="7">
        <f t="shared" ca="1" si="97"/>
        <v>8.8796584110170468E-2</v>
      </c>
      <c r="E1555" s="7">
        <f t="shared" ca="1" si="98"/>
        <v>0.84169457933238723</v>
      </c>
      <c r="F1555" s="7">
        <f t="shared" ca="1" si="99"/>
        <v>2.437318170423795E-2</v>
      </c>
      <c r="G1555" s="7">
        <f ca="1">$C$11/(1+D1555)^1
 +$D$11/(1+D1555)^2
 +$E$11/(1+D1555)^3
 +$F$11/(1+D1555)^4
 +$G$11/(1+D1555)^5
 +$H$11/(1+D1555)^6
 +$I$11/(1+D1555)^7
 + ( $I$11*(1+F1555)/(D1555-F1555) )/(1+D1555)^7</f>
        <v>406.6330826197306</v>
      </c>
      <c r="H1555" s="7">
        <f ca="1">(G1555-$C$8)/$C$9</f>
        <v>2.2340744155344336</v>
      </c>
    </row>
    <row r="1556" spans="3:8" x14ac:dyDescent="0.35">
      <c r="C1556" s="8">
        <f t="shared" ca="1" si="96"/>
        <v>0.4882112585892936</v>
      </c>
      <c r="D1556" s="7">
        <f t="shared" ca="1" si="97"/>
        <v>9.000832906674669E-2</v>
      </c>
      <c r="E1556" s="7">
        <f t="shared" ca="1" si="98"/>
        <v>0.54304419841120666</v>
      </c>
      <c r="F1556" s="7">
        <f t="shared" ca="1" si="99"/>
        <v>2.044012759929513E-2</v>
      </c>
      <c r="G1556" s="7">
        <f ca="1">$C$11/(1+D1556)^1
 +$D$11/(1+D1556)^2
 +$E$11/(1+D1556)^3
 +$F$11/(1+D1556)^4
 +$G$11/(1+D1556)^5
 +$H$11/(1+D1556)^6
 +$I$11/(1+D1556)^7
 + ( $I$11*(1+F1556)/(D1556-F1556) )/(1+D1556)^7</f>
        <v>382.65174573354079</v>
      </c>
      <c r="H1556" s="7">
        <f ca="1">(G1556-$C$8)/$C$9</f>
        <v>2.098494718077458</v>
      </c>
    </row>
    <row r="1557" spans="3:8" x14ac:dyDescent="0.35">
      <c r="C1557" s="8">
        <f t="shared" ca="1" si="96"/>
        <v>0.26177436523452591</v>
      </c>
      <c r="D1557" s="7">
        <f t="shared" ca="1" si="97"/>
        <v>8.4651108473160361E-2</v>
      </c>
      <c r="E1557" s="7">
        <f t="shared" ca="1" si="98"/>
        <v>0.91489121618956593</v>
      </c>
      <c r="F1557" s="7">
        <f t="shared" ca="1" si="99"/>
        <v>2.5874256823057593E-2</v>
      </c>
      <c r="G1557" s="7">
        <f ca="1">$C$11/(1+D1557)^1
 +$D$11/(1+D1557)^2
 +$E$11/(1+D1557)^3
 +$F$11/(1+D1557)^4
 +$G$11/(1+D1557)^5
 +$H$11/(1+D1557)^6
 +$I$11/(1+D1557)^7
 + ( $I$11*(1+F1557)/(D1557-F1557) )/(1+D1557)^7</f>
        <v>443.82900140102373</v>
      </c>
      <c r="H1557" s="7">
        <f ca="1">(G1557-$C$8)/$C$9</f>
        <v>2.4443634181423772</v>
      </c>
    </row>
    <row r="1558" spans="3:8" x14ac:dyDescent="0.35">
      <c r="C1558" s="8">
        <f t="shared" ca="1" si="96"/>
        <v>0.50161131615476962</v>
      </c>
      <c r="D1558" s="7">
        <f t="shared" ca="1" si="97"/>
        <v>9.0281057153090205E-2</v>
      </c>
      <c r="E1558" s="7">
        <f t="shared" ca="1" si="98"/>
        <v>8.5291778668975859E-2</v>
      </c>
      <c r="F1558" s="7">
        <f t="shared" ca="1" si="99"/>
        <v>1.4130176235198102E-2</v>
      </c>
      <c r="G1558" s="7">
        <f ca="1">$C$11/(1+D1558)^1
 +$D$11/(1+D1558)^2
 +$E$11/(1+D1558)^3
 +$F$11/(1+D1558)^4
 +$G$11/(1+D1558)^5
 +$H$11/(1+D1558)^6
 +$I$11/(1+D1558)^7
 + ( $I$11*(1+F1558)/(D1558-F1558) )/(1+D1558)^7</f>
        <v>358.8100971930433</v>
      </c>
      <c r="H1558" s="7">
        <f ca="1">(G1558-$C$8)/$C$9</f>
        <v>1.9637047557272913</v>
      </c>
    </row>
    <row r="1559" spans="3:8" x14ac:dyDescent="0.35">
      <c r="C1559" s="8">
        <f t="shared" ca="1" si="96"/>
        <v>0.72445700968086801</v>
      </c>
      <c r="D1559" s="7">
        <f t="shared" ca="1" si="97"/>
        <v>9.5339729455125227E-2</v>
      </c>
      <c r="E1559" s="7">
        <f t="shared" ca="1" si="98"/>
        <v>0.85876823306987071</v>
      </c>
      <c r="F1559" s="7">
        <f t="shared" ca="1" si="99"/>
        <v>2.4685270149290194E-2</v>
      </c>
      <c r="G1559" s="7">
        <f ca="1">$C$11/(1+D1559)^1
 +$D$11/(1+D1559)^2
 +$E$11/(1+D1559)^3
 +$F$11/(1+D1559)^4
 +$G$11/(1+D1559)^5
 +$H$11/(1+D1559)^6
 +$I$11/(1+D1559)^7
 + ( $I$11*(1+F1559)/(D1559-F1559) )/(1+D1559)^7</f>
        <v>368.94213200738795</v>
      </c>
      <c r="H1559" s="7">
        <f ca="1">(G1559-$C$8)/$C$9</f>
        <v>2.0209867255053591</v>
      </c>
    </row>
    <row r="1560" spans="3:8" x14ac:dyDescent="0.35">
      <c r="C1560" s="8">
        <f t="shared" ca="1" si="96"/>
        <v>0.62975907708916579</v>
      </c>
      <c r="D1560" s="7">
        <f t="shared" ca="1" si="97"/>
        <v>9.3006238795650606E-2</v>
      </c>
      <c r="E1560" s="7">
        <f t="shared" ca="1" si="98"/>
        <v>0.61747292375561857</v>
      </c>
      <c r="F1560" s="7">
        <f t="shared" ca="1" si="99"/>
        <v>2.1253262594036773E-2</v>
      </c>
      <c r="G1560" s="7">
        <f ca="1">$C$11/(1+D1560)^1
 +$D$11/(1+D1560)^2
 +$E$11/(1+D1560)^3
 +$F$11/(1+D1560)^4
 +$G$11/(1+D1560)^5
 +$H$11/(1+D1560)^6
 +$I$11/(1+D1560)^7
 + ( $I$11*(1+F1560)/(D1560-F1560) )/(1+D1560)^7</f>
        <v>369.07540311184221</v>
      </c>
      <c r="H1560" s="7">
        <f ca="1">(G1560-$C$8)/$C$9</f>
        <v>2.0217401804152093</v>
      </c>
    </row>
    <row r="1561" spans="3:8" x14ac:dyDescent="0.35">
      <c r="C1561" s="8">
        <f t="shared" ca="1" si="96"/>
        <v>0.78692490826900507</v>
      </c>
      <c r="D1561" s="7">
        <f t="shared" ca="1" si="97"/>
        <v>9.7108197505772278E-2</v>
      </c>
      <c r="E1561" s="7">
        <f t="shared" ca="1" si="98"/>
        <v>0.49353801988801294</v>
      </c>
      <c r="F1561" s="7">
        <f t="shared" ca="1" si="99"/>
        <v>1.9935170052777285E-2</v>
      </c>
      <c r="G1561" s="7">
        <f ca="1">$C$11/(1+D1561)^1
 +$D$11/(1+D1561)^2
 +$E$11/(1+D1561)^3
 +$F$11/(1+D1561)^4
 +$G$11/(1+D1561)^5
 +$H$11/(1+D1561)^6
 +$I$11/(1+D1561)^7
 + ( $I$11*(1+F1561)/(D1561-F1561) )/(1+D1561)^7</f>
        <v>344.21175345186305</v>
      </c>
      <c r="H1561" s="7">
        <f ca="1">(G1561-$C$8)/$C$9</f>
        <v>1.8811722831968738</v>
      </c>
    </row>
    <row r="1562" spans="3:8" x14ac:dyDescent="0.35">
      <c r="C1562" s="8">
        <f t="shared" ca="1" si="96"/>
        <v>0.45634581368576499</v>
      </c>
      <c r="D1562" s="7">
        <f t="shared" ca="1" si="97"/>
        <v>8.9344341995072546E-2</v>
      </c>
      <c r="E1562" s="7">
        <f t="shared" ca="1" si="98"/>
        <v>0.82622924153658994</v>
      </c>
      <c r="F1562" s="7">
        <f t="shared" ca="1" si="99"/>
        <v>2.4104734807264223E-2</v>
      </c>
      <c r="G1562" s="7">
        <f ca="1">$C$11/(1+D1562)^1
 +$D$11/(1+D1562)^2
 +$E$11/(1+D1562)^3
 +$F$11/(1+D1562)^4
 +$G$11/(1+D1562)^5
 +$H$11/(1+D1562)^6
 +$I$11/(1+D1562)^7
 + ( $I$11*(1+F1562)/(D1562-F1562) )/(1+D1562)^7</f>
        <v>401.88523296935102</v>
      </c>
      <c r="H1562" s="7">
        <f ca="1">(G1562-$C$8)/$C$9</f>
        <v>2.2072322081035223</v>
      </c>
    </row>
    <row r="1563" spans="3:8" x14ac:dyDescent="0.35">
      <c r="C1563" s="8">
        <f t="shared" ca="1" si="96"/>
        <v>0.21419002252158803</v>
      </c>
      <c r="D1563" s="7">
        <f t="shared" ca="1" si="97"/>
        <v>8.3252766445829421E-2</v>
      </c>
      <c r="E1563" s="7">
        <f t="shared" ca="1" si="98"/>
        <v>0.44260800614765461</v>
      </c>
      <c r="F1563" s="7">
        <f t="shared" ca="1" si="99"/>
        <v>1.9408591883461144E-2</v>
      </c>
      <c r="G1563" s="7">
        <f ca="1">$C$11/(1+D1563)^1
 +$D$11/(1+D1563)^2
 +$E$11/(1+D1563)^3
 +$F$11/(1+D1563)^4
 +$G$11/(1+D1563)^5
 +$H$11/(1+D1563)^6
 +$I$11/(1+D1563)^7
 + ( $I$11*(1+F1563)/(D1563-F1563) )/(1+D1563)^7</f>
        <v>420.53479808145869</v>
      </c>
      <c r="H1563" s="7">
        <f ca="1">(G1563-$C$8)/$C$9</f>
        <v>2.3126684649562339</v>
      </c>
    </row>
    <row r="1564" spans="3:8" x14ac:dyDescent="0.35">
      <c r="C1564" s="8">
        <f t="shared" ca="1" si="96"/>
        <v>0.43307786023323824</v>
      </c>
      <c r="D1564" s="7">
        <f t="shared" ca="1" si="97"/>
        <v>8.8844729910276116E-2</v>
      </c>
      <c r="E1564" s="7">
        <f t="shared" ca="1" si="98"/>
        <v>0.66190909895764227</v>
      </c>
      <c r="F1564" s="7">
        <f t="shared" ca="1" si="99"/>
        <v>2.1776972564288045E-2</v>
      </c>
      <c r="G1564" s="7">
        <f ca="1">$C$11/(1+D1564)^1
 +$D$11/(1+D1564)^2
 +$E$11/(1+D1564)^3
 +$F$11/(1+D1564)^4
 +$G$11/(1+D1564)^5
 +$H$11/(1+D1564)^6
 +$I$11/(1+D1564)^7
 + ( $I$11*(1+F1564)/(D1564-F1564) )/(1+D1564)^7</f>
        <v>394.95102568607774</v>
      </c>
      <c r="H1564" s="7">
        <f ca="1">(G1564-$C$8)/$C$9</f>
        <v>2.1680293175377527</v>
      </c>
    </row>
    <row r="1565" spans="3:8" x14ac:dyDescent="0.35">
      <c r="C1565" s="8">
        <f t="shared" ca="1" si="96"/>
        <v>0.11250352007518061</v>
      </c>
      <c r="D1565" s="7">
        <f t="shared" ca="1" si="97"/>
        <v>7.9604836618165253E-2</v>
      </c>
      <c r="E1565" s="7">
        <f t="shared" ca="1" si="98"/>
        <v>0.71419567897925229</v>
      </c>
      <c r="F1565" s="7">
        <f t="shared" ca="1" si="99"/>
        <v>2.2439519578482493E-2</v>
      </c>
      <c r="G1565" s="7">
        <f ca="1">$C$11/(1+D1565)^1
 +$D$11/(1+D1565)^2
 +$E$11/(1+D1565)^3
 +$F$11/(1+D1565)^4
 +$G$11/(1+D1565)^5
 +$H$11/(1+D1565)^6
 +$I$11/(1+D1565)^7
 + ( $I$11*(1+F1565)/(D1565-F1565) )/(1+D1565)^7</f>
        <v>464.60379787565842</v>
      </c>
      <c r="H1565" s="7">
        <f ca="1">(G1565-$C$8)/$C$9</f>
        <v>2.5618147776778515</v>
      </c>
    </row>
    <row r="1566" spans="3:8" x14ac:dyDescent="0.35">
      <c r="C1566" s="8">
        <f t="shared" ca="1" si="96"/>
        <v>0.41388330923514371</v>
      </c>
      <c r="D1566" s="7">
        <f t="shared" ca="1" si="97"/>
        <v>8.8422386207351586E-2</v>
      </c>
      <c r="E1566" s="7">
        <f t="shared" ca="1" si="98"/>
        <v>2.3953310498054381E-2</v>
      </c>
      <c r="F1566" s="7">
        <f t="shared" ca="1" si="99"/>
        <v>1.2188758118114214E-2</v>
      </c>
      <c r="G1566" s="7">
        <f ca="1">$C$11/(1+D1566)^1
 +$D$11/(1+D1566)^2
 +$E$11/(1+D1566)^3
 +$F$11/(1+D1566)^4
 +$G$11/(1+D1566)^5
 +$H$11/(1+D1566)^6
 +$I$11/(1+D1566)^7
 + ( $I$11*(1+F1566)/(D1566-F1566) )/(1+D1566)^7</f>
        <v>361.74052460525297</v>
      </c>
      <c r="H1566" s="7">
        <f ca="1">(G1566-$C$8)/$C$9</f>
        <v>1.9802720748827056</v>
      </c>
    </row>
    <row r="1567" spans="3:8" x14ac:dyDescent="0.35">
      <c r="C1567" s="8">
        <f t="shared" ca="1" si="96"/>
        <v>0.37449941521650687</v>
      </c>
      <c r="D1567" s="7">
        <f t="shared" ca="1" si="97"/>
        <v>8.7523969883492037E-2</v>
      </c>
      <c r="E1567" s="7">
        <f t="shared" ca="1" si="98"/>
        <v>0.17523414506983348</v>
      </c>
      <c r="F1567" s="7">
        <f t="shared" ca="1" si="99"/>
        <v>1.592003623417684E-2</v>
      </c>
      <c r="G1567" s="7">
        <f ca="1">$C$11/(1+D1567)^1
 +$D$11/(1+D1567)^2
 +$E$11/(1+D1567)^3
 +$F$11/(1+D1567)^4
 +$G$11/(1+D1567)^5
 +$H$11/(1+D1567)^6
 +$I$11/(1+D1567)^7
 + ( $I$11*(1+F1567)/(D1567-F1567) )/(1+D1567)^7</f>
        <v>379.47412261425825</v>
      </c>
      <c r="H1567" s="7">
        <f ca="1">(G1567-$C$8)/$C$9</f>
        <v>2.0805298655261093</v>
      </c>
    </row>
    <row r="1568" spans="3:8" x14ac:dyDescent="0.35">
      <c r="C1568" s="8">
        <f t="shared" ca="1" si="96"/>
        <v>0.47543793078433771</v>
      </c>
      <c r="D1568" s="7">
        <f t="shared" ca="1" si="97"/>
        <v>8.97448500435723E-2</v>
      </c>
      <c r="E1568" s="7">
        <f t="shared" ca="1" si="98"/>
        <v>0.41284709777053563</v>
      </c>
      <c r="F1568" s="7">
        <f t="shared" ca="1" si="99"/>
        <v>1.9086771679430882E-2</v>
      </c>
      <c r="G1568" s="7">
        <f ca="1">$C$11/(1+D1568)^1
 +$D$11/(1+D1568)^2
 +$E$11/(1+D1568)^3
 +$F$11/(1+D1568)^4
 +$G$11/(1+D1568)^5
 +$H$11/(1+D1568)^6
 +$I$11/(1+D1568)^7
 + ( $I$11*(1+F1568)/(D1568-F1568) )/(1+D1568)^7</f>
        <v>378.96106128082636</v>
      </c>
      <c r="H1568" s="7">
        <f ca="1">(G1568-$C$8)/$C$9</f>
        <v>2.0776292474040385</v>
      </c>
    </row>
    <row r="1569" spans="3:8" x14ac:dyDescent="0.35">
      <c r="C1569" s="8">
        <f t="shared" ca="1" si="96"/>
        <v>0.15402979502344027</v>
      </c>
      <c r="D1569" s="7">
        <f t="shared" ca="1" si="97"/>
        <v>8.1238524454714731E-2</v>
      </c>
      <c r="E1569" s="7">
        <f t="shared" ca="1" si="98"/>
        <v>0.27174604201548846</v>
      </c>
      <c r="F1569" s="7">
        <f t="shared" ca="1" si="99"/>
        <v>1.7372191560390823E-2</v>
      </c>
      <c r="G1569" s="7">
        <f ca="1">$C$11/(1+D1569)^1
 +$D$11/(1+D1569)^2
 +$E$11/(1+D1569)^3
 +$F$11/(1+D1569)^4
 +$G$11/(1+D1569)^5
 +$H$11/(1+D1569)^6
 +$I$11/(1+D1569)^7
 + ( $I$11*(1+F1569)/(D1569-F1569) )/(1+D1569)^7</f>
        <v>424.60567222052708</v>
      </c>
      <c r="H1569" s="7">
        <f ca="1">(G1569-$C$8)/$C$9</f>
        <v>2.3356833571942959</v>
      </c>
    </row>
    <row r="1570" spans="3:8" x14ac:dyDescent="0.35">
      <c r="C1570" s="8">
        <f t="shared" ca="1" si="96"/>
        <v>0.69663930045789091</v>
      </c>
      <c r="D1570" s="7">
        <f t="shared" ca="1" si="97"/>
        <v>9.461749871955652E-2</v>
      </c>
      <c r="E1570" s="7">
        <f t="shared" ca="1" si="98"/>
        <v>0.60076606170538793</v>
      </c>
      <c r="F1570" s="7">
        <f t="shared" ca="1" si="99"/>
        <v>2.1064297024916148E-2</v>
      </c>
      <c r="G1570" s="7">
        <f ca="1">$C$11/(1+D1570)^1
 +$D$11/(1+D1570)^2
 +$E$11/(1+D1570)^3
 +$F$11/(1+D1570)^4
 +$G$11/(1+D1570)^5
 +$H$11/(1+D1570)^6
 +$I$11/(1+D1570)^7
 + ( $I$11*(1+F1570)/(D1570-F1570) )/(1+D1570)^7</f>
        <v>359.98764358798837</v>
      </c>
      <c r="H1570" s="7">
        <f ca="1">(G1570-$C$8)/$C$9</f>
        <v>1.9703620736543892</v>
      </c>
    </row>
    <row r="1571" spans="3:8" x14ac:dyDescent="0.35">
      <c r="C1571" s="8">
        <f t="shared" ca="1" si="96"/>
        <v>0.17065526405173126</v>
      </c>
      <c r="D1571" s="7">
        <f t="shared" ca="1" si="97"/>
        <v>8.1829510409244327E-2</v>
      </c>
      <c r="E1571" s="7">
        <f t="shared" ca="1" si="98"/>
        <v>0.70641656341845049</v>
      </c>
      <c r="F1571" s="7">
        <f t="shared" ca="1" si="99"/>
        <v>2.2337318529632728E-2</v>
      </c>
      <c r="G1571" s="7">
        <f ca="1">$C$11/(1+D1571)^1
 +$D$11/(1+D1571)^2
 +$E$11/(1+D1571)^3
 +$F$11/(1+D1571)^4
 +$G$11/(1+D1571)^5
 +$H$11/(1+D1571)^6
 +$I$11/(1+D1571)^7
 + ( $I$11*(1+F1571)/(D1571-F1571) )/(1+D1571)^7</f>
        <v>446.03197834543982</v>
      </c>
      <c r="H1571" s="7">
        <f ca="1">(G1571-$C$8)/$C$9</f>
        <v>2.4568180593930338</v>
      </c>
    </row>
    <row r="1572" spans="3:8" x14ac:dyDescent="0.35">
      <c r="C1572" s="8">
        <f t="shared" ca="1" si="96"/>
        <v>0.51146372862076273</v>
      </c>
      <c r="D1572" s="7">
        <f t="shared" ca="1" si="97"/>
        <v>9.0479264085142938E-2</v>
      </c>
      <c r="E1572" s="7">
        <f t="shared" ca="1" si="98"/>
        <v>6.9679520450644072E-2</v>
      </c>
      <c r="F1572" s="7">
        <f t="shared" ca="1" si="99"/>
        <v>1.3733082384589016E-2</v>
      </c>
      <c r="G1572" s="7">
        <f ca="1">$C$11/(1+D1572)^1
 +$D$11/(1+D1572)^2
 +$E$11/(1+D1572)^3
 +$F$11/(1+D1572)^4
 +$G$11/(1+D1572)^5
 +$H$11/(1+D1572)^6
 +$I$11/(1+D1572)^7
 + ( $I$11*(1+F1572)/(D1572-F1572) )/(1+D1572)^7</f>
        <v>356.5597194431939</v>
      </c>
      <c r="H1572" s="7">
        <f ca="1">(G1572-$C$8)/$C$9</f>
        <v>1.9509821316327107</v>
      </c>
    </row>
    <row r="1573" spans="3:8" x14ac:dyDescent="0.35">
      <c r="C1573" s="8">
        <f t="shared" ca="1" si="96"/>
        <v>4.9287215151497032E-2</v>
      </c>
      <c r="D1573" s="7">
        <f t="shared" ca="1" si="97"/>
        <v>7.6357319908910329E-2</v>
      </c>
      <c r="E1573" s="7">
        <f t="shared" ca="1" si="98"/>
        <v>0.17157053242285247</v>
      </c>
      <c r="F1573" s="7">
        <f t="shared" ca="1" si="99"/>
        <v>1.5857824381506371E-2</v>
      </c>
      <c r="G1573" s="7">
        <f ca="1">$C$11/(1+D1573)^1
 +$D$11/(1+D1573)^2
 +$E$11/(1+D1573)^3
 +$F$11/(1+D1573)^4
 +$G$11/(1+D1573)^5
 +$H$11/(1+D1573)^6
 +$I$11/(1+D1573)^7
 + ( $I$11*(1+F1573)/(D1573-F1573) )/(1+D1573)^7</f>
        <v>452.62611800708123</v>
      </c>
      <c r="H1573" s="7">
        <f ca="1">(G1573-$C$8)/$C$9</f>
        <v>2.4940983605104092</v>
      </c>
    </row>
    <row r="1574" spans="3:8" x14ac:dyDescent="0.35">
      <c r="C1574" s="8">
        <f t="shared" ca="1" si="96"/>
        <v>0.18239822450909182</v>
      </c>
      <c r="D1574" s="7">
        <f t="shared" ca="1" si="97"/>
        <v>8.22297401484028E-2</v>
      </c>
      <c r="E1574" s="7">
        <f t="shared" ca="1" si="98"/>
        <v>0.60238884572173867</v>
      </c>
      <c r="F1574" s="7">
        <f t="shared" ca="1" si="99"/>
        <v>2.108247619259403E-2</v>
      </c>
      <c r="G1574" s="7">
        <f ca="1">$C$11/(1+D1574)^1
 +$D$11/(1+D1574)^2
 +$E$11/(1+D1574)^3
 +$F$11/(1+D1574)^4
 +$G$11/(1+D1574)^5
 +$H$11/(1+D1574)^6
 +$I$11/(1+D1574)^7
 + ( $I$11*(1+F1574)/(D1574-F1574) )/(1+D1574)^7</f>
        <v>436.21633852907496</v>
      </c>
      <c r="H1574" s="7">
        <f ca="1">(G1574-$C$8)/$C$9</f>
        <v>2.4013248446917399</v>
      </c>
    </row>
    <row r="1575" spans="3:8" x14ac:dyDescent="0.35">
      <c r="C1575" s="8">
        <f t="shared" ca="1" si="96"/>
        <v>0.24549479094703519</v>
      </c>
      <c r="D1575" s="7">
        <f t="shared" ca="1" si="97"/>
        <v>8.4188224997390232E-2</v>
      </c>
      <c r="E1575" s="7">
        <f t="shared" ca="1" si="98"/>
        <v>0.293829792924581</v>
      </c>
      <c r="F1575" s="7">
        <f t="shared" ca="1" si="99"/>
        <v>1.7665895810987532E-2</v>
      </c>
      <c r="G1575" s="7">
        <f ca="1">$C$11/(1+D1575)^1
 +$D$11/(1+D1575)^2
 +$E$11/(1+D1575)^3
 +$F$11/(1+D1575)^4
 +$G$11/(1+D1575)^5
 +$H$11/(1+D1575)^6
 +$I$11/(1+D1575)^7
 + ( $I$11*(1+F1575)/(D1575-F1575) )/(1+D1575)^7</f>
        <v>406.36249692632225</v>
      </c>
      <c r="H1575" s="7">
        <f ca="1">(G1575-$C$8)/$C$9</f>
        <v>2.2325446456712021</v>
      </c>
    </row>
    <row r="1576" spans="3:8" x14ac:dyDescent="0.35">
      <c r="C1576" s="8">
        <f t="shared" ca="1" si="96"/>
        <v>0.18909556226372271</v>
      </c>
      <c r="D1576" s="7">
        <f t="shared" ca="1" si="97"/>
        <v>8.2452243213825077E-2</v>
      </c>
      <c r="E1576" s="7">
        <f t="shared" ca="1" si="98"/>
        <v>0.88714442185599829</v>
      </c>
      <c r="F1576" s="7">
        <f t="shared" ca="1" si="99"/>
        <v>2.5249093178265822E-2</v>
      </c>
      <c r="G1576" s="7">
        <f ca="1">$C$11/(1+D1576)^1
 +$D$11/(1+D1576)^2
 +$E$11/(1+D1576)^3
 +$F$11/(1+D1576)^4
 +$G$11/(1+D1576)^5
 +$H$11/(1+D1576)^6
 +$I$11/(1+D1576)^7
 + ( $I$11*(1+F1576)/(D1576-F1576) )/(1+D1576)^7</f>
        <v>457.85398238017524</v>
      </c>
      <c r="H1576" s="7">
        <f ca="1">(G1576-$C$8)/$C$9</f>
        <v>2.5236543553831705</v>
      </c>
    </row>
    <row r="1577" spans="3:8" x14ac:dyDescent="0.35">
      <c r="C1577" s="8">
        <f t="shared" ca="1" si="96"/>
        <v>0.24279335641320476</v>
      </c>
      <c r="D1577" s="7">
        <f t="shared" ca="1" si="97"/>
        <v>8.4109945154352231E-2</v>
      </c>
      <c r="E1577" s="7">
        <f t="shared" ca="1" si="98"/>
        <v>0.53864474202084567</v>
      </c>
      <c r="F1577" s="7">
        <f t="shared" ca="1" si="99"/>
        <v>2.0394217804060366E-2</v>
      </c>
      <c r="G1577" s="7">
        <f ca="1">$C$11/(1+D1577)^1
 +$D$11/(1+D1577)^2
 +$E$11/(1+D1577)^3
 +$F$11/(1+D1577)^4
 +$G$11/(1+D1577)^5
 +$H$11/(1+D1577)^6
 +$I$11/(1+D1577)^7
 + ( $I$11*(1+F1577)/(D1577-F1577) )/(1+D1577)^7</f>
        <v>419.38611107131987</v>
      </c>
      <c r="H1577" s="7">
        <f ca="1">(G1577-$C$8)/$C$9</f>
        <v>2.3061743050165076</v>
      </c>
    </row>
    <row r="1578" spans="3:8" x14ac:dyDescent="0.35">
      <c r="C1578" s="8">
        <f t="shared" ca="1" si="96"/>
        <v>0.32931637787136914</v>
      </c>
      <c r="D1578" s="7">
        <f t="shared" ca="1" si="97"/>
        <v>8.6432876493618596E-2</v>
      </c>
      <c r="E1578" s="7">
        <f t="shared" ca="1" si="98"/>
        <v>0.89171173292400085</v>
      </c>
      <c r="F1578" s="7">
        <f t="shared" ca="1" si="99"/>
        <v>2.5346221597970113E-2</v>
      </c>
      <c r="G1578" s="7">
        <f ca="1">$C$11/(1+D1578)^1
 +$D$11/(1+D1578)^2
 +$E$11/(1+D1578)^3
 +$F$11/(1+D1578)^4
 +$G$11/(1+D1578)^5
 +$H$11/(1+D1578)^6
 +$I$11/(1+D1578)^7
 + ( $I$11*(1+F1578)/(D1578-F1578) )/(1+D1578)^7</f>
        <v>427.60863594792249</v>
      </c>
      <c r="H1578" s="7">
        <f ca="1">(G1578-$C$8)/$C$9</f>
        <v>2.352660764065595</v>
      </c>
    </row>
    <row r="1579" spans="3:8" x14ac:dyDescent="0.35">
      <c r="C1579" s="8">
        <f t="shared" ca="1" si="96"/>
        <v>0.63520030338308575</v>
      </c>
      <c r="D1579" s="7">
        <f t="shared" ca="1" si="97"/>
        <v>9.3131574959078339E-2</v>
      </c>
      <c r="E1579" s="7">
        <f t="shared" ca="1" si="98"/>
        <v>0.86952708831149872</v>
      </c>
      <c r="F1579" s="7">
        <f t="shared" ca="1" si="99"/>
        <v>2.489171434454765E-2</v>
      </c>
      <c r="G1579" s="7">
        <f ca="1">$C$11/(1+D1579)^1
 +$D$11/(1+D1579)^2
 +$E$11/(1+D1579)^3
 +$F$11/(1+D1579)^4
 +$G$11/(1+D1579)^5
 +$H$11/(1+D1579)^6
 +$I$11/(1+D1579)^7
 + ( $I$11*(1+F1579)/(D1579-F1579) )/(1+D1579)^7</f>
        <v>382.12133974489296</v>
      </c>
      <c r="H1579" s="7">
        <f ca="1">(G1579-$C$8)/$C$9</f>
        <v>2.0954960410724386</v>
      </c>
    </row>
    <row r="1580" spans="3:8" x14ac:dyDescent="0.35">
      <c r="C1580" s="8">
        <f t="shared" ca="1" si="96"/>
        <v>0.61647947671404457</v>
      </c>
      <c r="D1580" s="7">
        <f t="shared" ca="1" si="97"/>
        <v>9.2704162114455244E-2</v>
      </c>
      <c r="E1580" s="7">
        <f t="shared" ca="1" si="98"/>
        <v>0.6225496043478207</v>
      </c>
      <c r="F1580" s="7">
        <f t="shared" ca="1" si="99"/>
        <v>2.1311497302156382E-2</v>
      </c>
      <c r="G1580" s="7">
        <f ca="1">$C$11/(1+D1580)^1
 +$D$11/(1+D1580)^2
 +$E$11/(1+D1580)^3
 +$F$11/(1+D1580)^4
 +$G$11/(1+D1580)^5
 +$H$11/(1+D1580)^6
 +$I$11/(1+D1580)^7
 + ( $I$11*(1+F1580)/(D1580-F1580) )/(1+D1580)^7</f>
        <v>370.91303205428358</v>
      </c>
      <c r="H1580" s="7">
        <f ca="1">(G1580-$C$8)/$C$9</f>
        <v>2.0321293083123222</v>
      </c>
    </row>
    <row r="1581" spans="3:8" x14ac:dyDescent="0.35">
      <c r="C1581" s="8">
        <f t="shared" ca="1" si="96"/>
        <v>0.44105235685108801</v>
      </c>
      <c r="D1581" s="7">
        <f t="shared" ca="1" si="97"/>
        <v>8.9017437593374465E-2</v>
      </c>
      <c r="E1581" s="7">
        <f t="shared" ca="1" si="98"/>
        <v>0.15330403587145236</v>
      </c>
      <c r="F1581" s="7">
        <f t="shared" ca="1" si="99"/>
        <v>1.553722016668025E-2</v>
      </c>
      <c r="G1581" s="7">
        <f ca="1">$C$11/(1+D1581)^1
 +$D$11/(1+D1581)^2
 +$E$11/(1+D1581)^3
 +$F$11/(1+D1581)^4
 +$G$11/(1+D1581)^5
 +$H$11/(1+D1581)^6
 +$I$11/(1+D1581)^7
 + ( $I$11*(1+F1581)/(D1581-F1581) )/(1+D1581)^7</f>
        <v>370.00971960999163</v>
      </c>
      <c r="H1581" s="7">
        <f ca="1">(G1581-$C$8)/$C$9</f>
        <v>2.0270223858547696</v>
      </c>
    </row>
    <row r="1582" spans="3:8" x14ac:dyDescent="0.35">
      <c r="C1582" s="8">
        <f t="shared" ca="1" si="96"/>
        <v>4.6501391024572514E-2</v>
      </c>
      <c r="D1582" s="7">
        <f t="shared" ca="1" si="97"/>
        <v>7.6175041752097675E-2</v>
      </c>
      <c r="E1582" s="7">
        <f t="shared" ca="1" si="98"/>
        <v>0.54243691835595154</v>
      </c>
      <c r="F1582" s="7">
        <f t="shared" ca="1" si="99"/>
        <v>2.0433777321805138E-2</v>
      </c>
      <c r="G1582" s="7">
        <f ca="1">$C$11/(1+D1582)^1
 +$D$11/(1+D1582)^2
 +$E$11/(1+D1582)^3
 +$F$11/(1+D1582)^4
 +$G$11/(1+D1582)^5
 +$H$11/(1+D1582)^6
 +$I$11/(1+D1582)^7
 + ( $I$11*(1+F1582)/(D1582-F1582) )/(1+D1582)^7</f>
        <v>481.69259652524079</v>
      </c>
      <c r="H1582" s="7">
        <f ca="1">(G1582-$C$8)/$C$9</f>
        <v>2.6584271626257392</v>
      </c>
    </row>
    <row r="1583" spans="3:8" x14ac:dyDescent="0.35">
      <c r="C1583" s="8">
        <f t="shared" ca="1" si="96"/>
        <v>0.81578462213737246</v>
      </c>
      <c r="D1583" s="7">
        <f t="shared" ca="1" si="97"/>
        <v>9.8013007269008232E-2</v>
      </c>
      <c r="E1583" s="7">
        <f t="shared" ca="1" si="98"/>
        <v>0.50810272833747872</v>
      </c>
      <c r="F1583" s="7">
        <f t="shared" ca="1" si="99"/>
        <v>2.0081358241548178E-2</v>
      </c>
      <c r="G1583" s="7">
        <f ca="1">$C$11/(1+D1583)^1
 +$D$11/(1+D1583)^2
 +$E$11/(1+D1583)^3
 +$F$11/(1+D1583)^4
 +$G$11/(1+D1583)^5
 +$H$11/(1+D1583)^6
 +$I$11/(1+D1583)^7
 + ( $I$11*(1+F1583)/(D1583-F1583) )/(1+D1583)^7</f>
        <v>340.47396015088134</v>
      </c>
      <c r="H1583" s="7">
        <f ca="1">(G1583-$C$8)/$C$9</f>
        <v>1.8600404802740915</v>
      </c>
    </row>
    <row r="1584" spans="3:8" x14ac:dyDescent="0.35">
      <c r="C1584" s="8">
        <f t="shared" ca="1" si="96"/>
        <v>0.56843451129829892</v>
      </c>
      <c r="D1584" s="7">
        <f t="shared" ca="1" si="97"/>
        <v>9.1652763663501613E-2</v>
      </c>
      <c r="E1584" s="7">
        <f t="shared" ca="1" si="98"/>
        <v>0.95404284028894404</v>
      </c>
      <c r="F1584" s="7">
        <f t="shared" ca="1" si="99"/>
        <v>2.6968262553879178E-2</v>
      </c>
      <c r="G1584" s="7">
        <f ca="1">$C$11/(1+D1584)^1
 +$D$11/(1+D1584)^2
 +$E$11/(1+D1584)^3
 +$F$11/(1+D1584)^4
 +$G$11/(1+D1584)^5
 +$H$11/(1+D1584)^6
 +$I$11/(1+D1584)^7
 + ( $I$11*(1+F1584)/(D1584-F1584) )/(1+D1584)^7</f>
        <v>399.86633439140343</v>
      </c>
      <c r="H1584" s="7">
        <f ca="1">(G1584-$C$8)/$C$9</f>
        <v>2.1958182631807066</v>
      </c>
    </row>
    <row r="1585" spans="3:8" x14ac:dyDescent="0.35">
      <c r="C1585" s="8">
        <f t="shared" ca="1" si="96"/>
        <v>4.558535474719827E-2</v>
      </c>
      <c r="D1585" s="7">
        <f t="shared" ca="1" si="97"/>
        <v>7.6113917802252712E-2</v>
      </c>
      <c r="E1585" s="7">
        <f t="shared" ca="1" si="98"/>
        <v>0.12296529720810756</v>
      </c>
      <c r="F1585" s="7">
        <f t="shared" ca="1" si="99"/>
        <v>1.4959138981881987E-2</v>
      </c>
      <c r="G1585" s="7">
        <f ca="1">$C$11/(1+D1585)^1
 +$D$11/(1+D1585)^2
 +$E$11/(1+D1585)^3
 +$F$11/(1+D1585)^4
 +$G$11/(1+D1585)^5
 +$H$11/(1+D1585)^6
 +$I$11/(1+D1585)^7
 + ( $I$11*(1+F1585)/(D1585-F1585) )/(1+D1585)^7</f>
        <v>449.57576538491605</v>
      </c>
      <c r="H1585" s="7">
        <f ca="1">(G1585-$C$8)/$C$9</f>
        <v>2.476853038132723</v>
      </c>
    </row>
    <row r="1586" spans="3:8" x14ac:dyDescent="0.35">
      <c r="C1586" s="8">
        <f t="shared" ca="1" si="96"/>
        <v>2.9402247385753033E-2</v>
      </c>
      <c r="D1586" s="7">
        <f t="shared" ca="1" si="97"/>
        <v>7.4910177477069184E-2</v>
      </c>
      <c r="E1586" s="7">
        <f t="shared" ca="1" si="98"/>
        <v>9.2871398603720845E-2</v>
      </c>
      <c r="F1586" s="7">
        <f t="shared" ca="1" si="99"/>
        <v>1.4309788825539387E-2</v>
      </c>
      <c r="G1586" s="7">
        <f ca="1">$C$11/(1+D1586)^1
 +$D$11/(1+D1586)^2
 +$E$11/(1+D1586)^3
 +$F$11/(1+D1586)^4
 +$G$11/(1+D1586)^5
 +$H$11/(1+D1586)^6
 +$I$11/(1+D1586)^7
 + ( $I$11*(1+F1586)/(D1586-F1586) )/(1+D1586)^7</f>
        <v>455.33331629667663</v>
      </c>
      <c r="H1586" s="7">
        <f ca="1">(G1586-$C$8)/$C$9</f>
        <v>2.5094036425637527</v>
      </c>
    </row>
    <row r="1587" spans="3:8" x14ac:dyDescent="0.35">
      <c r="C1587" s="8">
        <f t="shared" ca="1" si="96"/>
        <v>0.97928289213567132</v>
      </c>
      <c r="D1587" s="7">
        <f t="shared" ca="1" si="97"/>
        <v>0.10598013132874015</v>
      </c>
      <c r="E1587" s="7">
        <f t="shared" ca="1" si="98"/>
        <v>0.36200473160853031</v>
      </c>
      <c r="F1587" s="7">
        <f t="shared" ca="1" si="99"/>
        <v>1.8508874562579124E-2</v>
      </c>
      <c r="G1587" s="7">
        <f ca="1">$C$11/(1+D1587)^1
 +$D$11/(1+D1587)^2
 +$E$11/(1+D1587)^3
 +$F$11/(1+D1587)^4
 +$G$11/(1+D1587)^5
 +$H$11/(1+D1587)^6
 +$I$11/(1+D1587)^7
 + ( $I$11*(1+F1587)/(D1587-F1587) )/(1+D1587)^7</f>
        <v>303.86868463751813</v>
      </c>
      <c r="H1587" s="7">
        <f ca="1">(G1587-$C$8)/$C$9</f>
        <v>1.6530907091673344</v>
      </c>
    </row>
    <row r="1588" spans="3:8" x14ac:dyDescent="0.35">
      <c r="C1588" s="8">
        <f t="shared" ca="1" si="96"/>
        <v>0.75719990219067568</v>
      </c>
      <c r="D1588" s="7">
        <f t="shared" ca="1" si="97"/>
        <v>9.6238311284901373E-2</v>
      </c>
      <c r="E1588" s="7">
        <f t="shared" ca="1" si="98"/>
        <v>0.26102306625028715</v>
      </c>
      <c r="F1588" s="7">
        <f t="shared" ca="1" si="99"/>
        <v>1.7225275998192555E-2</v>
      </c>
      <c r="G1588" s="7">
        <f ca="1">$C$11/(1+D1588)^1
 +$D$11/(1+D1588)^2
 +$E$11/(1+D1588)^3
 +$F$11/(1+D1588)^4
 +$G$11/(1+D1588)^5
 +$H$11/(1+D1588)^6
 +$I$11/(1+D1588)^7
 + ( $I$11*(1+F1588)/(D1588-F1588) )/(1+D1588)^7</f>
        <v>340.14399664571238</v>
      </c>
      <c r="H1588" s="7">
        <f ca="1">(G1588-$C$8)/$C$9</f>
        <v>1.8581750149576683</v>
      </c>
    </row>
    <row r="1589" spans="3:8" x14ac:dyDescent="0.35">
      <c r="C1589" s="8">
        <f t="shared" ca="1" si="96"/>
        <v>0.83152657660047058</v>
      </c>
      <c r="D1589" s="7">
        <f t="shared" ca="1" si="97"/>
        <v>9.8536611746449787E-2</v>
      </c>
      <c r="E1589" s="7">
        <f t="shared" ca="1" si="98"/>
        <v>0.22468838460268103</v>
      </c>
      <c r="F1589" s="7">
        <f t="shared" ca="1" si="99"/>
        <v>1.6703557034928262E-2</v>
      </c>
      <c r="G1589" s="7">
        <f ca="1">$C$11/(1+D1589)^1
 +$D$11/(1+D1589)^2
 +$E$11/(1+D1589)^3
 +$F$11/(1+D1589)^4
 +$G$11/(1+D1589)^5
 +$H$11/(1+D1589)^6
 +$I$11/(1+D1589)^7
 + ( $I$11*(1+F1589)/(D1589-F1589) )/(1+D1589)^7</f>
        <v>328.65300135156622</v>
      </c>
      <c r="H1589" s="7">
        <f ca="1">(G1589-$C$8)/$C$9</f>
        <v>1.7932100935751143</v>
      </c>
    </row>
    <row r="1590" spans="3:8" x14ac:dyDescent="0.35">
      <c r="C1590" s="8">
        <f t="shared" ca="1" si="96"/>
        <v>6.7680296550919006E-2</v>
      </c>
      <c r="D1590" s="7">
        <f t="shared" ca="1" si="97"/>
        <v>7.7449687454635513E-2</v>
      </c>
      <c r="E1590" s="7">
        <f t="shared" ca="1" si="98"/>
        <v>0.5936900149680282</v>
      </c>
      <c r="F1590" s="7">
        <f t="shared" ca="1" si="99"/>
        <v>2.0985456361723331E-2</v>
      </c>
      <c r="G1590" s="7">
        <f ca="1">$C$11/(1+D1590)^1
 +$D$11/(1+D1590)^2
 +$E$11/(1+D1590)^3
 +$F$11/(1+D1590)^4
 +$G$11/(1+D1590)^5
 +$H$11/(1+D1590)^6
 +$I$11/(1+D1590)^7
 + ( $I$11*(1+F1590)/(D1590-F1590) )/(1+D1590)^7</f>
        <v>473.99844829695314</v>
      </c>
      <c r="H1590" s="7">
        <f ca="1">(G1590-$C$8)/$C$9</f>
        <v>2.6149279076037604</v>
      </c>
    </row>
    <row r="1591" spans="3:8" x14ac:dyDescent="0.35">
      <c r="C1591" s="8">
        <f t="shared" ca="1" si="96"/>
        <v>0.63445590040744415</v>
      </c>
      <c r="D1591" s="7">
        <f t="shared" ca="1" si="97"/>
        <v>9.3114373044444171E-2</v>
      </c>
      <c r="E1591" s="7">
        <f t="shared" ca="1" si="98"/>
        <v>0.9490147551048308</v>
      </c>
      <c r="F1591" s="7">
        <f t="shared" ca="1" si="99"/>
        <v>2.680671814913969E-2</v>
      </c>
      <c r="G1591" s="7">
        <f ca="1">$C$11/(1+D1591)^1
 +$D$11/(1+D1591)^2
 +$E$11/(1+D1591)^3
 +$F$11/(1+D1591)^4
 +$G$11/(1+D1591)^5
 +$H$11/(1+D1591)^6
 +$I$11/(1+D1591)^7
 + ( $I$11*(1+F1591)/(D1591-F1591) )/(1+D1591)^7</f>
        <v>390.04986137872015</v>
      </c>
      <c r="H1591" s="7">
        <f ca="1">(G1591-$C$8)/$C$9</f>
        <v>2.140320337962009</v>
      </c>
    </row>
    <row r="1592" spans="3:8" x14ac:dyDescent="0.35">
      <c r="C1592" s="8">
        <f t="shared" ca="1" si="96"/>
        <v>0.23458857367164587</v>
      </c>
      <c r="D1592" s="7">
        <f t="shared" ca="1" si="97"/>
        <v>8.3869485585657086E-2</v>
      </c>
      <c r="E1592" s="7">
        <f t="shared" ca="1" si="98"/>
        <v>0.93666327486695877</v>
      </c>
      <c r="F1592" s="7">
        <f t="shared" ca="1" si="99"/>
        <v>2.6440878615921024E-2</v>
      </c>
      <c r="G1592" s="7">
        <f ca="1">$C$11/(1+D1592)^1
 +$D$11/(1+D1592)^2
 +$E$11/(1+D1592)^3
 +$F$11/(1+D1592)^4
 +$G$11/(1+D1592)^5
 +$H$11/(1+D1592)^6
 +$I$11/(1+D1592)^7
 + ( $I$11*(1+F1592)/(D1592-F1592) )/(1+D1592)^7</f>
        <v>453.31636010827026</v>
      </c>
      <c r="H1592" s="7">
        <f ca="1">(G1592-$C$8)/$C$9</f>
        <v>2.4980006790381628</v>
      </c>
    </row>
    <row r="1593" spans="3:8" x14ac:dyDescent="0.35">
      <c r="C1593" s="8">
        <f t="shared" ca="1" si="96"/>
        <v>0.5617729153440093</v>
      </c>
      <c r="D1593" s="7">
        <f t="shared" ca="1" si="97"/>
        <v>9.1511702998067324E-2</v>
      </c>
      <c r="E1593" s="7">
        <f t="shared" ca="1" si="98"/>
        <v>0.26039931106804737</v>
      </c>
      <c r="F1593" s="7">
        <f t="shared" ca="1" si="99"/>
        <v>1.7216637874634521E-2</v>
      </c>
      <c r="G1593" s="7">
        <f ca="1">$C$11/(1+D1593)^1
 +$D$11/(1+D1593)^2
 +$E$11/(1+D1593)^3
 +$F$11/(1+D1593)^4
 +$G$11/(1+D1593)^5
 +$H$11/(1+D1593)^6
 +$I$11/(1+D1593)^7
 + ( $I$11*(1+F1593)/(D1593-F1593) )/(1+D1593)^7</f>
        <v>362.83029282063569</v>
      </c>
      <c r="H1593" s="7">
        <f ca="1">(G1593-$C$8)/$C$9</f>
        <v>1.986433134445023</v>
      </c>
    </row>
    <row r="1594" spans="3:8" x14ac:dyDescent="0.35">
      <c r="C1594" s="8">
        <f t="shared" ca="1" si="96"/>
        <v>0.97934067346334586</v>
      </c>
      <c r="D1594" s="7">
        <f t="shared" ca="1" si="97"/>
        <v>0.10598574107728584</v>
      </c>
      <c r="E1594" s="7">
        <f t="shared" ca="1" si="98"/>
        <v>0.93877325720217986</v>
      </c>
      <c r="F1594" s="7">
        <f t="shared" ca="1" si="99"/>
        <v>2.6500664554581249E-2</v>
      </c>
      <c r="G1594" s="7">
        <f ca="1">$C$11/(1+D1594)^1
 +$D$11/(1+D1594)^2
 +$E$11/(1+D1594)^3
 +$F$11/(1+D1594)^4
 +$G$11/(1+D1594)^5
 +$H$11/(1+D1594)^6
 +$I$11/(1+D1594)^7
 + ( $I$11*(1+F1594)/(D1594-F1594) )/(1+D1594)^7</f>
        <v>323.66198672231292</v>
      </c>
      <c r="H1594" s="7">
        <f ca="1">(G1594-$C$8)/$C$9</f>
        <v>1.7649931406734107</v>
      </c>
    </row>
    <row r="1595" spans="3:8" x14ac:dyDescent="0.35">
      <c r="C1595" s="8">
        <f t="shared" ca="1" si="96"/>
        <v>0.48263979611679242</v>
      </c>
      <c r="D1595" s="7">
        <f t="shared" ca="1" si="97"/>
        <v>8.9893834040118303E-2</v>
      </c>
      <c r="E1595" s="7">
        <f t="shared" ca="1" si="98"/>
        <v>5.6364008141594923E-2</v>
      </c>
      <c r="F1595" s="7">
        <f t="shared" ca="1" si="99"/>
        <v>1.3357499311737679E-2</v>
      </c>
      <c r="G1595" s="7">
        <f ca="1">$C$11/(1+D1595)^1
 +$D$11/(1+D1595)^2
 +$E$11/(1+D1595)^3
 +$F$11/(1+D1595)^4
 +$G$11/(1+D1595)^5
 +$H$11/(1+D1595)^6
 +$I$11/(1+D1595)^7
 + ( $I$11*(1+F1595)/(D1595-F1595) )/(1+D1595)^7</f>
        <v>358.22909487907566</v>
      </c>
      <c r="H1595" s="7">
        <f ca="1">(G1595-$C$8)/$C$9</f>
        <v>1.9604200298455203</v>
      </c>
    </row>
    <row r="1596" spans="3:8" x14ac:dyDescent="0.35">
      <c r="C1596" s="8">
        <f t="shared" ca="1" si="96"/>
        <v>9.4706585350907035E-2</v>
      </c>
      <c r="D1596" s="7">
        <f t="shared" ca="1" si="97"/>
        <v>7.8812457091398738E-2</v>
      </c>
      <c r="E1596" s="7">
        <f t="shared" ca="1" si="98"/>
        <v>0.36905821475007428</v>
      </c>
      <c r="F1596" s="7">
        <f t="shared" ca="1" si="99"/>
        <v>1.8591370260326048E-2</v>
      </c>
      <c r="G1596" s="7">
        <f ca="1">$C$11/(1+D1596)^1
 +$D$11/(1+D1596)^2
 +$E$11/(1+D1596)^3
 +$F$11/(1+D1596)^4
 +$G$11/(1+D1596)^5
 +$H$11/(1+D1596)^6
 +$I$11/(1+D1596)^7
 + ( $I$11*(1+F1596)/(D1596-F1596) )/(1+D1596)^7</f>
        <v>448.6747495315318</v>
      </c>
      <c r="H1596" s="7">
        <f ca="1">(G1596-$C$8)/$C$9</f>
        <v>2.471759099567683</v>
      </c>
    </row>
    <row r="1597" spans="3:8" x14ac:dyDescent="0.35">
      <c r="C1597" s="8">
        <f t="shared" ca="1" si="96"/>
        <v>9.0581073483924079E-2</v>
      </c>
      <c r="D1597" s="7">
        <f t="shared" ca="1" si="97"/>
        <v>7.8618380373180211E-2</v>
      </c>
      <c r="E1597" s="7">
        <f t="shared" ca="1" si="98"/>
        <v>0.29370600854859319</v>
      </c>
      <c r="F1597" s="7">
        <f t="shared" ca="1" si="99"/>
        <v>1.7664280899713856E-2</v>
      </c>
      <c r="G1597" s="7">
        <f ca="1">$C$11/(1+D1597)^1
 +$D$11/(1+D1597)^2
 +$E$11/(1+D1597)^3
 +$F$11/(1+D1597)^4
 +$G$11/(1+D1597)^5
 +$H$11/(1+D1597)^6
 +$I$11/(1+D1597)^7
 + ( $I$11*(1+F1597)/(D1597-F1597) )/(1+D1597)^7</f>
        <v>445.10575164313855</v>
      </c>
      <c r="H1597" s="7">
        <f ca="1">(G1597-$C$8)/$C$9</f>
        <v>2.4515815900222666</v>
      </c>
    </row>
    <row r="1598" spans="3:8" x14ac:dyDescent="0.35">
      <c r="C1598" s="8">
        <f t="shared" ca="1" si="96"/>
        <v>0.9333227851128072</v>
      </c>
      <c r="D1598" s="7">
        <f t="shared" ca="1" si="97"/>
        <v>0.10278832698938656</v>
      </c>
      <c r="E1598" s="7">
        <f t="shared" ca="1" si="98"/>
        <v>0.75119750060046042</v>
      </c>
      <c r="F1598" s="7">
        <f t="shared" ca="1" si="99"/>
        <v>2.2945887732683301E-2</v>
      </c>
      <c r="G1598" s="7">
        <f ca="1">$C$11/(1+D1598)^1
 +$D$11/(1+D1598)^2
 +$E$11/(1+D1598)^3
 +$F$11/(1+D1598)^4
 +$G$11/(1+D1598)^5
 +$H$11/(1+D1598)^6
 +$I$11/(1+D1598)^7
 + ( $I$11*(1+F1598)/(D1598-F1598) )/(1+D1598)^7</f>
        <v>327.53529790798905</v>
      </c>
      <c r="H1598" s="7">
        <f ca="1">(G1598-$C$8)/$C$9</f>
        <v>1.786891100791435</v>
      </c>
    </row>
    <row r="1599" spans="3:8" x14ac:dyDescent="0.35">
      <c r="C1599" s="8">
        <f t="shared" ca="1" si="96"/>
        <v>0.92307149794488619</v>
      </c>
      <c r="D1599" s="7">
        <f t="shared" ca="1" si="97"/>
        <v>0.10225376016360269</v>
      </c>
      <c r="E1599" s="7">
        <f t="shared" ca="1" si="98"/>
        <v>4.093454043065492E-2</v>
      </c>
      <c r="F1599" s="7">
        <f t="shared" ca="1" si="99"/>
        <v>1.2861277352185731E-2</v>
      </c>
      <c r="G1599" s="7">
        <f ca="1">$C$11/(1+D1599)^1
 +$D$11/(1+D1599)^2
 +$E$11/(1+D1599)^3
 +$F$11/(1+D1599)^4
 +$G$11/(1+D1599)^5
 +$H$11/(1+D1599)^6
 +$I$11/(1+D1599)^7
 + ( $I$11*(1+F1599)/(D1599-F1599) )/(1+D1599)^7</f>
        <v>304.81567389140434</v>
      </c>
      <c r="H1599" s="7">
        <f ca="1">(G1599-$C$8)/$C$9</f>
        <v>1.6584445606705356</v>
      </c>
    </row>
    <row r="1600" spans="3:8" x14ac:dyDescent="0.35">
      <c r="C1600" s="8">
        <f t="shared" ca="1" si="96"/>
        <v>0.79834576200643015</v>
      </c>
      <c r="D1600" s="7">
        <f t="shared" ca="1" si="97"/>
        <v>9.7458456808072441E-2</v>
      </c>
      <c r="E1600" s="7">
        <f t="shared" ca="1" si="98"/>
        <v>0.62196960203481044</v>
      </c>
      <c r="F1600" s="7">
        <f t="shared" ca="1" si="99"/>
        <v>2.1304824349500588E-2</v>
      </c>
      <c r="G1600" s="7">
        <f ca="1">$C$11/(1+D1600)^1
 +$D$11/(1+D1600)^2
 +$E$11/(1+D1600)^3
 +$F$11/(1+D1600)^4
 +$G$11/(1+D1600)^5
 +$H$11/(1+D1600)^6
 +$I$11/(1+D1600)^7
 + ( $I$11*(1+F1600)/(D1600-F1600) )/(1+D1600)^7</f>
        <v>346.77521474031164</v>
      </c>
      <c r="H1600" s="7">
        <f ca="1">(G1600-$C$8)/$C$9</f>
        <v>1.8956649408656243</v>
      </c>
    </row>
    <row r="1601" spans="3:8" x14ac:dyDescent="0.35">
      <c r="C1601" s="8">
        <f t="shared" ca="1" si="96"/>
        <v>0.998303802138504</v>
      </c>
      <c r="D1601" s="7">
        <f t="shared" ca="1" si="97"/>
        <v>0.10884976770521478</v>
      </c>
      <c r="E1601" s="7">
        <f t="shared" ca="1" si="98"/>
        <v>0.28014206050695944</v>
      </c>
      <c r="F1601" s="7">
        <f t="shared" ca="1" si="99"/>
        <v>1.7485212896196867E-2</v>
      </c>
      <c r="G1601" s="7">
        <f ca="1">$C$11/(1+D1601)^1
 +$D$11/(1+D1601)^2
 +$E$11/(1+D1601)^3
 +$F$11/(1+D1601)^4
 +$G$11/(1+D1601)^5
 +$H$11/(1+D1601)^6
 +$I$11/(1+D1601)^7
 + ( $I$11*(1+F1601)/(D1601-F1601) )/(1+D1601)^7</f>
        <v>291.62112583836358</v>
      </c>
      <c r="H1601" s="7">
        <f ca="1">(G1601-$C$8)/$C$9</f>
        <v>1.5838485178559676</v>
      </c>
    </row>
    <row r="1602" spans="3:8" x14ac:dyDescent="0.35">
      <c r="C1602" s="8">
        <f t="shared" ca="1" si="96"/>
        <v>0.1820092124148075</v>
      </c>
      <c r="D1602" s="7">
        <f t="shared" ca="1" si="97"/>
        <v>8.2216691621717491E-2</v>
      </c>
      <c r="E1602" s="7">
        <f t="shared" ca="1" si="98"/>
        <v>0.20940890611845542</v>
      </c>
      <c r="F1602" s="7">
        <f t="shared" ca="1" si="99"/>
        <v>1.6471613494615626E-2</v>
      </c>
      <c r="G1602" s="7">
        <f ca="1">$C$11/(1+D1602)^1
 +$D$11/(1+D1602)^2
 +$E$11/(1+D1602)^3
 +$F$11/(1+D1602)^4
 +$G$11/(1+D1602)^5
 +$H$11/(1+D1602)^6
 +$I$11/(1+D1602)^7
 + ( $I$11*(1+F1602)/(D1602-F1602) )/(1+D1602)^7</f>
        <v>413.78359474200755</v>
      </c>
      <c r="H1602" s="7">
        <f ca="1">(G1602-$C$8)/$C$9</f>
        <v>2.2745001964156915</v>
      </c>
    </row>
    <row r="1603" spans="3:8" x14ac:dyDescent="0.35">
      <c r="C1603" s="8">
        <f t="shared" ca="1" si="96"/>
        <v>0.72499800375487289</v>
      </c>
      <c r="D1603" s="7">
        <f t="shared" ca="1" si="97"/>
        <v>9.5354128326685397E-2</v>
      </c>
      <c r="E1603" s="7">
        <f t="shared" ca="1" si="98"/>
        <v>0.59650695939494536</v>
      </c>
      <c r="F1603" s="7">
        <f t="shared" ca="1" si="99"/>
        <v>2.1016759597950699E-2</v>
      </c>
      <c r="G1603" s="7">
        <f ca="1">$C$11/(1+D1603)^1
 +$D$11/(1+D1603)^2
 +$E$11/(1+D1603)^3
 +$F$11/(1+D1603)^4
 +$G$11/(1+D1603)^5
 +$H$11/(1+D1603)^6
 +$I$11/(1+D1603)^7
 + ( $I$11*(1+F1603)/(D1603-F1603) )/(1+D1603)^7</f>
        <v>356.10771816250303</v>
      </c>
      <c r="H1603" s="7">
        <f ca="1">(G1603-$C$8)/$C$9</f>
        <v>1.9484267195980496</v>
      </c>
    </row>
    <row r="1604" spans="3:8" x14ac:dyDescent="0.35">
      <c r="C1604" s="8">
        <f t="shared" ca="1" si="96"/>
        <v>0.36857198914293288</v>
      </c>
      <c r="D1604" s="7">
        <f t="shared" ca="1" si="97"/>
        <v>8.7384735577431288E-2</v>
      </c>
      <c r="E1604" s="7">
        <f t="shared" ca="1" si="98"/>
        <v>0.76505781321476196</v>
      </c>
      <c r="F1604" s="7">
        <f t="shared" ca="1" si="99"/>
        <v>2.3145188743878675E-2</v>
      </c>
      <c r="G1604" s="7">
        <f ca="1">$C$11/(1+D1604)^1
 +$D$11/(1+D1604)^2
 +$E$11/(1+D1604)^3
 +$F$11/(1+D1604)^4
 +$G$11/(1+D1604)^5
 +$H$11/(1+D1604)^6
 +$I$11/(1+D1604)^7
 + ( $I$11*(1+F1604)/(D1604-F1604) )/(1+D1604)^7</f>
        <v>410.28497017551456</v>
      </c>
      <c r="H1604" s="7">
        <f ca="1">(G1604-$C$8)/$C$9</f>
        <v>2.2547205459945419</v>
      </c>
    </row>
    <row r="1605" spans="3:8" x14ac:dyDescent="0.35">
      <c r="C1605" s="8">
        <f t="shared" ca="1" si="96"/>
        <v>0.88549901863445202</v>
      </c>
      <c r="D1605" s="7">
        <f t="shared" ca="1" si="97"/>
        <v>0.10054956268392158</v>
      </c>
      <c r="E1605" s="7">
        <f t="shared" ca="1" si="98"/>
        <v>0.49404207704684278</v>
      </c>
      <c r="F1605" s="7">
        <f t="shared" ca="1" si="99"/>
        <v>1.9940242220860042E-2</v>
      </c>
      <c r="G1605" s="7">
        <f ca="1">$C$11/(1+D1605)^1
 +$D$11/(1+D1605)^2
 +$E$11/(1+D1605)^3
 +$F$11/(1+D1605)^4
 +$G$11/(1+D1605)^5
 +$H$11/(1+D1605)^6
 +$I$11/(1+D1605)^7
 + ( $I$11*(1+F1605)/(D1605-F1605) )/(1+D1605)^7</f>
        <v>328.86706094389615</v>
      </c>
      <c r="H1605" s="7">
        <f ca="1">(G1605-$C$8)/$C$9</f>
        <v>1.7944202902753059</v>
      </c>
    </row>
    <row r="1606" spans="3:8" x14ac:dyDescent="0.35">
      <c r="C1606" s="8">
        <f t="shared" ca="1" si="96"/>
        <v>0.59525279445195889</v>
      </c>
      <c r="D1606" s="7">
        <f t="shared" ca="1" si="97"/>
        <v>9.223197196289154E-2</v>
      </c>
      <c r="E1606" s="7">
        <f t="shared" ca="1" si="98"/>
        <v>0.10473313318927246</v>
      </c>
      <c r="F1606" s="7">
        <f t="shared" ca="1" si="99"/>
        <v>1.4576748478762461E-2</v>
      </c>
      <c r="G1606" s="7">
        <f ca="1">$C$11/(1+D1606)^1
 +$D$11/(1+D1606)^2
 +$E$11/(1+D1606)^3
 +$F$11/(1+D1606)^4
 +$G$11/(1+D1606)^5
 +$H$11/(1+D1606)^6
 +$I$11/(1+D1606)^7
 + ( $I$11*(1+F1606)/(D1606-F1606) )/(1+D1606)^7</f>
        <v>350.76182695376735</v>
      </c>
      <c r="H1606" s="7">
        <f ca="1">(G1606-$C$8)/$C$9</f>
        <v>1.9182034540579338</v>
      </c>
    </row>
    <row r="1607" spans="3:8" x14ac:dyDescent="0.35">
      <c r="C1607" s="8">
        <f t="shared" ca="1" si="96"/>
        <v>0.14897255498948436</v>
      </c>
      <c r="D1607" s="7">
        <f t="shared" ca="1" si="97"/>
        <v>8.1052488185534385E-2</v>
      </c>
      <c r="E1607" s="7">
        <f t="shared" ca="1" si="98"/>
        <v>0.32845531156522634</v>
      </c>
      <c r="F1607" s="7">
        <f t="shared" ca="1" si="99"/>
        <v>1.8105002301853176E-2</v>
      </c>
      <c r="G1607" s="7">
        <f ca="1">$C$11/(1+D1607)^1
 +$D$11/(1+D1607)^2
 +$E$11/(1+D1607)^3
 +$F$11/(1+D1607)^4
 +$G$11/(1+D1607)^5
 +$H$11/(1+D1607)^6
 +$I$11/(1+D1607)^7
 + ( $I$11*(1+F1607)/(D1607-F1607) )/(1+D1607)^7</f>
        <v>429.5117339962008</v>
      </c>
      <c r="H1607" s="7">
        <f ca="1">(G1607-$C$8)/$C$9</f>
        <v>2.3634200248541428</v>
      </c>
    </row>
    <row r="1608" spans="3:8" x14ac:dyDescent="0.35">
      <c r="C1608" s="8">
        <f t="shared" ca="1" si="96"/>
        <v>0.18714117501527516</v>
      </c>
      <c r="D1608" s="7">
        <f t="shared" ca="1" si="97"/>
        <v>8.2387726325380523E-2</v>
      </c>
      <c r="E1608" s="7">
        <f t="shared" ca="1" si="98"/>
        <v>0.4886132491132541</v>
      </c>
      <c r="F1608" s="7">
        <f t="shared" ca="1" si="99"/>
        <v>1.9885476711957336E-2</v>
      </c>
      <c r="G1608" s="7">
        <f ca="1">$C$11/(1+D1608)^1
 +$D$11/(1+D1608)^2
 +$E$11/(1+D1608)^3
 +$F$11/(1+D1608)^4
 +$G$11/(1+D1608)^5
 +$H$11/(1+D1608)^6
 +$I$11/(1+D1608)^7
 + ( $I$11*(1+F1608)/(D1608-F1608) )/(1+D1608)^7</f>
        <v>428.92080457252916</v>
      </c>
      <c r="H1608" s="7">
        <f ca="1">(G1608-$C$8)/$C$9</f>
        <v>2.3600791755570394</v>
      </c>
    </row>
    <row r="1609" spans="3:8" x14ac:dyDescent="0.35">
      <c r="C1609" s="8">
        <f t="shared" ca="1" si="96"/>
        <v>0.2628924158970527</v>
      </c>
      <c r="D1609" s="7">
        <f t="shared" ca="1" si="97"/>
        <v>8.4682362924120333E-2</v>
      </c>
      <c r="E1609" s="7">
        <f t="shared" ca="1" si="98"/>
        <v>0.68615936655887744</v>
      </c>
      <c r="F1609" s="7">
        <f t="shared" ca="1" si="99"/>
        <v>2.2077366177323067E-2</v>
      </c>
      <c r="G1609" s="7">
        <f ca="1">$C$11/(1+D1609)^1
 +$D$11/(1+D1609)^2
 +$E$11/(1+D1609)^3
 +$F$11/(1+D1609)^4
 +$G$11/(1+D1609)^5
 +$H$11/(1+D1609)^6
 +$I$11/(1+D1609)^7
 + ( $I$11*(1+F1609)/(D1609-F1609) )/(1+D1609)^7</f>
        <v>423.60680922575017</v>
      </c>
      <c r="H1609" s="7">
        <f ca="1">(G1609-$C$8)/$C$9</f>
        <v>2.3300362348809935</v>
      </c>
    </row>
    <row r="1610" spans="3:8" x14ac:dyDescent="0.35">
      <c r="C1610" s="8">
        <f t="shared" ca="1" si="96"/>
        <v>0.54048763517289178</v>
      </c>
      <c r="D1610" s="7">
        <f t="shared" ca="1" si="97"/>
        <v>9.1068025867196409E-2</v>
      </c>
      <c r="E1610" s="7">
        <f t="shared" ca="1" si="98"/>
        <v>0.25242152531904816</v>
      </c>
      <c r="F1610" s="7">
        <f t="shared" ca="1" si="99"/>
        <v>1.7105230824104846E-2</v>
      </c>
      <c r="G1610" s="7">
        <f ca="1">$C$11/(1+D1610)^1
 +$D$11/(1+D1610)^2
 +$E$11/(1+D1610)^3
 +$F$11/(1+D1610)^4
 +$G$11/(1+D1610)^5
 +$H$11/(1+D1610)^6
 +$I$11/(1+D1610)^7
 + ( $I$11*(1+F1610)/(D1610-F1610) )/(1+D1610)^7</f>
        <v>364.73119451488606</v>
      </c>
      <c r="H1610" s="7">
        <f ca="1">(G1610-$C$8)/$C$9</f>
        <v>1.9971799780353123</v>
      </c>
    </row>
    <row r="1611" spans="3:8" x14ac:dyDescent="0.35">
      <c r="C1611" s="8">
        <f t="shared" ca="1" si="96"/>
        <v>0.71006598841770696</v>
      </c>
      <c r="D1611" s="7">
        <f t="shared" ca="1" si="97"/>
        <v>9.4961764430818732E-2</v>
      </c>
      <c r="E1611" s="7">
        <f t="shared" ca="1" si="98"/>
        <v>0.45159672553148067</v>
      </c>
      <c r="F1611" s="7">
        <f t="shared" ca="1" si="99"/>
        <v>1.9503649041620601E-2</v>
      </c>
      <c r="G1611" s="7">
        <f ca="1">$C$11/(1+D1611)^1
 +$D$11/(1+D1611)^2
 +$E$11/(1+D1611)^3
 +$F$11/(1+D1611)^4
 +$G$11/(1+D1611)^5
 +$H$11/(1+D1611)^6
 +$I$11/(1+D1611)^7
 + ( $I$11*(1+F1611)/(D1611-F1611) )/(1+D1611)^7</f>
        <v>353.11493766199561</v>
      </c>
      <c r="H1611" s="7">
        <f ca="1">(G1611-$C$8)/$C$9</f>
        <v>1.9315068841134984</v>
      </c>
    </row>
    <row r="1612" spans="3:8" x14ac:dyDescent="0.35">
      <c r="C1612" s="8">
        <f t="shared" ca="1" si="96"/>
        <v>0.11490349331038952</v>
      </c>
      <c r="D1612" s="7">
        <f t="shared" ca="1" si="97"/>
        <v>7.9706743249644524E-2</v>
      </c>
      <c r="E1612" s="7">
        <f t="shared" ca="1" si="98"/>
        <v>0.7006113418620552</v>
      </c>
      <c r="F1612" s="7">
        <f t="shared" ca="1" si="99"/>
        <v>2.2261929721979198E-2</v>
      </c>
      <c r="G1612" s="7">
        <f ca="1">$C$11/(1+D1612)^1
 +$D$11/(1+D1612)^2
 +$E$11/(1+D1612)^3
 +$F$11/(1+D1612)^4
 +$G$11/(1+D1612)^5
 +$H$11/(1+D1612)^6
 +$I$11/(1+D1612)^7
 + ( $I$11*(1+F1612)/(D1612-F1612) )/(1+D1612)^7</f>
        <v>462.67339572407428</v>
      </c>
      <c r="H1612" s="7">
        <f ca="1">(G1612-$C$8)/$C$9</f>
        <v>2.5509011517643274</v>
      </c>
    </row>
    <row r="1613" spans="3:8" x14ac:dyDescent="0.35">
      <c r="C1613" s="8">
        <f t="shared" ca="1" si="96"/>
        <v>0.1186656484516293</v>
      </c>
      <c r="D1613" s="7">
        <f t="shared" ca="1" si="97"/>
        <v>7.9864371836581183E-2</v>
      </c>
      <c r="E1613" s="7">
        <f t="shared" ca="1" si="98"/>
        <v>0.77872016136625877</v>
      </c>
      <c r="F1613" s="7">
        <f t="shared" ca="1" si="99"/>
        <v>2.3347484105486989E-2</v>
      </c>
      <c r="G1613" s="7">
        <f ca="1">$C$11/(1+D1613)^1
 +$D$11/(1+D1613)^2
 +$E$11/(1+D1613)^3
 +$F$11/(1+D1613)^4
 +$G$11/(1+D1613)^5
 +$H$11/(1+D1613)^6
 +$I$11/(1+D1613)^7
 + ( $I$11*(1+F1613)/(D1613-F1613) )/(1+D1613)^7</f>
        <v>467.99778518199764</v>
      </c>
      <c r="H1613" s="7">
        <f ca="1">(G1613-$C$8)/$C$9</f>
        <v>2.5810028560718998</v>
      </c>
    </row>
    <row r="1614" spans="3:8" x14ac:dyDescent="0.35">
      <c r="C1614" s="8">
        <f t="shared" ca="1" si="96"/>
        <v>0.61061774213025499</v>
      </c>
      <c r="D1614" s="7">
        <f t="shared" ca="1" si="97"/>
        <v>9.2572488383638907E-2</v>
      </c>
      <c r="E1614" s="7">
        <f t="shared" ca="1" si="98"/>
        <v>0.88327947522352335</v>
      </c>
      <c r="F1614" s="7">
        <f t="shared" ca="1" si="99"/>
        <v>2.5168426244452504E-2</v>
      </c>
      <c r="G1614" s="7">
        <f ca="1">$C$11/(1+D1614)^1
 +$D$11/(1+D1614)^2
 +$E$11/(1+D1614)^3
 +$F$11/(1+D1614)^4
 +$G$11/(1+D1614)^5
 +$H$11/(1+D1614)^6
 +$I$11/(1+D1614)^7
 + ( $I$11*(1+F1614)/(D1614-F1614) )/(1+D1614)^7</f>
        <v>386.5207502459827</v>
      </c>
      <c r="H1614" s="7">
        <f ca="1">(G1614-$C$8)/$C$9</f>
        <v>2.1203683302011687</v>
      </c>
    </row>
    <row r="1615" spans="3:8" x14ac:dyDescent="0.35">
      <c r="C1615" s="8">
        <f t="shared" ca="1" si="96"/>
        <v>0.47825281481201054</v>
      </c>
      <c r="D1615" s="7">
        <f t="shared" ca="1" si="97"/>
        <v>8.9803214591218483E-2</v>
      </c>
      <c r="E1615" s="7">
        <f t="shared" ca="1" si="98"/>
        <v>0.39198624941399707</v>
      </c>
      <c r="F1615" s="7">
        <f t="shared" ca="1" si="99"/>
        <v>1.8854222150070519E-2</v>
      </c>
      <c r="G1615" s="7">
        <f ca="1">$C$11/(1+D1615)^1
 +$D$11/(1+D1615)^2
 +$E$11/(1+D1615)^3
 +$F$11/(1+D1615)^4
 +$G$11/(1+D1615)^5
 +$H$11/(1+D1615)^6
 +$I$11/(1+D1615)^7
 + ( $I$11*(1+F1615)/(D1615-F1615) )/(1+D1615)^7</f>
        <v>377.76176153922017</v>
      </c>
      <c r="H1615" s="7">
        <f ca="1">(G1615-$C$8)/$C$9</f>
        <v>2.070848945834578</v>
      </c>
    </row>
    <row r="1616" spans="3:8" x14ac:dyDescent="0.35">
      <c r="C1616" s="8">
        <f t="shared" ca="1" si="96"/>
        <v>0.17745362612724336</v>
      </c>
      <c r="D1616" s="7">
        <f t="shared" ca="1" si="97"/>
        <v>8.2062834386011418E-2</v>
      </c>
      <c r="E1616" s="7">
        <f t="shared" ca="1" si="98"/>
        <v>0.99758089223515978</v>
      </c>
      <c r="F1616" s="7">
        <f t="shared" ca="1" si="99"/>
        <v>2.9304427176373282E-2</v>
      </c>
      <c r="G1616" s="7">
        <f ca="1">$C$11/(1+D1616)^1
 +$D$11/(1+D1616)^2
 +$E$11/(1+D1616)^3
 +$F$11/(1+D1616)^4
 +$G$11/(1+D1616)^5
 +$H$11/(1+D1616)^6
 +$I$11/(1+D1616)^7
 + ( $I$11*(1+F1616)/(D1616-F1616) )/(1+D1616)^7</f>
        <v>487.68681584025205</v>
      </c>
      <c r="H1616" s="7">
        <f ca="1">(G1616-$C$8)/$C$9</f>
        <v>2.6923157838096565</v>
      </c>
    </row>
    <row r="1617" spans="3:8" x14ac:dyDescent="0.35">
      <c r="C1617" s="8">
        <f t="shared" ref="C1617:C1680" ca="1" si="100">RAND()</f>
        <v>0.54409725103195217</v>
      </c>
      <c r="D1617" s="7">
        <f t="shared" ref="D1617:D1680" ca="1" si="101">IF(C1617&lt;(0.0905-0.07)/(0.11-0.07),
 0.07+SQRT(C1617*(0.11-0.07)*(0.0905-0.07)),
 0.11-SQRT((1-C1617)*(0.11-0.07)*(0.11-0.0905))
)</f>
        <v>9.1142530811503961E-2</v>
      </c>
      <c r="E1617" s="7">
        <f t="shared" ref="E1617:E1680" ca="1" si="102">RAND()</f>
        <v>0.32979100676261097</v>
      </c>
      <c r="F1617" s="7">
        <f t="shared" ref="F1617:F1680" ca="1" si="103">MIN(
 IF(E1617&lt;(0.02-0.01)/(0.03-0.01),
   0.01+SQRT(E1617*(0.03-0.01)*(0.02-0.01)),
   0.03-SQRT((1-E1617)*(0.03-0.01)*(0.03-0.02))
 ),
 D1617-0.005
)</f>
        <v>1.8121465468283554E-2</v>
      </c>
      <c r="G1617" s="7">
        <f ca="1">$C$11/(1+D1617)^1
 +$D$11/(1+D1617)^2
 +$E$11/(1+D1617)^3
 +$F$11/(1+D1617)^4
 +$G$11/(1+D1617)^5
 +$H$11/(1+D1617)^6
 +$I$11/(1+D1617)^7
 + ( $I$11*(1+F1617)/(D1617-F1617) )/(1+D1617)^7</f>
        <v>367.86095669896179</v>
      </c>
      <c r="H1617" s="7">
        <f ca="1">(G1617-$C$8)/$C$9</f>
        <v>2.0148742463758582</v>
      </c>
    </row>
    <row r="1618" spans="3:8" x14ac:dyDescent="0.35">
      <c r="C1618" s="8">
        <f t="shared" ca="1" si="100"/>
        <v>0.73470438614412859</v>
      </c>
      <c r="D1618" s="7">
        <f t="shared" ca="1" si="101"/>
        <v>9.5614918185579212E-2</v>
      </c>
      <c r="E1618" s="7">
        <f t="shared" ca="1" si="102"/>
        <v>0.94054447921507167</v>
      </c>
      <c r="F1618" s="7">
        <f t="shared" ca="1" si="103"/>
        <v>2.655165196695785E-2</v>
      </c>
      <c r="G1618" s="7">
        <f ca="1">$C$11/(1+D1618)^1
 +$D$11/(1+D1618)^2
 +$E$11/(1+D1618)^3
 +$F$11/(1+D1618)^4
 +$G$11/(1+D1618)^5
 +$H$11/(1+D1618)^6
 +$I$11/(1+D1618)^7
 + ( $I$11*(1+F1618)/(D1618-F1618) )/(1+D1618)^7</f>
        <v>374.40567392145732</v>
      </c>
      <c r="H1618" s="7">
        <f ca="1">(G1618-$C$8)/$C$9</f>
        <v>2.0518751352411653</v>
      </c>
    </row>
    <row r="1619" spans="3:8" x14ac:dyDescent="0.35">
      <c r="C1619" s="8">
        <f t="shared" ca="1" si="100"/>
        <v>0.1977834362250499</v>
      </c>
      <c r="D1619" s="7">
        <f t="shared" ca="1" si="101"/>
        <v>8.2735086089404386E-2</v>
      </c>
      <c r="E1619" s="7">
        <f t="shared" ca="1" si="102"/>
        <v>0.25241938115369167</v>
      </c>
      <c r="F1619" s="7">
        <f t="shared" ca="1" si="103"/>
        <v>1.7105200646761382E-2</v>
      </c>
      <c r="G1619" s="7">
        <f ca="1">$C$11/(1+D1619)^1
 +$D$11/(1+D1619)^2
 +$E$11/(1+D1619)^3
 +$F$11/(1+D1619)^4
 +$G$11/(1+D1619)^5
 +$H$11/(1+D1619)^6
 +$I$11/(1+D1619)^7
 + ( $I$11*(1+F1619)/(D1619-F1619) )/(1+D1619)^7</f>
        <v>413.25812608404703</v>
      </c>
      <c r="H1619" s="7">
        <f ca="1">(G1619-$C$8)/$C$9</f>
        <v>2.271529432858701</v>
      </c>
    </row>
    <row r="1620" spans="3:8" x14ac:dyDescent="0.35">
      <c r="C1620" s="8">
        <f t="shared" ca="1" si="100"/>
        <v>0.88341976892916085</v>
      </c>
      <c r="D1620" s="7">
        <f t="shared" ca="1" si="101"/>
        <v>0.10046414239644622</v>
      </c>
      <c r="E1620" s="7">
        <f t="shared" ca="1" si="102"/>
        <v>0.93153784060498968</v>
      </c>
      <c r="F1620" s="7">
        <f t="shared" ca="1" si="103"/>
        <v>2.6299671382295612E-2</v>
      </c>
      <c r="G1620" s="7">
        <f ca="1">$C$11/(1+D1620)^1
 +$D$11/(1+D1620)^2
 +$E$11/(1+D1620)^3
 +$F$11/(1+D1620)^4
 +$G$11/(1+D1620)^5
 +$H$11/(1+D1620)^6
 +$I$11/(1+D1620)^7
 + ( $I$11*(1+F1620)/(D1620-F1620) )/(1+D1620)^7</f>
        <v>348.14883536336902</v>
      </c>
      <c r="H1620" s="7">
        <f ca="1">(G1620-$C$8)/$C$9</f>
        <v>1.9034307743293137</v>
      </c>
    </row>
    <row r="1621" spans="3:8" x14ac:dyDescent="0.35">
      <c r="C1621" s="8">
        <f t="shared" ca="1" si="100"/>
        <v>7.8694157150015265E-2</v>
      </c>
      <c r="D1621" s="7">
        <f t="shared" ca="1" si="101"/>
        <v>7.8033007460659581E-2</v>
      </c>
      <c r="E1621" s="7">
        <f t="shared" ca="1" si="102"/>
        <v>0.14531556331010553</v>
      </c>
      <c r="F1621" s="7">
        <f t="shared" ca="1" si="103"/>
        <v>1.5391021485954318E-2</v>
      </c>
      <c r="G1621" s="7">
        <f ca="1">$C$11/(1+D1621)^1
 +$D$11/(1+D1621)^2
 +$E$11/(1+D1621)^3
 +$F$11/(1+D1621)^4
 +$G$11/(1+D1621)^5
 +$H$11/(1+D1621)^6
 +$I$11/(1+D1621)^7
 + ( $I$11*(1+F1621)/(D1621-F1621) )/(1+D1621)^7</f>
        <v>437.5129194851462</v>
      </c>
      <c r="H1621" s="7">
        <f ca="1">(G1621-$C$8)/$C$9</f>
        <v>2.4086551305130381</v>
      </c>
    </row>
    <row r="1622" spans="3:8" x14ac:dyDescent="0.35">
      <c r="C1622" s="8">
        <f t="shared" ca="1" si="100"/>
        <v>0.44277287991422121</v>
      </c>
      <c r="D1622" s="7">
        <f t="shared" ca="1" si="101"/>
        <v>8.9054494523068864E-2</v>
      </c>
      <c r="E1622" s="7">
        <f t="shared" ca="1" si="102"/>
        <v>0.42534223528920589</v>
      </c>
      <c r="F1622" s="7">
        <f t="shared" ca="1" si="103"/>
        <v>1.922325577319859E-2</v>
      </c>
      <c r="G1622" s="7">
        <f ca="1">$C$11/(1+D1622)^1
 +$D$11/(1+D1622)^2
 +$E$11/(1+D1622)^3
 +$F$11/(1+D1622)^4
 +$G$11/(1+D1622)^5
 +$H$11/(1+D1622)^6
 +$I$11/(1+D1622)^7
 + ( $I$11*(1+F1622)/(D1622-F1622) )/(1+D1622)^7</f>
        <v>383.39178586507626</v>
      </c>
      <c r="H1622" s="7">
        <f ca="1">(G1622-$C$8)/$C$9</f>
        <v>2.1026785722810732</v>
      </c>
    </row>
    <row r="1623" spans="3:8" x14ac:dyDescent="0.35">
      <c r="C1623" s="8">
        <f t="shared" ca="1" si="100"/>
        <v>0.32727992917675197</v>
      </c>
      <c r="D1623" s="7">
        <f t="shared" ca="1" si="101"/>
        <v>8.6381988338566737E-2</v>
      </c>
      <c r="E1623" s="7">
        <f t="shared" ca="1" si="102"/>
        <v>0.69438775909197292</v>
      </c>
      <c r="F1623" s="7">
        <f t="shared" ca="1" si="103"/>
        <v>2.2181915312456293E-2</v>
      </c>
      <c r="G1623" s="7">
        <f ca="1">$C$11/(1+D1623)^1
 +$D$11/(1+D1623)^2
 +$E$11/(1+D1623)^3
 +$F$11/(1+D1623)^4
 +$G$11/(1+D1623)^5
 +$H$11/(1+D1623)^6
 +$I$11/(1+D1623)^7
 + ( $I$11*(1+F1623)/(D1623-F1623) )/(1+D1623)^7</f>
        <v>412.479725971314</v>
      </c>
      <c r="H1623" s="7">
        <f ca="1">(G1623-$C$8)/$C$9</f>
        <v>2.2671287085669038</v>
      </c>
    </row>
    <row r="1624" spans="3:8" x14ac:dyDescent="0.35">
      <c r="C1624" s="8">
        <f t="shared" ca="1" si="100"/>
        <v>0.14014879695772764</v>
      </c>
      <c r="D1624" s="7">
        <f t="shared" ca="1" si="101"/>
        <v>8.0720168539035977E-2</v>
      </c>
      <c r="E1624" s="7">
        <f t="shared" ca="1" si="102"/>
        <v>5.8245874046333745E-2</v>
      </c>
      <c r="F1624" s="7">
        <f t="shared" ca="1" si="103"/>
        <v>1.3413088749104943E-2</v>
      </c>
      <c r="G1624" s="7">
        <f ca="1">$C$11/(1+D1624)^1
 +$D$11/(1+D1624)^2
 +$E$11/(1+D1624)^3
 +$F$11/(1+D1624)^4
 +$G$11/(1+D1624)^5
 +$H$11/(1+D1624)^6
 +$I$11/(1+D1624)^7
 + ( $I$11*(1+F1624)/(D1624-F1624) )/(1+D1624)^7</f>
        <v>409.83867142888118</v>
      </c>
      <c r="H1624" s="7">
        <f ca="1">(G1624-$C$8)/$C$9</f>
        <v>2.2521973735237517</v>
      </c>
    </row>
    <row r="1625" spans="3:8" x14ac:dyDescent="0.35">
      <c r="C1625" s="8">
        <f t="shared" ca="1" si="100"/>
        <v>0.16539381307737511</v>
      </c>
      <c r="D1625" s="7">
        <f t="shared" ca="1" si="101"/>
        <v>8.1645725684707141E-2</v>
      </c>
      <c r="E1625" s="7">
        <f t="shared" ca="1" si="102"/>
        <v>0.92346691591660057</v>
      </c>
      <c r="F1625" s="7">
        <f t="shared" ca="1" si="103"/>
        <v>2.6087632837184131E-2</v>
      </c>
      <c r="G1625" s="7">
        <f ca="1">$C$11/(1+D1625)^1
 +$D$11/(1+D1625)^2
 +$E$11/(1+D1625)^3
 +$F$11/(1+D1625)^4
 +$G$11/(1+D1625)^5
 +$H$11/(1+D1625)^6
 +$I$11/(1+D1625)^7
 + ( $I$11*(1+F1625)/(D1625-F1625) )/(1+D1625)^7</f>
        <v>469.88655448612803</v>
      </c>
      <c r="H1625" s="7">
        <f ca="1">(G1625-$C$8)/$C$9</f>
        <v>2.5916811085828133</v>
      </c>
    </row>
    <row r="1626" spans="3:8" x14ac:dyDescent="0.35">
      <c r="C1626" s="8">
        <f t="shared" ca="1" si="100"/>
        <v>0.89684246268786449</v>
      </c>
      <c r="D1626" s="7">
        <f t="shared" ca="1" si="101"/>
        <v>0.10102988968275943</v>
      </c>
      <c r="E1626" s="7">
        <f t="shared" ca="1" si="102"/>
        <v>0.96028266641012616</v>
      </c>
      <c r="F1626" s="7">
        <f t="shared" ca="1" si="103"/>
        <v>2.7181584360323204E-2</v>
      </c>
      <c r="G1626" s="7">
        <f ca="1">$C$11/(1+D1626)^1
 +$D$11/(1+D1626)^2
 +$E$11/(1+D1626)^3
 +$F$11/(1+D1626)^4
 +$G$11/(1+D1626)^5
 +$H$11/(1+D1626)^6
 +$I$11/(1+D1626)^7
 + ( $I$11*(1+F1626)/(D1626-F1626) )/(1+D1626)^7</f>
        <v>348.24267503811853</v>
      </c>
      <c r="H1626" s="7">
        <f ca="1">(G1626-$C$8)/$C$9</f>
        <v>1.9039613016628139</v>
      </c>
    </row>
    <row r="1627" spans="3:8" x14ac:dyDescent="0.35">
      <c r="C1627" s="8">
        <f t="shared" ca="1" si="100"/>
        <v>0.7761646116051073</v>
      </c>
      <c r="D1627" s="7">
        <f t="shared" ca="1" si="101"/>
        <v>9.6786688418567579E-2</v>
      </c>
      <c r="E1627" s="7">
        <f t="shared" ca="1" si="102"/>
        <v>0.74810191619855693</v>
      </c>
      <c r="F1627" s="7">
        <f t="shared" ca="1" si="103"/>
        <v>2.2902139987271614E-2</v>
      </c>
      <c r="G1627" s="7">
        <f ca="1">$C$11/(1+D1627)^1
 +$D$11/(1+D1627)^2
 +$E$11/(1+D1627)^3
 +$F$11/(1+D1627)^4
 +$G$11/(1+D1627)^5
 +$H$11/(1+D1627)^6
 +$I$11/(1+D1627)^7
 + ( $I$11*(1+F1627)/(D1627-F1627) )/(1+D1627)^7</f>
        <v>355.18795254714644</v>
      </c>
      <c r="H1627" s="7">
        <f ca="1">(G1627-$C$8)/$C$9</f>
        <v>1.9432267783081547</v>
      </c>
    </row>
    <row r="1628" spans="3:8" x14ac:dyDescent="0.35">
      <c r="C1628" s="8">
        <f t="shared" ca="1" si="100"/>
        <v>0.29348166964679256</v>
      </c>
      <c r="D1628" s="7">
        <f t="shared" ca="1" si="101"/>
        <v>8.5513058019306504E-2</v>
      </c>
      <c r="E1628" s="7">
        <f t="shared" ca="1" si="102"/>
        <v>0.31971488402189729</v>
      </c>
      <c r="F1628" s="7">
        <f t="shared" ca="1" si="103"/>
        <v>1.7996435256061257E-2</v>
      </c>
      <c r="G1628" s="7">
        <f ca="1">$C$11/(1+D1628)^1
 +$D$11/(1+D1628)^2
 +$E$11/(1+D1628)^3
 +$F$11/(1+D1628)^4
 +$G$11/(1+D1628)^5
 +$H$11/(1+D1628)^6
 +$I$11/(1+D1628)^7
 + ( $I$11*(1+F1628)/(D1628-F1628) )/(1+D1628)^7</f>
        <v>399.47871512162351</v>
      </c>
      <c r="H1628" s="7">
        <f ca="1">(G1628-$C$8)/$C$9</f>
        <v>2.1936268380914941</v>
      </c>
    </row>
    <row r="1629" spans="3:8" x14ac:dyDescent="0.35">
      <c r="C1629" s="8">
        <f t="shared" ca="1" si="100"/>
        <v>0.89845595559971336</v>
      </c>
      <c r="D1629" s="7">
        <f t="shared" ca="1" si="101"/>
        <v>0.10110031716114425</v>
      </c>
      <c r="E1629" s="7">
        <f t="shared" ca="1" si="102"/>
        <v>0.14848676024697383</v>
      </c>
      <c r="F1629" s="7">
        <f t="shared" ca="1" si="103"/>
        <v>1.5449527690487935E-2</v>
      </c>
      <c r="G1629" s="7">
        <f ca="1">$C$11/(1+D1629)^1
 +$D$11/(1+D1629)^2
 +$E$11/(1+D1629)^3
 +$F$11/(1+D1629)^4
 +$G$11/(1+D1629)^5
 +$H$11/(1+D1629)^6
 +$I$11/(1+D1629)^7
 + ( $I$11*(1+F1629)/(D1629-F1629) )/(1+D1629)^7</f>
        <v>315.09456639326544</v>
      </c>
      <c r="H1629" s="7">
        <f ca="1">(G1629-$C$8)/$C$9</f>
        <v>1.7165567977909624</v>
      </c>
    </row>
    <row r="1630" spans="3:8" x14ac:dyDescent="0.35">
      <c r="C1630" s="8">
        <f t="shared" ca="1" si="100"/>
        <v>0.9128972633025414</v>
      </c>
      <c r="D1630" s="7">
        <f t="shared" ca="1" si="101"/>
        <v>0.10175741941962241</v>
      </c>
      <c r="E1630" s="7">
        <f t="shared" ca="1" si="102"/>
        <v>0.55594091794778544</v>
      </c>
      <c r="F1630" s="7">
        <f t="shared" ca="1" si="103"/>
        <v>2.0575997855982686E-2</v>
      </c>
      <c r="G1630" s="7">
        <f ca="1">$C$11/(1+D1630)^1
 +$D$11/(1+D1630)^2
 +$E$11/(1+D1630)^3
 +$F$11/(1+D1630)^4
 +$G$11/(1+D1630)^5
 +$H$11/(1+D1630)^6
 +$I$11/(1+D1630)^7
 + ( $I$11*(1+F1630)/(D1630-F1630) )/(1+D1630)^7</f>
        <v>325.47310703616915</v>
      </c>
      <c r="H1630" s="7">
        <f ca="1">(G1630-$C$8)/$C$9</f>
        <v>1.7752324007019964</v>
      </c>
    </row>
    <row r="1631" spans="3:8" x14ac:dyDescent="0.35">
      <c r="C1631" s="8">
        <f t="shared" ca="1" si="100"/>
        <v>0.74157190630632575</v>
      </c>
      <c r="D1631" s="7">
        <f t="shared" ca="1" si="101"/>
        <v>9.5802327194886266E-2</v>
      </c>
      <c r="E1631" s="7">
        <f t="shared" ca="1" si="102"/>
        <v>0.65077003015432189</v>
      </c>
      <c r="F1631" s="7">
        <f t="shared" ca="1" si="103"/>
        <v>2.1642608423130122E-2</v>
      </c>
      <c r="G1631" s="7">
        <f ca="1">$C$11/(1+D1631)^1
 +$D$11/(1+D1631)^2
 +$E$11/(1+D1631)^3
 +$F$11/(1+D1631)^4
 +$G$11/(1+D1631)^5
 +$H$11/(1+D1631)^6
 +$I$11/(1+D1631)^7
 + ( $I$11*(1+F1631)/(D1631-F1631) )/(1+D1631)^7</f>
        <v>355.93740417358492</v>
      </c>
      <c r="H1631" s="7">
        <f ca="1">(G1631-$C$8)/$C$9</f>
        <v>1.9474638408728229</v>
      </c>
    </row>
    <row r="1632" spans="3:8" x14ac:dyDescent="0.35">
      <c r="C1632" s="8">
        <f t="shared" ca="1" si="100"/>
        <v>0.26215690888170839</v>
      </c>
      <c r="D1632" s="7">
        <f t="shared" ca="1" si="101"/>
        <v>8.4661809754699488E-2</v>
      </c>
      <c r="E1632" s="7">
        <f t="shared" ca="1" si="102"/>
        <v>0.67960933295115922</v>
      </c>
      <c r="F1632" s="7">
        <f t="shared" ca="1" si="103"/>
        <v>2.1995118151417338E-2</v>
      </c>
      <c r="G1632" s="7">
        <f ca="1">$C$11/(1+D1632)^1
 +$D$11/(1+D1632)^2
 +$E$11/(1+D1632)^3
 +$F$11/(1+D1632)^4
 +$G$11/(1+D1632)^5
 +$H$11/(1+D1632)^6
 +$I$11/(1+D1632)^7
 + ( $I$11*(1+F1632)/(D1632-F1632) )/(1+D1632)^7</f>
        <v>423.34481609518275</v>
      </c>
      <c r="H1632" s="7">
        <f ca="1">(G1632-$C$8)/$C$9</f>
        <v>2.3285550435051037</v>
      </c>
    </row>
    <row r="1633" spans="3:8" x14ac:dyDescent="0.35">
      <c r="C1633" s="8">
        <f t="shared" ca="1" si="100"/>
        <v>0.36042552839229247</v>
      </c>
      <c r="D1633" s="7">
        <f t="shared" ca="1" si="101"/>
        <v>8.7191536675983325E-2</v>
      </c>
      <c r="E1633" s="7">
        <f t="shared" ca="1" si="102"/>
        <v>0.90922281035537744</v>
      </c>
      <c r="F1633" s="7">
        <f t="shared" ca="1" si="103"/>
        <v>2.5739080154599886E-2</v>
      </c>
      <c r="G1633" s="7">
        <f ca="1">$C$11/(1+D1633)^1
 +$D$11/(1+D1633)^2
 +$E$11/(1+D1633)^3
 +$F$11/(1+D1633)^4
 +$G$11/(1+D1633)^5
 +$H$11/(1+D1633)^6
 +$I$11/(1+D1633)^7
 + ( $I$11*(1+F1633)/(D1633-F1633) )/(1+D1633)^7</f>
        <v>424.16024584548506</v>
      </c>
      <c r="H1633" s="7">
        <f ca="1">(G1633-$C$8)/$C$9</f>
        <v>2.3331651167202909</v>
      </c>
    </row>
    <row r="1634" spans="3:8" x14ac:dyDescent="0.35">
      <c r="C1634" s="8">
        <f t="shared" ca="1" si="100"/>
        <v>0.39080743072385016</v>
      </c>
      <c r="D1634" s="7">
        <f t="shared" ca="1" si="101"/>
        <v>8.7901455057998984E-2</v>
      </c>
      <c r="E1634" s="7">
        <f t="shared" ca="1" si="102"/>
        <v>0.56392547619356292</v>
      </c>
      <c r="F1634" s="7">
        <f t="shared" ca="1" si="103"/>
        <v>2.0661107947872646E-2</v>
      </c>
      <c r="G1634" s="7">
        <f ca="1">$C$11/(1+D1634)^1
 +$D$11/(1+D1634)^2
 +$E$11/(1+D1634)^3
 +$F$11/(1+D1634)^4
 +$G$11/(1+D1634)^5
 +$H$11/(1+D1634)^6
 +$I$11/(1+D1634)^7
 + ( $I$11*(1+F1634)/(D1634-F1634) )/(1+D1634)^7</f>
        <v>396.03242235886</v>
      </c>
      <c r="H1634" s="7">
        <f ca="1">(G1634-$C$8)/$C$9</f>
        <v>2.1741430481618047</v>
      </c>
    </row>
    <row r="1635" spans="3:8" x14ac:dyDescent="0.35">
      <c r="C1635" s="8">
        <f t="shared" ca="1" si="100"/>
        <v>7.3335460645757244E-2</v>
      </c>
      <c r="D1635" s="7">
        <f t="shared" ca="1" si="101"/>
        <v>7.775468102048827E-2</v>
      </c>
      <c r="E1635" s="7">
        <f t="shared" ca="1" si="102"/>
        <v>0.37654892444231347</v>
      </c>
      <c r="F1635" s="7">
        <f t="shared" ca="1" si="103"/>
        <v>1.8678121045967423E-2</v>
      </c>
      <c r="G1635" s="7">
        <f ca="1">$C$11/(1+D1635)^1
 +$D$11/(1+D1635)^2
 +$E$11/(1+D1635)^3
 +$F$11/(1+D1635)^4
 +$G$11/(1+D1635)^5
 +$H$11/(1+D1635)^6
 +$I$11/(1+D1635)^7
 + ( $I$11*(1+F1635)/(D1635-F1635) )/(1+D1635)^7</f>
        <v>457.51134797317377</v>
      </c>
      <c r="H1635" s="7">
        <f ca="1">(G1635-$C$8)/$C$9</f>
        <v>2.5217172544842477</v>
      </c>
    </row>
    <row r="1636" spans="3:8" x14ac:dyDescent="0.35">
      <c r="C1636" s="8">
        <f t="shared" ca="1" si="100"/>
        <v>0.62991559637371675</v>
      </c>
      <c r="D1636" s="7">
        <f t="shared" ca="1" si="101"/>
        <v>9.3009831230134857E-2</v>
      </c>
      <c r="E1636" s="7">
        <f t="shared" ca="1" si="102"/>
        <v>0.96184199591937292</v>
      </c>
      <c r="F1636" s="7">
        <f t="shared" ca="1" si="103"/>
        <v>2.7237464784636144E-2</v>
      </c>
      <c r="G1636" s="7">
        <f ca="1">$C$11/(1+D1636)^1
 +$D$11/(1+D1636)^2
 +$E$11/(1+D1636)^3
 +$F$11/(1+D1636)^4
 +$G$11/(1+D1636)^5
 +$H$11/(1+D1636)^6
 +$I$11/(1+D1636)^7
 + ( $I$11*(1+F1636)/(D1636-F1636) )/(1+D1636)^7</f>
        <v>392.51766506967596</v>
      </c>
      <c r="H1636" s="7">
        <f ca="1">(G1636-$C$8)/$C$9</f>
        <v>2.1542721905793529</v>
      </c>
    </row>
    <row r="1637" spans="3:8" x14ac:dyDescent="0.35">
      <c r="C1637" s="8">
        <f t="shared" ca="1" si="100"/>
        <v>0.81462679021371931</v>
      </c>
      <c r="D1637" s="7">
        <f t="shared" ca="1" si="101"/>
        <v>9.7975395905340629E-2</v>
      </c>
      <c r="E1637" s="7">
        <f t="shared" ca="1" si="102"/>
        <v>0.73187372646592952</v>
      </c>
      <c r="F1637" s="7">
        <f t="shared" ca="1" si="103"/>
        <v>2.2677073350987727E-2</v>
      </c>
      <c r="G1637" s="7">
        <f ca="1">$C$11/(1+D1637)^1
 +$D$11/(1+D1637)^2
 +$E$11/(1+D1637)^3
 +$F$11/(1+D1637)^4
 +$G$11/(1+D1637)^5
 +$H$11/(1+D1637)^6
 +$I$11/(1+D1637)^7
 + ( $I$11*(1+F1637)/(D1637-F1637) )/(1+D1637)^7</f>
        <v>348.61501437695733</v>
      </c>
      <c r="H1637" s="7">
        <f ca="1">(G1637-$C$8)/$C$9</f>
        <v>1.906066340891889</v>
      </c>
    </row>
    <row r="1638" spans="3:8" x14ac:dyDescent="0.35">
      <c r="C1638" s="8">
        <f t="shared" ca="1" si="100"/>
        <v>0.95137055864726616</v>
      </c>
      <c r="D1638" s="7">
        <f t="shared" ca="1" si="101"/>
        <v>0.10384118808087693</v>
      </c>
      <c r="E1638" s="7">
        <f t="shared" ca="1" si="102"/>
        <v>0.17500383616673876</v>
      </c>
      <c r="F1638" s="7">
        <f t="shared" ca="1" si="103"/>
        <v>1.5916144625797088E-2</v>
      </c>
      <c r="G1638" s="7">
        <f ca="1">$C$11/(1+D1638)^1
 +$D$11/(1+D1638)^2
 +$E$11/(1+D1638)^3
 +$F$11/(1+D1638)^4
 +$G$11/(1+D1638)^5
 +$H$11/(1+D1638)^6
 +$I$11/(1+D1638)^7
 + ( $I$11*(1+F1638)/(D1638-F1638) )/(1+D1638)^7</f>
        <v>305.84992028893646</v>
      </c>
      <c r="H1638" s="7">
        <f ca="1">(G1638-$C$8)/$C$9</f>
        <v>1.6642917248356877</v>
      </c>
    </row>
    <row r="1639" spans="3:8" x14ac:dyDescent="0.35">
      <c r="C1639" s="8">
        <f t="shared" ca="1" si="100"/>
        <v>0.22892087566488828</v>
      </c>
      <c r="D1639" s="7">
        <f t="shared" ca="1" si="101"/>
        <v>8.3700916686310023E-2</v>
      </c>
      <c r="E1639" s="7">
        <f t="shared" ca="1" si="102"/>
        <v>0.50024670281693628</v>
      </c>
      <c r="F1639" s="7">
        <f t="shared" ca="1" si="103"/>
        <v>2.0002467332555861E-2</v>
      </c>
      <c r="G1639" s="7">
        <f ca="1">$C$11/(1+D1639)^1
 +$D$11/(1+D1639)^2
 +$E$11/(1+D1639)^3
 +$F$11/(1+D1639)^4
 +$G$11/(1+D1639)^5
 +$H$11/(1+D1639)^6
 +$I$11/(1+D1639)^7
 + ( $I$11*(1+F1639)/(D1639-F1639) )/(1+D1639)^7</f>
        <v>420.31020646108345</v>
      </c>
      <c r="H1639" s="7">
        <f ca="1">(G1639-$C$8)/$C$9</f>
        <v>2.3113987249043615</v>
      </c>
    </row>
    <row r="1640" spans="3:8" x14ac:dyDescent="0.35">
      <c r="C1640" s="8">
        <f t="shared" ca="1" si="100"/>
        <v>0.89584008564345208</v>
      </c>
      <c r="D1640" s="7">
        <f t="shared" ca="1" si="101"/>
        <v>0.10098641396567895</v>
      </c>
      <c r="E1640" s="7">
        <f t="shared" ca="1" si="102"/>
        <v>0.27825249317251266</v>
      </c>
      <c r="F1640" s="7">
        <f t="shared" ca="1" si="103"/>
        <v>1.7459926181571942E-2</v>
      </c>
      <c r="G1640" s="7">
        <f ca="1">$C$11/(1+D1640)^1
 +$D$11/(1+D1640)^2
 +$E$11/(1+D1640)^3
 +$F$11/(1+D1640)^4
 +$G$11/(1+D1640)^5
 +$H$11/(1+D1640)^6
 +$I$11/(1+D1640)^7
 + ( $I$11*(1+F1640)/(D1640-F1640) )/(1+D1640)^7</f>
        <v>320.52107602941578</v>
      </c>
      <c r="H1640" s="7">
        <f ca="1">(G1640-$C$8)/$C$9</f>
        <v>1.7472358436760276</v>
      </c>
    </row>
    <row r="1641" spans="3:8" x14ac:dyDescent="0.35">
      <c r="C1641" s="8">
        <f t="shared" ca="1" si="100"/>
        <v>0.33220527532700594</v>
      </c>
      <c r="D1641" s="7">
        <f t="shared" ca="1" si="101"/>
        <v>8.6504797053225002E-2</v>
      </c>
      <c r="E1641" s="7">
        <f t="shared" ca="1" si="102"/>
        <v>1.8671668448692835E-2</v>
      </c>
      <c r="F1641" s="7">
        <f t="shared" ca="1" si="103"/>
        <v>1.1932442415633276E-2</v>
      </c>
      <c r="G1641" s="7">
        <f ca="1">$C$11/(1+D1641)^1
 +$D$11/(1+D1641)^2
 +$E$11/(1+D1641)^3
 +$F$11/(1+D1641)^4
 +$G$11/(1+D1641)^5
 +$H$11/(1+D1641)^6
 +$I$11/(1+D1641)^7
 + ( $I$11*(1+F1641)/(D1641-F1641) )/(1+D1641)^7</f>
        <v>370.68269361261378</v>
      </c>
      <c r="H1641" s="7">
        <f ca="1">(G1641-$C$8)/$C$9</f>
        <v>2.0308270783164506</v>
      </c>
    </row>
    <row r="1642" spans="3:8" x14ac:dyDescent="0.35">
      <c r="C1642" s="8">
        <f t="shared" ca="1" si="100"/>
        <v>0.13556975084810619</v>
      </c>
      <c r="D1642" s="7">
        <f t="shared" ca="1" si="101"/>
        <v>8.0543585523693881E-2</v>
      </c>
      <c r="E1642" s="7">
        <f t="shared" ca="1" si="102"/>
        <v>0.27932518049583321</v>
      </c>
      <c r="F1642" s="7">
        <f t="shared" ca="1" si="103"/>
        <v>1.7474291678759041E-2</v>
      </c>
      <c r="G1642" s="7">
        <f ca="1">$C$11/(1+D1642)^1
 +$D$11/(1+D1642)^2
 +$E$11/(1+D1642)^3
 +$F$11/(1+D1642)^4
 +$G$11/(1+D1642)^5
 +$H$11/(1+D1642)^6
 +$I$11/(1+D1642)^7
 + ( $I$11*(1+F1642)/(D1642-F1642) )/(1+D1642)^7</f>
        <v>429.98116791091894</v>
      </c>
      <c r="H1642" s="7">
        <f ca="1">(G1642-$C$8)/$C$9</f>
        <v>2.3660739931643993</v>
      </c>
    </row>
    <row r="1643" spans="3:8" x14ac:dyDescent="0.35">
      <c r="C1643" s="8">
        <f t="shared" ca="1" si="100"/>
        <v>0.14577605682120398</v>
      </c>
      <c r="D1643" s="7">
        <f t="shared" ca="1" si="101"/>
        <v>8.0933268797271349E-2</v>
      </c>
      <c r="E1643" s="7">
        <f t="shared" ca="1" si="102"/>
        <v>0.85398760342469149</v>
      </c>
      <c r="F1643" s="7">
        <f t="shared" ca="1" si="103"/>
        <v>2.4596068161508538E-2</v>
      </c>
      <c r="G1643" s="7">
        <f ca="1">$C$11/(1+D1643)^1
 +$D$11/(1+D1643)^2
 +$E$11/(1+D1643)^3
 +$F$11/(1+D1643)^4
 +$G$11/(1+D1643)^5
 +$H$11/(1+D1643)^6
 +$I$11/(1+D1643)^7
 + ( $I$11*(1+F1643)/(D1643-F1643) )/(1+D1643)^7</f>
        <v>466.6321339401909</v>
      </c>
      <c r="H1643" s="7">
        <f ca="1">(G1643-$C$8)/$C$9</f>
        <v>2.5732820779070043</v>
      </c>
    </row>
    <row r="1644" spans="3:8" x14ac:dyDescent="0.35">
      <c r="C1644" s="8">
        <f t="shared" ca="1" si="100"/>
        <v>0.60406785159055076</v>
      </c>
      <c r="D1644" s="7">
        <f t="shared" ca="1" si="101"/>
        <v>9.2426523515269657E-2</v>
      </c>
      <c r="E1644" s="7">
        <f t="shared" ca="1" si="102"/>
        <v>0.89301095285001797</v>
      </c>
      <c r="F1644" s="7">
        <f t="shared" ca="1" si="103"/>
        <v>2.5374223370071097E-2</v>
      </c>
      <c r="G1644" s="7">
        <f ca="1">$C$11/(1+D1644)^1
 +$D$11/(1+D1644)^2
 +$E$11/(1+D1644)^3
 +$F$11/(1+D1644)^4
 +$G$11/(1+D1644)^5
 +$H$11/(1+D1644)^6
 +$I$11/(1+D1644)^7
 + ( $I$11*(1+F1644)/(D1644-F1644) )/(1+D1644)^7</f>
        <v>388.23745417686155</v>
      </c>
      <c r="H1644" s="7">
        <f ca="1">(G1644-$C$8)/$C$9</f>
        <v>2.1300738024472046</v>
      </c>
    </row>
    <row r="1645" spans="3:8" x14ac:dyDescent="0.35">
      <c r="C1645" s="8">
        <f t="shared" ca="1" si="100"/>
        <v>0.62402789727249919</v>
      </c>
      <c r="D1645" s="7">
        <f t="shared" ca="1" si="101"/>
        <v>9.2875215618074172E-2</v>
      </c>
      <c r="E1645" s="7">
        <f t="shared" ca="1" si="102"/>
        <v>0.23758142327742882</v>
      </c>
      <c r="F1645" s="7">
        <f t="shared" ca="1" si="103"/>
        <v>1.6893205687884685E-2</v>
      </c>
      <c r="G1645" s="7">
        <f ca="1">$C$11/(1+D1645)^1
 +$D$11/(1+D1645)^2
 +$E$11/(1+D1645)^3
 +$F$11/(1+D1645)^4
 +$G$11/(1+D1645)^5
 +$H$11/(1+D1645)^6
 +$I$11/(1+D1645)^7
 + ( $I$11*(1+F1645)/(D1645-F1645) )/(1+D1645)^7</f>
        <v>354.94318088061323</v>
      </c>
      <c r="H1645" s="7">
        <f ca="1">(G1645-$C$8)/$C$9</f>
        <v>1.941842949347655</v>
      </c>
    </row>
    <row r="1646" spans="3:8" x14ac:dyDescent="0.35">
      <c r="C1646" s="8">
        <f t="shared" ca="1" si="100"/>
        <v>0.93836489420893843</v>
      </c>
      <c r="D1646" s="7">
        <f t="shared" ca="1" si="101"/>
        <v>0.10306635863942848</v>
      </c>
      <c r="E1646" s="7">
        <f t="shared" ca="1" si="102"/>
        <v>0.57080726956094219</v>
      </c>
      <c r="F1646" s="7">
        <f t="shared" ca="1" si="103"/>
        <v>2.0735090605526058E-2</v>
      </c>
      <c r="G1646" s="7">
        <f ca="1">$C$11/(1+D1646)^1
 +$D$11/(1+D1646)^2
 +$E$11/(1+D1646)^3
 +$F$11/(1+D1646)^4
 +$G$11/(1+D1646)^5
 +$H$11/(1+D1646)^6
 +$I$11/(1+D1646)^7
 + ( $I$11*(1+F1646)/(D1646-F1646) )/(1+D1646)^7</f>
        <v>320.47928248069928</v>
      </c>
      <c r="H1646" s="7">
        <f ca="1">(G1646-$C$8)/$C$9</f>
        <v>1.7469995617407239</v>
      </c>
    </row>
    <row r="1647" spans="3:8" x14ac:dyDescent="0.35">
      <c r="C1647" s="8">
        <f t="shared" ca="1" si="100"/>
        <v>0.41491043955458962</v>
      </c>
      <c r="D1647" s="7">
        <f t="shared" ca="1" si="101"/>
        <v>8.8445231373847383E-2</v>
      </c>
      <c r="E1647" s="7">
        <f t="shared" ca="1" si="102"/>
        <v>0.119989732693917</v>
      </c>
      <c r="F1647" s="7">
        <f t="shared" ca="1" si="103"/>
        <v>1.4898769900575388E-2</v>
      </c>
      <c r="G1647" s="7">
        <f ca="1">$C$11/(1+D1647)^1
 +$D$11/(1+D1647)^2
 +$E$11/(1+D1647)^3
 +$F$11/(1+D1647)^4
 +$G$11/(1+D1647)^5
 +$H$11/(1+D1647)^6
 +$I$11/(1+D1647)^7
 + ( $I$11*(1+F1647)/(D1647-F1647) )/(1+D1647)^7</f>
        <v>370.79480971202742</v>
      </c>
      <c r="H1647" s="7">
        <f ca="1">(G1647-$C$8)/$C$9</f>
        <v>2.0314609323384634</v>
      </c>
    </row>
    <row r="1648" spans="3:8" x14ac:dyDescent="0.35">
      <c r="C1648" s="8">
        <f t="shared" ca="1" si="100"/>
        <v>0.86847352053322668</v>
      </c>
      <c r="D1648" s="7">
        <f t="shared" ca="1" si="101"/>
        <v>9.9871295542662761E-2</v>
      </c>
      <c r="E1648" s="7">
        <f t="shared" ca="1" si="102"/>
        <v>8.0429139566728591E-2</v>
      </c>
      <c r="F1648" s="7">
        <f t="shared" ca="1" si="103"/>
        <v>1.4010714140068539E-2</v>
      </c>
      <c r="G1648" s="7">
        <f ca="1">$C$11/(1+D1648)^1
 +$D$11/(1+D1648)^2
 +$E$11/(1+D1648)^3
 +$F$11/(1+D1648)^4
 +$G$11/(1+D1648)^5
 +$H$11/(1+D1648)^6
 +$I$11/(1+D1648)^7
 + ( $I$11*(1+F1648)/(D1648-F1648) )/(1+D1648)^7</f>
        <v>316.39112908052385</v>
      </c>
      <c r="H1648" s="7">
        <f ca="1">(G1648-$C$8)/$C$9</f>
        <v>1.7238869803286061</v>
      </c>
    </row>
    <row r="1649" spans="3:8" x14ac:dyDescent="0.35">
      <c r="C1649" s="8">
        <f t="shared" ca="1" si="100"/>
        <v>4.5325021227880957E-2</v>
      </c>
      <c r="D1649" s="7">
        <f t="shared" ca="1" si="101"/>
        <v>7.6096434811171398E-2</v>
      </c>
      <c r="E1649" s="7">
        <f t="shared" ca="1" si="102"/>
        <v>4.4509305105662311E-2</v>
      </c>
      <c r="F1649" s="7">
        <f t="shared" ca="1" si="103"/>
        <v>1.2983598669582165E-2</v>
      </c>
      <c r="G1649" s="7">
        <f ca="1">$C$11/(1+D1649)^1
 +$D$11/(1+D1649)^2
 +$E$11/(1+D1649)^3
 +$F$11/(1+D1649)^4
 +$G$11/(1+D1649)^5
 +$H$11/(1+D1649)^6
 +$I$11/(1+D1649)^7
 + ( $I$11*(1+F1649)/(D1649-F1649) )/(1+D1649)^7</f>
        <v>439.30692030133974</v>
      </c>
      <c r="H1649" s="7">
        <f ca="1">(G1649-$C$8)/$C$9</f>
        <v>2.4187976045982573</v>
      </c>
    </row>
    <row r="1650" spans="3:8" x14ac:dyDescent="0.35">
      <c r="C1650" s="8">
        <f t="shared" ca="1" si="100"/>
        <v>0.22754449220486239</v>
      </c>
      <c r="D1650" s="7">
        <f t="shared" ca="1" si="101"/>
        <v>8.3659666306611855E-2</v>
      </c>
      <c r="E1650" s="7">
        <f t="shared" ca="1" si="102"/>
        <v>0.24762895357583881</v>
      </c>
      <c r="F1650" s="7">
        <f t="shared" ca="1" si="103"/>
        <v>1.7037456267371597E-2</v>
      </c>
      <c r="G1650" s="7">
        <f ca="1">$C$11/(1+D1650)^1
 +$D$11/(1+D1650)^2
 +$E$11/(1+D1650)^3
 +$F$11/(1+D1650)^4
 +$G$11/(1+D1650)^5
 +$H$11/(1+D1650)^6
 +$I$11/(1+D1650)^7
 + ( $I$11*(1+F1650)/(D1650-F1650) )/(1+D1650)^7</f>
        <v>406.97260086820319</v>
      </c>
      <c r="H1650" s="7">
        <f ca="1">(G1650-$C$8)/$C$9</f>
        <v>2.2359938990739665</v>
      </c>
    </row>
    <row r="1651" spans="3:8" x14ac:dyDescent="0.35">
      <c r="C1651" s="8">
        <f t="shared" ca="1" si="100"/>
        <v>0.62732101251491157</v>
      </c>
      <c r="D1651" s="7">
        <f t="shared" ca="1" si="101"/>
        <v>9.2950378003065021E-2</v>
      </c>
      <c r="E1651" s="7">
        <f t="shared" ca="1" si="102"/>
        <v>0.2453019176849317</v>
      </c>
      <c r="F1651" s="7">
        <f t="shared" ca="1" si="103"/>
        <v>1.7004311781823132E-2</v>
      </c>
      <c r="G1651" s="7">
        <f ca="1">$C$11/(1+D1651)^1
 +$D$11/(1+D1651)^2
 +$E$11/(1+D1651)^3
 +$F$11/(1+D1651)^4
 +$G$11/(1+D1651)^5
 +$H$11/(1+D1651)^6
 +$I$11/(1+D1651)^7
 + ( $I$11*(1+F1651)/(D1651-F1651) )/(1+D1651)^7</f>
        <v>354.9315877918317</v>
      </c>
      <c r="H1651" s="7">
        <f ca="1">(G1651-$C$8)/$C$9</f>
        <v>1.9417774072355929</v>
      </c>
    </row>
    <row r="1652" spans="3:8" x14ac:dyDescent="0.35">
      <c r="C1652" s="8">
        <f t="shared" ca="1" si="100"/>
        <v>3.6390475665301736E-2</v>
      </c>
      <c r="D1652" s="7">
        <f t="shared" ca="1" si="101"/>
        <v>7.5462617508626012E-2</v>
      </c>
      <c r="E1652" s="7">
        <f t="shared" ca="1" si="102"/>
        <v>0.49333835442893181</v>
      </c>
      <c r="F1652" s="7">
        <f t="shared" ca="1" si="103"/>
        <v>1.9933160166119658E-2</v>
      </c>
      <c r="G1652" s="7">
        <f ca="1">$C$11/(1+D1652)^1
 +$D$11/(1+D1652)^2
 +$E$11/(1+D1652)^3
 +$F$11/(1+D1652)^4
 +$G$11/(1+D1652)^5
 +$H$11/(1+D1652)^6
 +$I$11/(1+D1652)^7
 + ( $I$11*(1+F1652)/(D1652-F1652) )/(1+D1652)^7</f>
        <v>484.80995975423514</v>
      </c>
      <c r="H1652" s="7">
        <f ca="1">(G1652-$C$8)/$C$9</f>
        <v>2.6760513328484574</v>
      </c>
    </row>
    <row r="1653" spans="3:8" x14ac:dyDescent="0.35">
      <c r="C1653" s="8">
        <f t="shared" ca="1" si="100"/>
        <v>0.53282025765104113</v>
      </c>
      <c r="D1653" s="7">
        <f t="shared" ca="1" si="101"/>
        <v>9.0910730788419686E-2</v>
      </c>
      <c r="E1653" s="7">
        <f t="shared" ca="1" si="102"/>
        <v>0.35974889068724225</v>
      </c>
      <c r="F1653" s="7">
        <f t="shared" ca="1" si="103"/>
        <v>1.848232150637126E-2</v>
      </c>
      <c r="G1653" s="7">
        <f ca="1">$C$11/(1+D1653)^1
 +$D$11/(1+D1653)^2
 +$E$11/(1+D1653)^3
 +$F$11/(1+D1653)^4
 +$G$11/(1+D1653)^5
 +$H$11/(1+D1653)^6
 +$I$11/(1+D1653)^7
 + ( $I$11*(1+F1653)/(D1653-F1653) )/(1+D1653)^7</f>
        <v>370.36705317299703</v>
      </c>
      <c r="H1653" s="7">
        <f ca="1">(G1653-$C$8)/$C$9</f>
        <v>2.0290425891734341</v>
      </c>
    </row>
    <row r="1654" spans="3:8" x14ac:dyDescent="0.35">
      <c r="C1654" s="8">
        <f t="shared" ca="1" si="100"/>
        <v>0.94400596377057588</v>
      </c>
      <c r="D1654" s="7">
        <f t="shared" ca="1" si="101"/>
        <v>0.10339126727284642</v>
      </c>
      <c r="E1654" s="7">
        <f t="shared" ca="1" si="102"/>
        <v>0.54607795577982221</v>
      </c>
      <c r="F1654" s="7">
        <f t="shared" ca="1" si="103"/>
        <v>2.047191473358705E-2</v>
      </c>
      <c r="G1654" s="7">
        <f ca="1">$C$11/(1+D1654)^1
 +$D$11/(1+D1654)^2
 +$E$11/(1+D1654)^3
 +$F$11/(1+D1654)^4
 +$G$11/(1+D1654)^5
 +$H$11/(1+D1654)^6
 +$I$11/(1+D1654)^7
 + ( $I$11*(1+F1654)/(D1654-F1654) )/(1+D1654)^7</f>
        <v>318.48928024183351</v>
      </c>
      <c r="H1654" s="7">
        <f ca="1">(G1654-$C$8)/$C$9</f>
        <v>1.7357489837281406</v>
      </c>
    </row>
    <row r="1655" spans="3:8" x14ac:dyDescent="0.35">
      <c r="C1655" s="8">
        <f t="shared" ca="1" si="100"/>
        <v>0.97577678537557788</v>
      </c>
      <c r="D1655" s="7">
        <f t="shared" ca="1" si="101"/>
        <v>0.10565326474155036</v>
      </c>
      <c r="E1655" s="7">
        <f t="shared" ca="1" si="102"/>
        <v>9.1342451943751568E-2</v>
      </c>
      <c r="F1655" s="7">
        <f t="shared" ca="1" si="103"/>
        <v>1.4274165461087148E-2</v>
      </c>
      <c r="G1655" s="7">
        <f ca="1">$C$11/(1+D1655)^1
 +$D$11/(1+D1655)^2
 +$E$11/(1+D1655)^3
 +$F$11/(1+D1655)^4
 +$G$11/(1+D1655)^5
 +$H$11/(1+D1655)^6
 +$I$11/(1+D1655)^7
 + ( $I$11*(1+F1655)/(D1655-F1655) )/(1+D1655)^7</f>
        <v>295.88295814630305</v>
      </c>
      <c r="H1655" s="7">
        <f ca="1">(G1655-$C$8)/$C$9</f>
        <v>1.6079430017316996</v>
      </c>
    </row>
    <row r="1656" spans="3:8" x14ac:dyDescent="0.35">
      <c r="C1656" s="8">
        <f t="shared" ca="1" si="100"/>
        <v>0.60101435827180283</v>
      </c>
      <c r="D1656" s="7">
        <f t="shared" ca="1" si="101"/>
        <v>9.2358888908348383E-2</v>
      </c>
      <c r="E1656" s="7">
        <f t="shared" ca="1" si="102"/>
        <v>0.61164994937809714</v>
      </c>
      <c r="F1656" s="7">
        <f t="shared" ca="1" si="103"/>
        <v>2.1186940932662452E-2</v>
      </c>
      <c r="G1656" s="7">
        <f ca="1">$C$11/(1+D1656)^1
 +$D$11/(1+D1656)^2
 +$E$11/(1+D1656)^3
 +$F$11/(1+D1656)^4
 +$G$11/(1+D1656)^5
 +$H$11/(1+D1656)^6
 +$I$11/(1+D1656)^7
 + ( $I$11*(1+F1656)/(D1656-F1656) )/(1+D1656)^7</f>
        <v>372.33366497759545</v>
      </c>
      <c r="H1656" s="7">
        <f ca="1">(G1656-$C$8)/$C$9</f>
        <v>2.0401609281863151</v>
      </c>
    </row>
    <row r="1657" spans="3:8" x14ac:dyDescent="0.35">
      <c r="C1657" s="8">
        <f t="shared" ca="1" si="100"/>
        <v>0.61210914040842468</v>
      </c>
      <c r="D1657" s="7">
        <f t="shared" ca="1" si="101"/>
        <v>9.2605895525166321E-2</v>
      </c>
      <c r="E1657" s="7">
        <f t="shared" ca="1" si="102"/>
        <v>8.6722454289990036E-2</v>
      </c>
      <c r="F1657" s="7">
        <f t="shared" ca="1" si="103"/>
        <v>1.4164671758734175E-2</v>
      </c>
      <c r="G1657" s="7">
        <f ca="1">$C$11/(1+D1657)^1
 +$D$11/(1+D1657)^2
 +$E$11/(1+D1657)^3
 +$F$11/(1+D1657)^4
 +$G$11/(1+D1657)^5
 +$H$11/(1+D1657)^6
 +$I$11/(1+D1657)^7
 + ( $I$11*(1+F1657)/(D1657-F1657) )/(1+D1657)^7</f>
        <v>347.74658937026396</v>
      </c>
      <c r="H1657" s="7">
        <f ca="1">(G1657-$C$8)/$C$9</f>
        <v>1.9011566563221616</v>
      </c>
    </row>
    <row r="1658" spans="3:8" x14ac:dyDescent="0.35">
      <c r="C1658" s="8">
        <f t="shared" ca="1" si="100"/>
        <v>0.34429624094564359</v>
      </c>
      <c r="D1658" s="7">
        <f t="shared" ca="1" si="101"/>
        <v>8.6802467603760702E-2</v>
      </c>
      <c r="E1658" s="7">
        <f t="shared" ca="1" si="102"/>
        <v>0.80910121165306192</v>
      </c>
      <c r="F1658" s="7">
        <f t="shared" ca="1" si="103"/>
        <v>2.3821022926941094E-2</v>
      </c>
      <c r="G1658" s="7">
        <f ca="1">$C$11/(1+D1658)^1
 +$D$11/(1+D1658)^2
 +$E$11/(1+D1658)^3
 +$F$11/(1+D1658)^4
 +$G$11/(1+D1658)^5
 +$H$11/(1+D1658)^6
 +$I$11/(1+D1658)^7
 + ( $I$11*(1+F1658)/(D1658-F1658) )/(1+D1658)^7</f>
        <v>417.40506227849073</v>
      </c>
      <c r="H1658" s="7">
        <f ca="1">(G1658-$C$8)/$C$9</f>
        <v>2.2949743457626113</v>
      </c>
    </row>
    <row r="1659" spans="3:8" x14ac:dyDescent="0.35">
      <c r="C1659" s="8">
        <f t="shared" ca="1" si="100"/>
        <v>7.2790591760380496E-2</v>
      </c>
      <c r="D1659" s="7">
        <f t="shared" ca="1" si="101"/>
        <v>7.7725819389780737E-2</v>
      </c>
      <c r="E1659" s="7">
        <f t="shared" ca="1" si="102"/>
        <v>0.12313759476706743</v>
      </c>
      <c r="F1659" s="7">
        <f t="shared" ca="1" si="103"/>
        <v>1.4962612109908801E-2</v>
      </c>
      <c r="G1659" s="7">
        <f ca="1">$C$11/(1+D1659)^1
 +$D$11/(1+D1659)^2
 +$E$11/(1+D1659)^3
 +$F$11/(1+D1659)^4
 +$G$11/(1+D1659)^5
 +$H$11/(1+D1659)^6
 +$I$11/(1+D1659)^7
 + ( $I$11*(1+F1659)/(D1659-F1659) )/(1+D1659)^7</f>
        <v>437.55714810031679</v>
      </c>
      <c r="H1659" s="7">
        <f ca="1">(G1659-$C$8)/$C$9</f>
        <v>2.4089051792193397</v>
      </c>
    </row>
    <row r="1660" spans="3:8" x14ac:dyDescent="0.35">
      <c r="C1660" s="8">
        <f t="shared" ca="1" si="100"/>
        <v>4.2851938575598547E-2</v>
      </c>
      <c r="D1660" s="7">
        <f t="shared" ca="1" si="101"/>
        <v>7.592778117274844E-2</v>
      </c>
      <c r="E1660" s="7">
        <f t="shared" ca="1" si="102"/>
        <v>0.77455585784873804</v>
      </c>
      <c r="F1660" s="7">
        <f t="shared" ca="1" si="103"/>
        <v>2.3285178451347172E-2</v>
      </c>
      <c r="G1660" s="7">
        <f ca="1">$C$11/(1+D1660)^1
 +$D$11/(1+D1660)^2
 +$E$11/(1+D1660)^3
 +$F$11/(1+D1660)^4
 +$G$11/(1+D1660)^5
 +$H$11/(1+D1660)^6
 +$I$11/(1+D1660)^7
 + ( $I$11*(1+F1660)/(D1660-F1660) )/(1+D1660)^7</f>
        <v>503.76575945277244</v>
      </c>
      <c r="H1660" s="7">
        <f ca="1">(G1660-$C$8)/$C$9</f>
        <v>2.7832189023788581</v>
      </c>
    </row>
    <row r="1661" spans="3:8" x14ac:dyDescent="0.35">
      <c r="C1661" s="8">
        <f t="shared" ca="1" si="100"/>
        <v>0.10826979037034268</v>
      </c>
      <c r="D1661" s="7">
        <f t="shared" ca="1" si="101"/>
        <v>7.9422379110589914E-2</v>
      </c>
      <c r="E1661" s="7">
        <f t="shared" ca="1" si="102"/>
        <v>0.88869104236844698</v>
      </c>
      <c r="F1661" s="7">
        <f t="shared" ca="1" si="103"/>
        <v>2.5281759700236685E-2</v>
      </c>
      <c r="G1661" s="7">
        <f ca="1">$C$11/(1+D1661)^1
 +$D$11/(1+D1661)^2
 +$E$11/(1+D1661)^3
 +$F$11/(1+D1661)^4
 +$G$11/(1+D1661)^5
 +$H$11/(1+D1661)^6
 +$I$11/(1+D1661)^7
 + ( $I$11*(1+F1661)/(D1661-F1661) )/(1+D1661)^7</f>
        <v>484.51865434371393</v>
      </c>
      <c r="H1661" s="7">
        <f ca="1">(G1661-$C$8)/$C$9</f>
        <v>2.6744044230196398</v>
      </c>
    </row>
    <row r="1662" spans="3:8" x14ac:dyDescent="0.35">
      <c r="C1662" s="8">
        <f t="shared" ca="1" si="100"/>
        <v>0.33757954949553159</v>
      </c>
      <c r="D1662" s="7">
        <f t="shared" ca="1" si="101"/>
        <v>8.6637765192066396E-2</v>
      </c>
      <c r="E1662" s="7">
        <f t="shared" ca="1" si="102"/>
        <v>0.55316303069131767</v>
      </c>
      <c r="F1662" s="7">
        <f t="shared" ca="1" si="103"/>
        <v>2.0546567085881633E-2</v>
      </c>
      <c r="G1662" s="7">
        <f ca="1">$C$11/(1+D1662)^1
 +$D$11/(1+D1662)^2
 +$E$11/(1+D1662)^3
 +$F$11/(1+D1662)^4
 +$G$11/(1+D1662)^5
 +$H$11/(1+D1662)^6
 +$I$11/(1+D1662)^7
 + ( $I$11*(1+F1662)/(D1662-F1662) )/(1+D1662)^7</f>
        <v>403.42385814036356</v>
      </c>
      <c r="H1662" s="7">
        <f ca="1">(G1662-$C$8)/$C$9</f>
        <v>2.215930903100201</v>
      </c>
    </row>
    <row r="1663" spans="3:8" x14ac:dyDescent="0.35">
      <c r="C1663" s="8">
        <f t="shared" ca="1" si="100"/>
        <v>0.71958817344892945</v>
      </c>
      <c r="D1663" s="7">
        <f t="shared" ca="1" si="101"/>
        <v>9.5210773356600595E-2</v>
      </c>
      <c r="E1663" s="7">
        <f t="shared" ca="1" si="102"/>
        <v>0.973440976673282</v>
      </c>
      <c r="F1663" s="7">
        <f t="shared" ca="1" si="103"/>
        <v>2.7695264729878159E-2</v>
      </c>
      <c r="G1663" s="7">
        <f ca="1">$C$11/(1+D1663)^1
 +$D$11/(1+D1663)^2
 +$E$11/(1+D1663)^3
 +$F$11/(1+D1663)^4
 +$G$11/(1+D1663)^5
 +$H$11/(1+D1663)^6
 +$I$11/(1+D1663)^7
 + ( $I$11*(1+F1663)/(D1663-F1663) )/(1+D1663)^7</f>
        <v>381.19923351423716</v>
      </c>
      <c r="H1663" s="7">
        <f ca="1">(G1663-$C$8)/$C$9</f>
        <v>2.0902828669959135</v>
      </c>
    </row>
    <row r="1664" spans="3:8" x14ac:dyDescent="0.35">
      <c r="C1664" s="8">
        <f t="shared" ca="1" si="100"/>
        <v>0.25518174280432304</v>
      </c>
      <c r="D1664" s="7">
        <f t="shared" ca="1" si="101"/>
        <v>8.4465442582221426E-2</v>
      </c>
      <c r="E1664" s="7">
        <f t="shared" ca="1" si="102"/>
        <v>0.70016519450428838</v>
      </c>
      <c r="F1664" s="7">
        <f t="shared" ca="1" si="103"/>
        <v>2.2256166253131315E-2</v>
      </c>
      <c r="G1664" s="7">
        <f ca="1">$C$11/(1+D1664)^1
 +$D$11/(1+D1664)^2
 +$E$11/(1+D1664)^3
 +$F$11/(1+D1664)^4
 +$G$11/(1+D1664)^5
 +$H$11/(1+D1664)^6
 +$I$11/(1+D1664)^7
 + ( $I$11*(1+F1664)/(D1664-F1664) )/(1+D1664)^7</f>
        <v>426.02828916892349</v>
      </c>
      <c r="H1664" s="7">
        <f ca="1">(G1664-$C$8)/$C$9</f>
        <v>2.3437261938541583</v>
      </c>
    </row>
    <row r="1665" spans="3:8" x14ac:dyDescent="0.35">
      <c r="C1665" s="8">
        <f t="shared" ca="1" si="100"/>
        <v>0.65919051067089796</v>
      </c>
      <c r="D1665" s="7">
        <f t="shared" ca="1" si="101"/>
        <v>9.369566310220806E-2</v>
      </c>
      <c r="E1665" s="7">
        <f t="shared" ca="1" si="102"/>
        <v>0.42033994200355995</v>
      </c>
      <c r="F1665" s="7">
        <f t="shared" ca="1" si="103"/>
        <v>1.916885971103888E-2</v>
      </c>
      <c r="G1665" s="7">
        <f ca="1">$C$11/(1+D1665)^1
 +$D$11/(1+D1665)^2
 +$E$11/(1+D1665)^3
 +$F$11/(1+D1665)^4
 +$G$11/(1+D1665)^5
 +$H$11/(1+D1665)^6
 +$I$11/(1+D1665)^7
 + ( $I$11*(1+F1665)/(D1665-F1665) )/(1+D1665)^7</f>
        <v>358.29846565398981</v>
      </c>
      <c r="H1665" s="7">
        <f ca="1">(G1665-$C$8)/$C$9</f>
        <v>1.9608122210198429</v>
      </c>
    </row>
    <row r="1666" spans="3:8" x14ac:dyDescent="0.35">
      <c r="C1666" s="8">
        <f t="shared" ca="1" si="100"/>
        <v>0.74352135190744872</v>
      </c>
      <c r="D1666" s="7">
        <f t="shared" ca="1" si="101"/>
        <v>9.5855978453346799E-2</v>
      </c>
      <c r="E1666" s="7">
        <f t="shared" ca="1" si="102"/>
        <v>0.87674502346859295</v>
      </c>
      <c r="F1666" s="7">
        <f t="shared" ca="1" si="103"/>
        <v>2.5035023131344779E-2</v>
      </c>
      <c r="G1666" s="7">
        <f ca="1">$C$11/(1+D1666)^1
 +$D$11/(1+D1666)^2
 +$E$11/(1+D1666)^3
 +$F$11/(1+D1666)^4
 +$G$11/(1+D1666)^5
 +$H$11/(1+D1666)^6
 +$I$11/(1+D1666)^7
 + ( $I$11*(1+F1666)/(D1666-F1666) )/(1+D1666)^7</f>
        <v>367.4273761329448</v>
      </c>
      <c r="H1666" s="7">
        <f ca="1">(G1666-$C$8)/$C$9</f>
        <v>2.0124229767805564</v>
      </c>
    </row>
    <row r="1667" spans="3:8" x14ac:dyDescent="0.35">
      <c r="C1667" s="8">
        <f t="shared" ca="1" si="100"/>
        <v>0.21427042391167905</v>
      </c>
      <c r="D1667" s="7">
        <f t="shared" ca="1" si="101"/>
        <v>8.3255253585185651E-2</v>
      </c>
      <c r="E1667" s="7">
        <f t="shared" ca="1" si="102"/>
        <v>0.61452777985523155</v>
      </c>
      <c r="F1667" s="7">
        <f t="shared" ca="1" si="103"/>
        <v>2.1219655813753444E-2</v>
      </c>
      <c r="G1667" s="7">
        <f ca="1">$C$11/(1+D1667)^1
 +$D$11/(1+D1667)^2
 +$E$11/(1+D1667)^3
 +$F$11/(1+D1667)^4
 +$G$11/(1+D1667)^5
 +$H$11/(1+D1667)^6
 +$I$11/(1+D1667)^7
 + ( $I$11*(1+F1667)/(D1667-F1667) )/(1+D1667)^7</f>
        <v>429.44606497249214</v>
      </c>
      <c r="H1667" s="7">
        <f ca="1">(G1667-$C$8)/$C$9</f>
        <v>2.3630487617169389</v>
      </c>
    </row>
    <row r="1668" spans="3:8" x14ac:dyDescent="0.35">
      <c r="C1668" s="8">
        <f t="shared" ca="1" si="100"/>
        <v>0.76004136309697057</v>
      </c>
      <c r="D1668" s="7">
        <f t="shared" ca="1" si="101"/>
        <v>9.6319073979281855E-2</v>
      </c>
      <c r="E1668" s="7">
        <f t="shared" ca="1" si="102"/>
        <v>0.48707900645326774</v>
      </c>
      <c r="F1668" s="7">
        <f t="shared" ca="1" si="103"/>
        <v>1.9869944340808288E-2</v>
      </c>
      <c r="G1668" s="7">
        <f ca="1">$C$11/(1+D1668)^1
 +$D$11/(1+D1668)^2
 +$E$11/(1+D1668)^3
 +$F$11/(1+D1668)^4
 +$G$11/(1+D1668)^5
 +$H$11/(1+D1668)^6
 +$I$11/(1+D1668)^7
 + ( $I$11*(1+F1668)/(D1668-F1668) )/(1+D1668)^7</f>
        <v>347.72720171629271</v>
      </c>
      <c r="H1668" s="7">
        <f ca="1">(G1668-$C$8)/$C$9</f>
        <v>1.9010470472427221</v>
      </c>
    </row>
    <row r="1669" spans="3:8" x14ac:dyDescent="0.35">
      <c r="C1669" s="8">
        <f t="shared" ca="1" si="100"/>
        <v>0.79951543922151502</v>
      </c>
      <c r="D1669" s="7">
        <f t="shared" ca="1" si="101"/>
        <v>9.7494882751160694E-2</v>
      </c>
      <c r="E1669" s="7">
        <f t="shared" ca="1" si="102"/>
        <v>0.77801856946985715</v>
      </c>
      <c r="F1669" s="7">
        <f t="shared" ca="1" si="103"/>
        <v>2.3336946187668257E-2</v>
      </c>
      <c r="G1669" s="7">
        <f ca="1">$C$11/(1+D1669)^1
 +$D$11/(1+D1669)^2
 +$E$11/(1+D1669)^3
 +$F$11/(1+D1669)^4
 +$G$11/(1+D1669)^5
 +$H$11/(1+D1669)^6
 +$I$11/(1+D1669)^7
 + ( $I$11*(1+F1669)/(D1669-F1669) )/(1+D1669)^7</f>
        <v>353.09565068860405</v>
      </c>
      <c r="H1669" s="7">
        <f ca="1">(G1669-$C$8)/$C$9</f>
        <v>1.9313978442367934</v>
      </c>
    </row>
    <row r="1670" spans="3:8" x14ac:dyDescent="0.35">
      <c r="C1670" s="8">
        <f t="shared" ca="1" si="100"/>
        <v>0.59362658021285575</v>
      </c>
      <c r="D1670" s="7">
        <f t="shared" ca="1" si="101"/>
        <v>9.2196313094362381E-2</v>
      </c>
      <c r="E1670" s="7">
        <f t="shared" ca="1" si="102"/>
        <v>0.3616857829575334</v>
      </c>
      <c r="F1670" s="7">
        <f t="shared" ca="1" si="103"/>
        <v>1.8505125313098371E-2</v>
      </c>
      <c r="G1670" s="7">
        <f ca="1">$C$11/(1+D1670)^1
 +$D$11/(1+D1670)^2
 +$E$11/(1+D1670)^3
 +$F$11/(1+D1670)^4
 +$G$11/(1+D1670)^5
 +$H$11/(1+D1670)^6
 +$I$11/(1+D1670)^7
 + ( $I$11*(1+F1670)/(D1670-F1670) )/(1+D1670)^7</f>
        <v>363.69622558228076</v>
      </c>
      <c r="H1670" s="7">
        <f ca="1">(G1670-$C$8)/$C$9</f>
        <v>1.9913287289816868</v>
      </c>
    </row>
    <row r="1671" spans="3:8" x14ac:dyDescent="0.35">
      <c r="C1671" s="8">
        <f t="shared" ca="1" si="100"/>
        <v>7.5937980118994552E-2</v>
      </c>
      <c r="D1671" s="7">
        <f t="shared" ca="1" si="101"/>
        <v>7.7891080008311631E-2</v>
      </c>
      <c r="E1671" s="7">
        <f t="shared" ca="1" si="102"/>
        <v>2.3439671903245363E-2</v>
      </c>
      <c r="F1671" s="7">
        <f t="shared" ca="1" si="103"/>
        <v>1.2165163823051058E-2</v>
      </c>
      <c r="G1671" s="7">
        <f ca="1">$C$11/(1+D1671)^1
 +$D$11/(1+D1671)^2
 +$E$11/(1+D1671)^3
 +$F$11/(1+D1671)^4
 +$G$11/(1+D1671)^5
 +$H$11/(1+D1671)^6
 +$I$11/(1+D1671)^7
 + ( $I$11*(1+F1671)/(D1671-F1671) )/(1+D1671)^7</f>
        <v>422.75213204289241</v>
      </c>
      <c r="H1671" s="7">
        <f ca="1">(G1671-$C$8)/$C$9</f>
        <v>2.325204274326619</v>
      </c>
    </row>
    <row r="1672" spans="3:8" x14ac:dyDescent="0.35">
      <c r="C1672" s="8">
        <f t="shared" ca="1" si="100"/>
        <v>0.55944331560382399</v>
      </c>
      <c r="D1672" s="7">
        <f t="shared" ca="1" si="101"/>
        <v>9.1462626566068822E-2</v>
      </c>
      <c r="E1672" s="7">
        <f t="shared" ca="1" si="102"/>
        <v>8.3946887836295003E-2</v>
      </c>
      <c r="F1672" s="7">
        <f t="shared" ca="1" si="103"/>
        <v>1.4097484297377966E-2</v>
      </c>
      <c r="G1672" s="7">
        <f ca="1">$C$11/(1+D1672)^1
 +$D$11/(1+D1672)^2
 +$E$11/(1+D1672)^3
 +$F$11/(1+D1672)^4
 +$G$11/(1+D1672)^5
 +$H$11/(1+D1672)^6
 +$I$11/(1+D1672)^7
 + ( $I$11*(1+F1672)/(D1672-F1672) )/(1+D1672)^7</f>
        <v>352.94777831686451</v>
      </c>
      <c r="H1672" s="7">
        <f ca="1">(G1672-$C$8)/$C$9</f>
        <v>1.9305618403260092</v>
      </c>
    </row>
    <row r="1673" spans="3:8" x14ac:dyDescent="0.35">
      <c r="C1673" s="8">
        <f t="shared" ca="1" si="100"/>
        <v>0.74226541227509824</v>
      </c>
      <c r="D1673" s="7">
        <f t="shared" ca="1" si="101"/>
        <v>9.5821390109555052E-2</v>
      </c>
      <c r="E1673" s="7">
        <f t="shared" ca="1" si="102"/>
        <v>0.62774221815484144</v>
      </c>
      <c r="F1673" s="7">
        <f t="shared" ca="1" si="103"/>
        <v>2.1371468469720253E-2</v>
      </c>
      <c r="G1673" s="7">
        <f ca="1">$C$11/(1+D1673)^1
 +$D$11/(1+D1673)^2
 +$E$11/(1+D1673)^3
 +$F$11/(1+D1673)^4
 +$G$11/(1+D1673)^5
 +$H$11/(1+D1673)^6
 +$I$11/(1+D1673)^7
 + ( $I$11*(1+F1673)/(D1673-F1673) )/(1+D1673)^7</f>
        <v>354.94746782116249</v>
      </c>
      <c r="H1673" s="7">
        <f ca="1">(G1673-$C$8)/$C$9</f>
        <v>1.9418671857822392</v>
      </c>
    </row>
    <row r="1674" spans="3:8" x14ac:dyDescent="0.35">
      <c r="C1674" s="8">
        <f t="shared" ca="1" si="100"/>
        <v>0.97317826579869504</v>
      </c>
      <c r="D1674" s="7">
        <f t="shared" ca="1" si="101"/>
        <v>0.10542605720663038</v>
      </c>
      <c r="E1674" s="7">
        <f t="shared" ca="1" si="102"/>
        <v>0.55255537394307652</v>
      </c>
      <c r="F1674" s="7">
        <f t="shared" ca="1" si="103"/>
        <v>2.0540141374661845E-2</v>
      </c>
      <c r="G1674" s="7">
        <f ca="1">$C$11/(1+D1674)^1
 +$D$11/(1+D1674)^2
 +$E$11/(1+D1674)^3
 +$F$11/(1+D1674)^4
 +$G$11/(1+D1674)^5
 +$H$11/(1+D1674)^6
 +$I$11/(1+D1674)^7
 + ( $I$11*(1+F1674)/(D1674-F1674) )/(1+D1674)^7</f>
        <v>310.6653640535726</v>
      </c>
      <c r="H1674" s="7">
        <f ca="1">(G1674-$C$8)/$C$9</f>
        <v>1.6915160790002972</v>
      </c>
    </row>
    <row r="1675" spans="3:8" x14ac:dyDescent="0.35">
      <c r="C1675" s="8">
        <f t="shared" ca="1" si="100"/>
        <v>0.68933012281192074</v>
      </c>
      <c r="D1675" s="7">
        <f t="shared" ca="1" si="101"/>
        <v>9.4433288587286598E-2</v>
      </c>
      <c r="E1675" s="7">
        <f t="shared" ca="1" si="102"/>
        <v>0.41097288197074999</v>
      </c>
      <c r="F1675" s="7">
        <f t="shared" ca="1" si="103"/>
        <v>1.9066122456383984E-2</v>
      </c>
      <c r="G1675" s="7">
        <f ca="1">$C$11/(1+D1675)^1
 +$D$11/(1+D1675)^2
 +$E$11/(1+D1675)^3
 +$F$11/(1+D1675)^4
 +$G$11/(1+D1675)^5
 +$H$11/(1+D1675)^6
 +$I$11/(1+D1675)^7
 + ( $I$11*(1+F1675)/(D1675-F1675) )/(1+D1675)^7</f>
        <v>354.29593697400929</v>
      </c>
      <c r="H1675" s="7">
        <f ca="1">(G1675-$C$8)/$C$9</f>
        <v>1.938183723281373</v>
      </c>
    </row>
    <row r="1676" spans="3:8" x14ac:dyDescent="0.35">
      <c r="C1676" s="8">
        <f t="shared" ca="1" si="100"/>
        <v>0.97692145886560078</v>
      </c>
      <c r="D1676" s="7">
        <f t="shared" ca="1" si="101"/>
        <v>0.10575721057736406</v>
      </c>
      <c r="E1676" s="7">
        <f t="shared" ca="1" si="102"/>
        <v>0.53442485718070387</v>
      </c>
      <c r="F1676" s="7">
        <f t="shared" ca="1" si="103"/>
        <v>2.0350387128808781E-2</v>
      </c>
      <c r="G1676" s="7">
        <f ca="1">$C$11/(1+D1676)^1
 +$D$11/(1+D1676)^2
 +$E$11/(1+D1676)^3
 +$F$11/(1+D1676)^4
 +$G$11/(1+D1676)^5
 +$H$11/(1+D1676)^6
 +$I$11/(1+D1676)^7
 + ( $I$11*(1+F1676)/(D1676-F1676) )/(1+D1676)^7</f>
        <v>308.95024472358102</v>
      </c>
      <c r="H1676" s="7">
        <f ca="1">(G1676-$C$8)/$C$9</f>
        <v>1.6818195653752883</v>
      </c>
    </row>
    <row r="1677" spans="3:8" x14ac:dyDescent="0.35">
      <c r="C1677" s="8">
        <f t="shared" ca="1" si="100"/>
        <v>0.93438413028171097</v>
      </c>
      <c r="D1677" s="7">
        <f t="shared" ca="1" si="101"/>
        <v>0.10284595370575048</v>
      </c>
      <c r="E1677" s="7">
        <f t="shared" ca="1" si="102"/>
        <v>0.40244574019748058</v>
      </c>
      <c r="F1677" s="7">
        <f t="shared" ca="1" si="103"/>
        <v>1.8971574445965221E-2</v>
      </c>
      <c r="G1677" s="7">
        <f ca="1">$C$11/(1+D1677)^1
 +$D$11/(1+D1677)^2
 +$E$11/(1+D1677)^3
 +$F$11/(1+D1677)^4
 +$G$11/(1+D1677)^5
 +$H$11/(1+D1677)^6
 +$I$11/(1+D1677)^7
 + ( $I$11*(1+F1677)/(D1677-F1677) )/(1+D1677)^7</f>
        <v>316.88966766811058</v>
      </c>
      <c r="H1677" s="7">
        <f ca="1">(G1677-$C$8)/$C$9</f>
        <v>1.7267054933746639</v>
      </c>
    </row>
    <row r="1678" spans="3:8" x14ac:dyDescent="0.35">
      <c r="C1678" s="8">
        <f t="shared" ca="1" si="100"/>
        <v>0.21620973946720523</v>
      </c>
      <c r="D1678" s="7">
        <f t="shared" ca="1" si="101"/>
        <v>8.3315103693291634E-2</v>
      </c>
      <c r="E1678" s="7">
        <f t="shared" ca="1" si="102"/>
        <v>0.51780573199651159</v>
      </c>
      <c r="F1678" s="7">
        <f t="shared" ca="1" si="103"/>
        <v>2.0179671410757292E-2</v>
      </c>
      <c r="G1678" s="7">
        <f ca="1">$C$11/(1+D1678)^1
 +$D$11/(1+D1678)^2
 +$E$11/(1+D1678)^3
 +$F$11/(1+D1678)^4
 +$G$11/(1+D1678)^5
 +$H$11/(1+D1678)^6
 +$I$11/(1+D1678)^7
 + ( $I$11*(1+F1678)/(D1678-F1678) )/(1+D1678)^7</f>
        <v>423.83845565919188</v>
      </c>
      <c r="H1678" s="7">
        <f ca="1">(G1678-$C$8)/$C$9</f>
        <v>2.3313458596743093</v>
      </c>
    </row>
    <row r="1679" spans="3:8" x14ac:dyDescent="0.35">
      <c r="C1679" s="8">
        <f t="shared" ca="1" si="100"/>
        <v>0.51303891472950047</v>
      </c>
      <c r="D1679" s="7">
        <f t="shared" ca="1" si="101"/>
        <v>9.0510781274997454E-2</v>
      </c>
      <c r="E1679" s="7">
        <f t="shared" ca="1" si="102"/>
        <v>0.31416984073483889</v>
      </c>
      <c r="F1679" s="7">
        <f t="shared" ca="1" si="103"/>
        <v>1.7926788009463089E-2</v>
      </c>
      <c r="G1679" s="7">
        <f ca="1">$C$11/(1+D1679)^1
 +$D$11/(1+D1679)^2
 +$E$11/(1+D1679)^3
 +$F$11/(1+D1679)^4
 +$G$11/(1+D1679)^5
 +$H$11/(1+D1679)^6
 +$I$11/(1+D1679)^7
 + ( $I$11*(1+F1679)/(D1679-F1679) )/(1+D1679)^7</f>
        <v>370.52278330523092</v>
      </c>
      <c r="H1679" s="7">
        <f ca="1">(G1679-$C$8)/$C$9</f>
        <v>2.0299230173294376</v>
      </c>
    </row>
    <row r="1680" spans="3:8" x14ac:dyDescent="0.35">
      <c r="C1680" s="8">
        <f t="shared" ca="1" si="100"/>
        <v>0.42571634777171796</v>
      </c>
      <c r="D1680" s="7">
        <f t="shared" ca="1" si="101"/>
        <v>8.8683880891635147E-2</v>
      </c>
      <c r="E1680" s="7">
        <f t="shared" ca="1" si="102"/>
        <v>0.15844509023358733</v>
      </c>
      <c r="F1680" s="7">
        <f t="shared" ca="1" si="103"/>
        <v>1.5629299960627206E-2</v>
      </c>
      <c r="G1680" s="7">
        <f ca="1">$C$11/(1+D1680)^1
 +$D$11/(1+D1680)^2
 +$E$11/(1+D1680)^3
 +$F$11/(1+D1680)^4
 +$G$11/(1+D1680)^5
 +$H$11/(1+D1680)^6
 +$I$11/(1+D1680)^7
 + ( $I$11*(1+F1680)/(D1680-F1680) )/(1+D1680)^7</f>
        <v>372.10500182391206</v>
      </c>
      <c r="H1680" s="7">
        <f ca="1">(G1680-$C$8)/$C$9</f>
        <v>2.0388681695155588</v>
      </c>
    </row>
    <row r="1681" spans="3:8" x14ac:dyDescent="0.35">
      <c r="C1681" s="8">
        <f t="shared" ref="C1681:C1744" ca="1" si="104">RAND()</f>
        <v>0.58341177837792835</v>
      </c>
      <c r="D1681" s="7">
        <f t="shared" ref="D1681:D1744" ca="1" si="105">IF(C1681&lt;(0.0905-0.07)/(0.11-0.07),
 0.07+SQRT(C1681*(0.11-0.07)*(0.0905-0.07)),
 0.11-SQRT((1-C1681)*(0.11-0.07)*(0.11-0.0905))
)</f>
        <v>9.1973940728345097E-2</v>
      </c>
      <c r="E1681" s="7">
        <f t="shared" ref="E1681:E1744" ca="1" si="106">RAND()</f>
        <v>0.27810743171268137</v>
      </c>
      <c r="F1681" s="7">
        <f t="shared" ref="F1681:F1744" ca="1" si="107">MIN(
 IF(E1681&lt;(0.02-0.01)/(0.03-0.01),
   0.01+SQRT(E1681*(0.03-0.01)*(0.02-0.01)),
   0.03-SQRT((1-E1681)*(0.03-0.01)*(0.03-0.02))
 ),
 D1681-0.005
)</f>
        <v>1.7457981385236642E-2</v>
      </c>
      <c r="G1681" s="7">
        <f ca="1">$C$11/(1+D1681)^1
 +$D$11/(1+D1681)^2
 +$E$11/(1+D1681)^3
 +$F$11/(1+D1681)^4
 +$G$11/(1+D1681)^5
 +$H$11/(1+D1681)^6
 +$I$11/(1+D1681)^7
 + ( $I$11*(1+F1681)/(D1681-F1681) )/(1+D1681)^7</f>
        <v>361.2877347203306</v>
      </c>
      <c r="H1681" s="7">
        <f ca="1">(G1681-$C$8)/$C$9</f>
        <v>1.9777122044342526</v>
      </c>
    </row>
    <row r="1682" spans="3:8" x14ac:dyDescent="0.35">
      <c r="C1682" s="8">
        <f t="shared" ca="1" si="104"/>
        <v>9.5293812820975932E-2</v>
      </c>
      <c r="D1682" s="7">
        <f t="shared" ca="1" si="105"/>
        <v>7.8839735658559049E-2</v>
      </c>
      <c r="E1682" s="7">
        <f t="shared" ca="1" si="106"/>
        <v>0.22962283636151615</v>
      </c>
      <c r="F1682" s="7">
        <f t="shared" ca="1" si="107"/>
        <v>1.6776766727009514E-2</v>
      </c>
      <c r="G1682" s="7">
        <f ca="1">$C$11/(1+D1682)^1
 +$D$11/(1+D1682)^2
 +$E$11/(1+D1682)^3
 +$F$11/(1+D1682)^4
 +$G$11/(1+D1682)^5
 +$H$11/(1+D1682)^6
 +$I$11/(1+D1682)^7
 + ( $I$11*(1+F1682)/(D1682-F1682) )/(1+D1682)^7</f>
        <v>438.75269473874596</v>
      </c>
      <c r="H1682" s="7">
        <f ca="1">(G1682-$C$8)/$C$9</f>
        <v>2.4156642624307212</v>
      </c>
    </row>
    <row r="1683" spans="3:8" x14ac:dyDescent="0.35">
      <c r="C1683" s="8">
        <f t="shared" ca="1" si="104"/>
        <v>0.82100509246054421</v>
      </c>
      <c r="D1683" s="7">
        <f t="shared" ca="1" si="105"/>
        <v>9.8184077358040314E-2</v>
      </c>
      <c r="E1683" s="7">
        <f t="shared" ca="1" si="106"/>
        <v>0.2314579238932708</v>
      </c>
      <c r="F1683" s="7">
        <f t="shared" ca="1" si="107"/>
        <v>1.6803791941164437E-2</v>
      </c>
      <c r="G1683" s="7">
        <f ca="1">$C$11/(1+D1683)^1
 +$D$11/(1+D1683)^2
 +$E$11/(1+D1683)^3
 +$F$11/(1+D1683)^4
 +$G$11/(1+D1683)^5
 +$H$11/(1+D1683)^6
 +$I$11/(1+D1683)^7
 + ( $I$11*(1+F1683)/(D1683-F1683) )/(1+D1683)^7</f>
        <v>330.41910275280793</v>
      </c>
      <c r="H1683" s="7">
        <f ca="1">(G1683-$C$8)/$C$9</f>
        <v>1.8031948369109447</v>
      </c>
    </row>
    <row r="1684" spans="3:8" x14ac:dyDescent="0.35">
      <c r="C1684" s="8">
        <f t="shared" ca="1" si="104"/>
        <v>0.5726969010270816</v>
      </c>
      <c r="D1684" s="7">
        <f t="shared" ca="1" si="105"/>
        <v>9.1743592434466295E-2</v>
      </c>
      <c r="E1684" s="7">
        <f t="shared" ca="1" si="106"/>
        <v>0.69538379045908805</v>
      </c>
      <c r="F1684" s="7">
        <f t="shared" ca="1" si="107"/>
        <v>2.2194665804196313E-2</v>
      </c>
      <c r="G1684" s="7">
        <f ca="1">$C$11/(1+D1684)^1
 +$D$11/(1+D1684)^2
 +$E$11/(1+D1684)^3
 +$F$11/(1+D1684)^4
 +$G$11/(1+D1684)^5
 +$H$11/(1+D1684)^6
 +$I$11/(1+D1684)^7
 + ( $I$11*(1+F1684)/(D1684-F1684) )/(1+D1684)^7</f>
        <v>379.54320120073635</v>
      </c>
      <c r="H1684" s="7">
        <f ca="1">(G1684-$C$8)/$C$9</f>
        <v>2.0809204047983738</v>
      </c>
    </row>
    <row r="1685" spans="3:8" x14ac:dyDescent="0.35">
      <c r="C1685" s="8">
        <f t="shared" ca="1" si="104"/>
        <v>0.47838665777289024</v>
      </c>
      <c r="D1685" s="7">
        <f t="shared" ca="1" si="105"/>
        <v>8.9805985443137393E-2</v>
      </c>
      <c r="E1685" s="7">
        <f t="shared" ca="1" si="106"/>
        <v>0.1445590913359126</v>
      </c>
      <c r="F1685" s="7">
        <f t="shared" ca="1" si="107"/>
        <v>1.5376971105295482E-2</v>
      </c>
      <c r="G1685" s="7">
        <f ca="1">$C$11/(1+D1685)^1
 +$D$11/(1+D1685)^2
 +$E$11/(1+D1685)^3
 +$F$11/(1+D1685)^4
 +$G$11/(1+D1685)^5
 +$H$11/(1+D1685)^6
 +$I$11/(1+D1685)^7
 + ( $I$11*(1+F1685)/(D1685-F1685) )/(1+D1685)^7</f>
        <v>365.34598544408829</v>
      </c>
      <c r="H1685" s="7">
        <f ca="1">(G1685-$C$8)/$C$9</f>
        <v>2.0006557295572605</v>
      </c>
    </row>
    <row r="1686" spans="3:8" x14ac:dyDescent="0.35">
      <c r="C1686" s="8">
        <f t="shared" ca="1" si="104"/>
        <v>0.51016953021226297</v>
      </c>
      <c r="D1686" s="7">
        <f t="shared" ca="1" si="105"/>
        <v>9.0453337497192379E-2</v>
      </c>
      <c r="E1686" s="7">
        <f t="shared" ca="1" si="106"/>
        <v>0.55255490422882847</v>
      </c>
      <c r="F1686" s="7">
        <f t="shared" ca="1" si="107"/>
        <v>2.0540136409322052E-2</v>
      </c>
      <c r="G1686" s="7">
        <f ca="1">$C$11/(1+D1686)^1
 +$D$11/(1+D1686)^2
 +$E$11/(1+D1686)^3
 +$F$11/(1+D1686)^4
 +$G$11/(1+D1686)^5
 +$H$11/(1+D1686)^6
 +$I$11/(1+D1686)^7
 + ( $I$11*(1+F1686)/(D1686-F1686) )/(1+D1686)^7</f>
        <v>380.50121659649983</v>
      </c>
      <c r="H1686" s="7">
        <f ca="1">(G1686-$C$8)/$C$9</f>
        <v>2.0863365931507225</v>
      </c>
    </row>
    <row r="1687" spans="3:8" x14ac:dyDescent="0.35">
      <c r="C1687" s="8">
        <f t="shared" ca="1" si="104"/>
        <v>0.99976084915033081</v>
      </c>
      <c r="D1687" s="7">
        <f t="shared" ca="1" si="105"/>
        <v>0.10956809993894193</v>
      </c>
      <c r="E1687" s="7">
        <f t="shared" ca="1" si="106"/>
        <v>4.3118272027299565E-2</v>
      </c>
      <c r="F1687" s="7">
        <f t="shared" ca="1" si="107"/>
        <v>1.2936605932953878E-2</v>
      </c>
      <c r="G1687" s="7">
        <f ca="1">$C$11/(1+D1687)^1
 +$D$11/(1+D1687)^2
 +$E$11/(1+D1687)^3
 +$F$11/(1+D1687)^4
 +$G$11/(1+D1687)^5
 +$H$11/(1+D1687)^6
 +$I$11/(1+D1687)^7
 + ( $I$11*(1+F1687)/(D1687-F1687) )/(1+D1687)^7</f>
        <v>280.58134816604712</v>
      </c>
      <c r="H1687" s="7">
        <f ca="1">(G1687-$C$8)/$C$9</f>
        <v>1.5214345780531835</v>
      </c>
    </row>
    <row r="1688" spans="3:8" x14ac:dyDescent="0.35">
      <c r="C1688" s="8">
        <f t="shared" ca="1" si="104"/>
        <v>0.17616025699814419</v>
      </c>
      <c r="D1688" s="7">
        <f t="shared" ca="1" si="105"/>
        <v>8.2018794063402456E-2</v>
      </c>
      <c r="E1688" s="7">
        <f t="shared" ca="1" si="106"/>
        <v>0.59856404605181102</v>
      </c>
      <c r="F1688" s="7">
        <f t="shared" ca="1" si="107"/>
        <v>2.1039688019402571E-2</v>
      </c>
      <c r="G1688" s="7">
        <f ca="1">$C$11/(1+D1688)^1
 +$D$11/(1+D1688)^2
 +$E$11/(1+D1688)^3
 +$F$11/(1+D1688)^4
 +$G$11/(1+D1688)^5
 +$H$11/(1+D1688)^6
 +$I$11/(1+D1688)^7
 + ( $I$11*(1+F1688)/(D1688-F1688) )/(1+D1688)^7</f>
        <v>437.5567546545343</v>
      </c>
      <c r="H1688" s="7">
        <f ca="1">(G1688-$C$8)/$C$9</f>
        <v>2.408902954853767</v>
      </c>
    </row>
    <row r="1689" spans="3:8" x14ac:dyDescent="0.35">
      <c r="C1689" s="8">
        <f t="shared" ca="1" si="104"/>
        <v>0.92571308302576649</v>
      </c>
      <c r="D1689" s="7">
        <f t="shared" ca="1" si="105"/>
        <v>0.10238791781180062</v>
      </c>
      <c r="E1689" s="7">
        <f t="shared" ca="1" si="106"/>
        <v>0.41413752445986207</v>
      </c>
      <c r="F1689" s="7">
        <f t="shared" ca="1" si="107"/>
        <v>1.9100961756428406E-2</v>
      </c>
      <c r="G1689" s="7">
        <f ca="1">$C$11/(1+D1689)^1
 +$D$11/(1+D1689)^2
 +$E$11/(1+D1689)^3
 +$F$11/(1+D1689)^4
 +$G$11/(1+D1689)^5
 +$H$11/(1+D1689)^6
 +$I$11/(1+D1689)^7
 + ( $I$11*(1+F1689)/(D1689-F1689) )/(1+D1689)^7</f>
        <v>319.04284783264086</v>
      </c>
      <c r="H1689" s="7">
        <f ca="1">(G1689-$C$8)/$C$9</f>
        <v>1.7388786060190007</v>
      </c>
    </row>
    <row r="1690" spans="3:8" x14ac:dyDescent="0.35">
      <c r="C1690" s="8">
        <f t="shared" ca="1" si="104"/>
        <v>0.59448739234834058</v>
      </c>
      <c r="D1690" s="7">
        <f t="shared" ca="1" si="105"/>
        <v>9.221517967568145E-2</v>
      </c>
      <c r="E1690" s="7">
        <f t="shared" ca="1" si="106"/>
        <v>0.19069821011315791</v>
      </c>
      <c r="F1690" s="7">
        <f t="shared" ca="1" si="107"/>
        <v>1.6175730080130735E-2</v>
      </c>
      <c r="G1690" s="7">
        <f ca="1">$C$11/(1+D1690)^1
 +$D$11/(1+D1690)^2
 +$E$11/(1+D1690)^3
 +$F$11/(1+D1690)^4
 +$G$11/(1+D1690)^5
 +$H$11/(1+D1690)^6
 +$I$11/(1+D1690)^7
 + ( $I$11*(1+F1690)/(D1690-F1690) )/(1+D1690)^7</f>
        <v>355.87516048752417</v>
      </c>
      <c r="H1690" s="7">
        <f ca="1">(G1690-$C$8)/$C$9</f>
        <v>1.9471119430547499</v>
      </c>
    </row>
    <row r="1691" spans="3:8" x14ac:dyDescent="0.35">
      <c r="C1691" s="8">
        <f t="shared" ca="1" si="104"/>
        <v>0.67983684645945996</v>
      </c>
      <c r="D1691" s="7">
        <f t="shared" ca="1" si="105"/>
        <v>9.4197238856401661E-2</v>
      </c>
      <c r="E1691" s="7">
        <f t="shared" ca="1" si="106"/>
        <v>0.8559950226742713</v>
      </c>
      <c r="F1691" s="7">
        <f t="shared" ca="1" si="107"/>
        <v>2.4633344107812972E-2</v>
      </c>
      <c r="G1691" s="7">
        <f ca="1">$C$11/(1+D1691)^1
 +$D$11/(1+D1691)^2
 +$E$11/(1+D1691)^3
 +$F$11/(1+D1691)^4
 +$G$11/(1+D1691)^5
 +$H$11/(1+D1691)^6
 +$I$11/(1+D1691)^7
 + ( $I$11*(1+F1691)/(D1691-F1691) )/(1+D1691)^7</f>
        <v>375.04210312999641</v>
      </c>
      <c r="H1691" s="7">
        <f ca="1">(G1691-$C$8)/$C$9</f>
        <v>2.0554732198665557</v>
      </c>
    </row>
    <row r="1692" spans="3:8" x14ac:dyDescent="0.35">
      <c r="C1692" s="8">
        <f t="shared" ca="1" si="104"/>
        <v>0.37773978600052971</v>
      </c>
      <c r="D1692" s="7">
        <f t="shared" ca="1" si="105"/>
        <v>8.7599620010683027E-2</v>
      </c>
      <c r="E1692" s="7">
        <f t="shared" ca="1" si="106"/>
        <v>2.825961255994569E-2</v>
      </c>
      <c r="F1692" s="7">
        <f t="shared" ca="1" si="107"/>
        <v>1.2377377233841767E-2</v>
      </c>
      <c r="G1692" s="7">
        <f ca="1">$C$11/(1+D1692)^1
 +$D$11/(1+D1692)^2
 +$E$11/(1+D1692)^3
 +$F$11/(1+D1692)^4
 +$G$11/(1+D1692)^5
 +$H$11/(1+D1692)^6
 +$I$11/(1+D1692)^7
 + ( $I$11*(1+F1692)/(D1692-F1692) )/(1+D1692)^7</f>
        <v>366.52994890876334</v>
      </c>
      <c r="H1692" s="7">
        <f ca="1">(G1692-$C$8)/$C$9</f>
        <v>2.0073493267116875</v>
      </c>
    </row>
    <row r="1693" spans="3:8" x14ac:dyDescent="0.35">
      <c r="C1693" s="8">
        <f t="shared" ca="1" si="104"/>
        <v>0.73730830718205642</v>
      </c>
      <c r="D1693" s="7">
        <f t="shared" ca="1" si="105"/>
        <v>9.5685688266703289E-2</v>
      </c>
      <c r="E1693" s="7">
        <f t="shared" ca="1" si="106"/>
        <v>0.84074791661335857</v>
      </c>
      <c r="F1693" s="7">
        <f t="shared" ca="1" si="107"/>
        <v>2.4356382660267593E-2</v>
      </c>
      <c r="G1693" s="7">
        <f ca="1">$C$11/(1+D1693)^1
 +$D$11/(1+D1693)^2
 +$E$11/(1+D1693)^3
 +$F$11/(1+D1693)^4
 +$G$11/(1+D1693)^5
 +$H$11/(1+D1693)^6
 +$I$11/(1+D1693)^7
 + ( $I$11*(1+F1693)/(D1693-F1693) )/(1+D1693)^7</f>
        <v>365.89129007735482</v>
      </c>
      <c r="H1693" s="7">
        <f ca="1">(G1693-$C$8)/$C$9</f>
        <v>2.0037386368009655</v>
      </c>
    </row>
    <row r="1694" spans="3:8" x14ac:dyDescent="0.35">
      <c r="C1694" s="8">
        <f t="shared" ca="1" si="104"/>
        <v>0.65343774372331231</v>
      </c>
      <c r="D1694" s="7">
        <f t="shared" ca="1" si="105"/>
        <v>9.3558632663436531E-2</v>
      </c>
      <c r="E1694" s="7">
        <f t="shared" ca="1" si="106"/>
        <v>1.4492874973165426E-3</v>
      </c>
      <c r="F1694" s="7">
        <f t="shared" ca="1" si="107"/>
        <v>1.0538384156029233E-2</v>
      </c>
      <c r="G1694" s="7">
        <f ca="1">$C$11/(1+D1694)^1
 +$D$11/(1+D1694)^2
 +$E$11/(1+D1694)^3
 +$F$11/(1+D1694)^4
 +$G$11/(1+D1694)^5
 +$H$11/(1+D1694)^6
 +$I$11/(1+D1694)^7
 + ( $I$11*(1+F1694)/(D1694-F1694) )/(1+D1694)^7</f>
        <v>333.20824035111423</v>
      </c>
      <c r="H1694" s="7">
        <f ca="1">(G1694-$C$8)/$C$9</f>
        <v>1.8189633669782577</v>
      </c>
    </row>
    <row r="1695" spans="3:8" x14ac:dyDescent="0.35">
      <c r="C1695" s="8">
        <f t="shared" ca="1" si="104"/>
        <v>0.92879394672651749</v>
      </c>
      <c r="D1695" s="7">
        <f t="shared" ca="1" si="105"/>
        <v>0.10254743523655672</v>
      </c>
      <c r="E1695" s="7">
        <f t="shared" ca="1" si="106"/>
        <v>4.6347175424479303E-2</v>
      </c>
      <c r="F1695" s="7">
        <f t="shared" ca="1" si="107"/>
        <v>1.3044574696882286E-2</v>
      </c>
      <c r="G1695" s="7">
        <f ca="1">$C$11/(1+D1695)^1
 +$D$11/(1+D1695)^2
 +$E$11/(1+D1695)^3
 +$F$11/(1+D1695)^4
 +$G$11/(1+D1695)^5
 +$H$11/(1+D1695)^6
 +$I$11/(1+D1695)^7
 + ( $I$11*(1+F1695)/(D1695-F1695) )/(1+D1695)^7</f>
        <v>304.16072496112798</v>
      </c>
      <c r="H1695" s="7">
        <f ca="1">(G1695-$C$8)/$C$9</f>
        <v>1.6547417738643597</v>
      </c>
    </row>
    <row r="1696" spans="3:8" x14ac:dyDescent="0.35">
      <c r="C1696" s="8">
        <f t="shared" ca="1" si="104"/>
        <v>0.42272799046428289</v>
      </c>
      <c r="D1696" s="7">
        <f t="shared" ca="1" si="105"/>
        <v>8.8618188745973978E-2</v>
      </c>
      <c r="E1696" s="7">
        <f t="shared" ca="1" si="106"/>
        <v>0.18474267091278673</v>
      </c>
      <c r="F1696" s="7">
        <f t="shared" ca="1" si="107"/>
        <v>1.6078530594029888E-2</v>
      </c>
      <c r="G1696" s="7">
        <f ca="1">$C$11/(1+D1696)^1
 +$D$11/(1+D1696)^2
 +$E$11/(1+D1696)^3
 +$F$11/(1+D1696)^4
 +$G$11/(1+D1696)^5
 +$H$11/(1+D1696)^6
 +$I$11/(1+D1696)^7
 + ( $I$11*(1+F1696)/(D1696-F1696) )/(1+D1696)^7</f>
        <v>374.06433250648342</v>
      </c>
      <c r="H1696" s="7">
        <f ca="1">(G1696-$C$8)/$C$9</f>
        <v>2.0499453443378752</v>
      </c>
    </row>
    <row r="1697" spans="3:8" x14ac:dyDescent="0.35">
      <c r="C1697" s="8">
        <f t="shared" ca="1" si="104"/>
        <v>0.74992595131747153</v>
      </c>
      <c r="D1697" s="7">
        <f t="shared" ca="1" si="105"/>
        <v>9.6033692042190533E-2</v>
      </c>
      <c r="E1697" s="7">
        <f t="shared" ca="1" si="106"/>
        <v>0.36621303203392497</v>
      </c>
      <c r="F1697" s="7">
        <f t="shared" ca="1" si="107"/>
        <v>1.8558189435084093E-2</v>
      </c>
      <c r="G1697" s="7">
        <f ca="1">$C$11/(1+D1697)^1
 +$D$11/(1+D1697)^2
 +$E$11/(1+D1697)^3
 +$F$11/(1+D1697)^4
 +$G$11/(1+D1697)^5
 +$H$11/(1+D1697)^6
 +$I$11/(1+D1697)^7
 + ( $I$11*(1+F1697)/(D1697-F1697) )/(1+D1697)^7</f>
        <v>345.04351222834259</v>
      </c>
      <c r="H1697" s="7">
        <f ca="1">(G1697-$C$8)/$C$9</f>
        <v>1.8858746733850213</v>
      </c>
    </row>
    <row r="1698" spans="3:8" x14ac:dyDescent="0.35">
      <c r="C1698" s="8">
        <f t="shared" ca="1" si="104"/>
        <v>0.73468653918904181</v>
      </c>
      <c r="D1698" s="7">
        <f t="shared" ca="1" si="105"/>
        <v>9.56144343374149E-2</v>
      </c>
      <c r="E1698" s="7">
        <f t="shared" ca="1" si="106"/>
        <v>0.30775778875985493</v>
      </c>
      <c r="F1698" s="7">
        <f t="shared" ca="1" si="107"/>
        <v>1.7845480084224992E-2</v>
      </c>
      <c r="G1698" s="7">
        <f ca="1">$C$11/(1+D1698)^1
 +$D$11/(1+D1698)^2
 +$E$11/(1+D1698)^3
 +$F$11/(1+D1698)^4
 +$G$11/(1+D1698)^5
 +$H$11/(1+D1698)^6
 +$I$11/(1+D1698)^7
 + ( $I$11*(1+F1698)/(D1698-F1698) )/(1+D1698)^7</f>
        <v>344.83985719939216</v>
      </c>
      <c r="H1698" s="7">
        <f ca="1">(G1698-$C$8)/$C$9</f>
        <v>1.8847232994085941</v>
      </c>
    </row>
    <row r="1699" spans="3:8" x14ac:dyDescent="0.35">
      <c r="C1699" s="8">
        <f t="shared" ca="1" si="104"/>
        <v>0.22794870296282177</v>
      </c>
      <c r="D1699" s="7">
        <f t="shared" ca="1" si="105"/>
        <v>8.3671793460607644E-2</v>
      </c>
      <c r="E1699" s="7">
        <f t="shared" ca="1" si="106"/>
        <v>0.67931075154040799</v>
      </c>
      <c r="F1699" s="7">
        <f t="shared" ca="1" si="107"/>
        <v>2.1991389028556924E-2</v>
      </c>
      <c r="G1699" s="7">
        <f ca="1">$C$11/(1+D1699)^1
 +$D$11/(1+D1699)^2
 +$E$11/(1+D1699)^3
 +$F$11/(1+D1699)^4
 +$G$11/(1+D1699)^5
 +$H$11/(1+D1699)^6
 +$I$11/(1+D1699)^7
 + ( $I$11*(1+F1699)/(D1699-F1699) )/(1+D1699)^7</f>
        <v>430.3763548480797</v>
      </c>
      <c r="H1699" s="7">
        <f ca="1">(G1699-$C$8)/$C$9</f>
        <v>2.3683082024427842</v>
      </c>
    </row>
    <row r="1700" spans="3:8" x14ac:dyDescent="0.35">
      <c r="C1700" s="8">
        <f t="shared" ca="1" si="104"/>
        <v>0.1002271085499965</v>
      </c>
      <c r="D1700" s="7">
        <f t="shared" ca="1" si="105"/>
        <v>7.906566208343313E-2</v>
      </c>
      <c r="E1700" s="7">
        <f t="shared" ca="1" si="106"/>
        <v>0.89694066038969</v>
      </c>
      <c r="F1700" s="7">
        <f t="shared" ca="1" si="107"/>
        <v>2.5459970493260865E-2</v>
      </c>
      <c r="G1700" s="7">
        <f ca="1">$C$11/(1+D1700)^1
 +$D$11/(1+D1700)^2
 +$E$11/(1+D1700)^3
 +$F$11/(1+D1700)^4
 +$G$11/(1+D1700)^5
 +$H$11/(1+D1700)^6
 +$I$11/(1+D1700)^7
 + ( $I$11*(1+F1700)/(D1700-F1700) )/(1+D1700)^7</f>
        <v>489.06725097368746</v>
      </c>
      <c r="H1700" s="7">
        <f ca="1">(G1700-$C$8)/$C$9</f>
        <v>2.7001201434514215</v>
      </c>
    </row>
    <row r="1701" spans="3:8" x14ac:dyDescent="0.35">
      <c r="C1701" s="8">
        <f t="shared" ca="1" si="104"/>
        <v>0.70130588292370433</v>
      </c>
      <c r="D1701" s="7">
        <f t="shared" ca="1" si="105"/>
        <v>9.4736271382145493E-2</v>
      </c>
      <c r="E1701" s="7">
        <f t="shared" ca="1" si="106"/>
        <v>2.1208697923582265E-2</v>
      </c>
      <c r="F1701" s="7">
        <f t="shared" ca="1" si="107"/>
        <v>1.2059548393390273E-2</v>
      </c>
      <c r="G1701" s="7">
        <f ca="1">$C$11/(1+D1701)^1
 +$D$11/(1+D1701)^2
 +$E$11/(1+D1701)^3
 +$F$11/(1+D1701)^4
 +$G$11/(1+D1701)^5
 +$H$11/(1+D1701)^6
 +$I$11/(1+D1701)^7
 + ( $I$11*(1+F1701)/(D1701-F1701) )/(1+D1701)^7</f>
        <v>332.28489122725568</v>
      </c>
      <c r="H1701" s="7">
        <f ca="1">(G1701-$C$8)/$C$9</f>
        <v>1.813743166142332</v>
      </c>
    </row>
    <row r="1702" spans="3:8" x14ac:dyDescent="0.35">
      <c r="C1702" s="8">
        <f t="shared" ca="1" si="104"/>
        <v>0.24146954014887434</v>
      </c>
      <c r="D1702" s="7">
        <f t="shared" ca="1" si="105"/>
        <v>8.4071425760102528E-2</v>
      </c>
      <c r="E1702" s="7">
        <f t="shared" ca="1" si="106"/>
        <v>0.768301965113945</v>
      </c>
      <c r="F1702" s="7">
        <f t="shared" ca="1" si="107"/>
        <v>2.3192679897550653E-2</v>
      </c>
      <c r="G1702" s="7">
        <f ca="1">$C$11/(1+D1702)^1
 +$D$11/(1+D1702)^2
 +$E$11/(1+D1702)^3
 +$F$11/(1+D1702)^4
 +$G$11/(1+D1702)^5
 +$H$11/(1+D1702)^6
 +$I$11/(1+D1702)^7
 + ( $I$11*(1+F1702)/(D1702-F1702) )/(1+D1702)^7</f>
        <v>433.68184924767013</v>
      </c>
      <c r="H1702" s="7">
        <f ca="1">(G1702-$C$8)/$C$9</f>
        <v>2.3869959817258599</v>
      </c>
    </row>
    <row r="1703" spans="3:8" x14ac:dyDescent="0.35">
      <c r="C1703" s="8">
        <f t="shared" ca="1" si="104"/>
        <v>0.5775667090504375</v>
      </c>
      <c r="D1703" s="7">
        <f t="shared" ca="1" si="105"/>
        <v>9.1847921139972463E-2</v>
      </c>
      <c r="E1703" s="7">
        <f t="shared" ca="1" si="106"/>
        <v>0.12323038192722013</v>
      </c>
      <c r="F1703" s="7">
        <f t="shared" ca="1" si="107"/>
        <v>1.4964481482032542E-2</v>
      </c>
      <c r="G1703" s="7">
        <f ca="1">$C$11/(1+D1703)^1
 +$D$11/(1+D1703)^2
 +$E$11/(1+D1703)^3
 +$F$11/(1+D1703)^4
 +$G$11/(1+D1703)^5
 +$H$11/(1+D1703)^6
 +$I$11/(1+D1703)^7
 + ( $I$11*(1+F1703)/(D1703-F1703) )/(1+D1703)^7</f>
        <v>353.80972268684513</v>
      </c>
      <c r="H1703" s="7">
        <f ca="1">(G1703-$C$8)/$C$9</f>
        <v>1.9354348862892645</v>
      </c>
    </row>
    <row r="1704" spans="3:8" x14ac:dyDescent="0.35">
      <c r="C1704" s="8">
        <f t="shared" ca="1" si="104"/>
        <v>0.47239297645854195</v>
      </c>
      <c r="D1704" s="7">
        <f t="shared" ca="1" si="105"/>
        <v>8.968152028416515E-2</v>
      </c>
      <c r="E1704" s="7">
        <f t="shared" ca="1" si="106"/>
        <v>0.10023270194086942</v>
      </c>
      <c r="F1704" s="7">
        <f t="shared" ca="1" si="107"/>
        <v>1.4477336305011483E-2</v>
      </c>
      <c r="G1704" s="7">
        <f ca="1">$C$11/(1+D1704)^1
 +$D$11/(1+D1704)^2
 +$E$11/(1+D1704)^3
 +$F$11/(1+D1704)^4
 +$G$11/(1+D1704)^5
 +$H$11/(1+D1704)^6
 +$I$11/(1+D1704)^7
 + ( $I$11*(1+F1704)/(D1704-F1704) )/(1+D1704)^7</f>
        <v>362.95389938144183</v>
      </c>
      <c r="H1704" s="7">
        <f ca="1">(G1704-$C$8)/$C$9</f>
        <v>1.9871319503699785</v>
      </c>
    </row>
    <row r="1705" spans="3:8" x14ac:dyDescent="0.35">
      <c r="C1705" s="8">
        <f t="shared" ca="1" si="104"/>
        <v>0.83317365777579044</v>
      </c>
      <c r="D1705" s="7">
        <f t="shared" ca="1" si="105"/>
        <v>9.8592785312141995E-2</v>
      </c>
      <c r="E1705" s="7">
        <f t="shared" ca="1" si="106"/>
        <v>0.67282025532569667</v>
      </c>
      <c r="F1705" s="7">
        <f t="shared" ca="1" si="107"/>
        <v>2.191075102776156E-2</v>
      </c>
      <c r="G1705" s="7">
        <f ca="1">$C$11/(1+D1705)^1
 +$D$11/(1+D1705)^2
 +$E$11/(1+D1705)^3
 +$F$11/(1+D1705)^4
 +$G$11/(1+D1705)^5
 +$H$11/(1+D1705)^6
 +$I$11/(1+D1705)^7
 + ( $I$11*(1+F1705)/(D1705-F1705) )/(1+D1705)^7</f>
        <v>343.29814269607073</v>
      </c>
      <c r="H1705" s="7">
        <f ca="1">(G1705-$C$8)/$C$9</f>
        <v>1.8760071387159132</v>
      </c>
    </row>
    <row r="1706" spans="3:8" x14ac:dyDescent="0.35">
      <c r="C1706" s="8">
        <f t="shared" ca="1" si="104"/>
        <v>0.97198020759920489</v>
      </c>
      <c r="D1706" s="7">
        <f t="shared" ca="1" si="105"/>
        <v>0.10532501999227588</v>
      </c>
      <c r="E1706" s="7">
        <f t="shared" ca="1" si="106"/>
        <v>0.32633184285858463</v>
      </c>
      <c r="F1706" s="7">
        <f t="shared" ca="1" si="107"/>
        <v>1.807876033632122E-2</v>
      </c>
      <c r="G1706" s="7">
        <f ca="1">$C$11/(1+D1706)^1
 +$D$11/(1+D1706)^2
 +$E$11/(1+D1706)^3
 +$F$11/(1+D1706)^4
 +$G$11/(1+D1706)^5
 +$H$11/(1+D1706)^6
 +$I$11/(1+D1706)^7
 + ( $I$11*(1+F1706)/(D1706-F1706) )/(1+D1706)^7</f>
        <v>305.29665370816667</v>
      </c>
      <c r="H1706" s="7">
        <f ca="1">(G1706-$C$8)/$C$9</f>
        <v>1.6611638043202548</v>
      </c>
    </row>
    <row r="1707" spans="3:8" x14ac:dyDescent="0.35">
      <c r="C1707" s="8">
        <f t="shared" ca="1" si="104"/>
        <v>0.45075565967953235</v>
      </c>
      <c r="D1707" s="7">
        <f t="shared" ca="1" si="105"/>
        <v>8.9225494556375309E-2</v>
      </c>
      <c r="E1707" s="7">
        <f t="shared" ca="1" si="106"/>
        <v>0.15230769717172243</v>
      </c>
      <c r="F1707" s="7">
        <f t="shared" ca="1" si="107"/>
        <v>1.5519197354176102E-2</v>
      </c>
      <c r="G1707" s="7">
        <f ca="1">$C$11/(1+D1707)^1
 +$D$11/(1+D1707)^2
 +$E$11/(1+D1707)^3
 +$F$11/(1+D1707)^4
 +$G$11/(1+D1707)^5
 +$H$11/(1+D1707)^6
 +$I$11/(1+D1707)^7
 + ( $I$11*(1+F1707)/(D1707-F1707) )/(1+D1707)^7</f>
        <v>368.85193020530124</v>
      </c>
      <c r="H1707" s="7">
        <f ca="1">(G1707-$C$8)/$C$9</f>
        <v>2.0204767650684148</v>
      </c>
    </row>
    <row r="1708" spans="3:8" x14ac:dyDescent="0.35">
      <c r="C1708" s="8">
        <f t="shared" ca="1" si="104"/>
        <v>0.21776096071681017</v>
      </c>
      <c r="D1708" s="7">
        <f t="shared" ca="1" si="105"/>
        <v>8.3362783684090086E-2</v>
      </c>
      <c r="E1708" s="7">
        <f t="shared" ca="1" si="106"/>
        <v>0.5338800821711791</v>
      </c>
      <c r="F1708" s="7">
        <f t="shared" ca="1" si="107"/>
        <v>2.0344743215959291E-2</v>
      </c>
      <c r="G1708" s="7">
        <f ca="1">$C$11/(1+D1708)^1
 +$D$11/(1+D1708)^2
 +$E$11/(1+D1708)^3
 +$F$11/(1+D1708)^4
 +$G$11/(1+D1708)^5
 +$H$11/(1+D1708)^6
 +$I$11/(1+D1708)^7
 + ( $I$11*(1+F1708)/(D1708-F1708) )/(1+D1708)^7</f>
        <v>424.31509218693782</v>
      </c>
      <c r="H1708" s="7">
        <f ca="1">(G1708-$C$8)/$C$9</f>
        <v>2.334040548320544</v>
      </c>
    </row>
    <row r="1709" spans="3:8" x14ac:dyDescent="0.35">
      <c r="C1709" s="8">
        <f t="shared" ca="1" si="104"/>
        <v>0.67868265708612008</v>
      </c>
      <c r="D1709" s="7">
        <f t="shared" ca="1" si="105"/>
        <v>9.4168779975225339E-2</v>
      </c>
      <c r="E1709" s="7">
        <f t="shared" ca="1" si="106"/>
        <v>0.68560940853739194</v>
      </c>
      <c r="F1709" s="7">
        <f t="shared" ca="1" si="107"/>
        <v>2.2070427609730672E-2</v>
      </c>
      <c r="G1709" s="7">
        <f ca="1">$C$11/(1+D1709)^1
 +$D$11/(1+D1709)^2
 +$E$11/(1+D1709)^3
 +$F$11/(1+D1709)^4
 +$G$11/(1+D1709)^5
 +$H$11/(1+D1709)^6
 +$I$11/(1+D1709)^7
 + ( $I$11*(1+F1709)/(D1709-F1709) )/(1+D1709)^7</f>
        <v>365.80211543946865</v>
      </c>
      <c r="H1709" s="7">
        <f ca="1">(G1709-$C$8)/$C$9</f>
        <v>2.0032344834886286</v>
      </c>
    </row>
    <row r="1710" spans="3:8" x14ac:dyDescent="0.35">
      <c r="C1710" s="8">
        <f t="shared" ca="1" si="104"/>
        <v>0.22329426618078929</v>
      </c>
      <c r="D1710" s="7">
        <f t="shared" ca="1" si="105"/>
        <v>8.3531492832213575E-2</v>
      </c>
      <c r="E1710" s="7">
        <f t="shared" ca="1" si="106"/>
        <v>0.78599345264894938</v>
      </c>
      <c r="F1710" s="7">
        <f t="shared" ca="1" si="107"/>
        <v>2.3457729028066008E-2</v>
      </c>
      <c r="G1710" s="7">
        <f ca="1">$C$11/(1+D1710)^1
 +$D$11/(1+D1710)^2
 +$E$11/(1+D1710)^3
 +$F$11/(1+D1710)^4
 +$G$11/(1+D1710)^5
 +$H$11/(1+D1710)^6
 +$I$11/(1+D1710)^7
 + ( $I$11*(1+F1710)/(D1710-F1710) )/(1+D1710)^7</f>
        <v>439.1267740190799</v>
      </c>
      <c r="H1710" s="7">
        <f ca="1">(G1710-$C$8)/$C$9</f>
        <v>2.4177791385067837</v>
      </c>
    </row>
    <row r="1711" spans="3:8" x14ac:dyDescent="0.35">
      <c r="C1711" s="8">
        <f t="shared" ca="1" si="104"/>
        <v>7.9101867843836438E-2</v>
      </c>
      <c r="D1711" s="7">
        <f t="shared" ca="1" si="105"/>
        <v>7.8053789892463421E-2</v>
      </c>
      <c r="E1711" s="7">
        <f t="shared" ca="1" si="106"/>
        <v>0.85102371163014146</v>
      </c>
      <c r="F1711" s="7">
        <f t="shared" ca="1" si="107"/>
        <v>2.4541496755156069E-2</v>
      </c>
      <c r="G1711" s="7">
        <f ca="1">$C$11/(1+D1711)^1
 +$D$11/(1+D1711)^2
 +$E$11/(1+D1711)^3
 +$F$11/(1+D1711)^4
 +$G$11/(1+D1711)^5
 +$H$11/(1+D1711)^6
 +$I$11/(1+D1711)^7
 + ( $I$11*(1+F1711)/(D1711-F1711) )/(1+D1711)^7</f>
        <v>492.20659578178697</v>
      </c>
      <c r="H1711" s="7">
        <f ca="1">(G1711-$C$8)/$C$9</f>
        <v>2.7178685876401345</v>
      </c>
    </row>
    <row r="1712" spans="3:8" x14ac:dyDescent="0.35">
      <c r="C1712" s="8">
        <f t="shared" ca="1" si="104"/>
        <v>0.72782663579410878</v>
      </c>
      <c r="D1712" s="7">
        <f t="shared" ca="1" si="105"/>
        <v>9.5429645711905459E-2</v>
      </c>
      <c r="E1712" s="7">
        <f t="shared" ca="1" si="106"/>
        <v>8.3123662628606154E-2</v>
      </c>
      <c r="F1712" s="7">
        <f t="shared" ca="1" si="107"/>
        <v>1.4077343807642573E-2</v>
      </c>
      <c r="G1712" s="7">
        <f ca="1">$C$11/(1+D1712)^1
 +$D$11/(1+D1712)^2
 +$E$11/(1+D1712)^3
 +$F$11/(1+D1712)^4
 +$G$11/(1+D1712)^5
 +$H$11/(1+D1712)^6
 +$I$11/(1+D1712)^7
 + ( $I$11*(1+F1712)/(D1712-F1712) )/(1+D1712)^7</f>
        <v>334.79930463249764</v>
      </c>
      <c r="H1712" s="7">
        <f ca="1">(G1712-$C$8)/$C$9</f>
        <v>1.8279585291299052</v>
      </c>
    </row>
    <row r="1713" spans="3:8" x14ac:dyDescent="0.35">
      <c r="C1713" s="8">
        <f t="shared" ca="1" si="104"/>
        <v>0.12087089360924486</v>
      </c>
      <c r="D1713" s="7">
        <f t="shared" ca="1" si="105"/>
        <v>7.9955608105966247E-2</v>
      </c>
      <c r="E1713" s="7">
        <f t="shared" ca="1" si="106"/>
        <v>9.7338074227735993E-2</v>
      </c>
      <c r="F1713" s="7">
        <f t="shared" ca="1" si="107"/>
        <v>1.4412212012760401E-2</v>
      </c>
      <c r="G1713" s="7">
        <f ca="1">$C$11/(1+D1713)^1
 +$D$11/(1+D1713)^2
 +$E$11/(1+D1713)^3
 +$F$11/(1+D1713)^4
 +$G$11/(1+D1713)^5
 +$H$11/(1+D1713)^6
 +$I$11/(1+D1713)^7
 + ( $I$11*(1+F1713)/(D1713-F1713) )/(1+D1713)^7</f>
        <v>419.32606362672226</v>
      </c>
      <c r="H1713" s="7">
        <f ca="1">(G1713-$C$8)/$C$9</f>
        <v>2.3058348237603021</v>
      </c>
    </row>
    <row r="1714" spans="3:8" x14ac:dyDescent="0.35">
      <c r="C1714" s="8">
        <f t="shared" ca="1" si="104"/>
        <v>0.27026540642690999</v>
      </c>
      <c r="D1714" s="7">
        <f t="shared" ca="1" si="105"/>
        <v>8.4886827508575027E-2</v>
      </c>
      <c r="E1714" s="7">
        <f t="shared" ca="1" si="106"/>
        <v>0.63821056142597732</v>
      </c>
      <c r="F1714" s="7">
        <f t="shared" ca="1" si="107"/>
        <v>2.1493656031243237E-2</v>
      </c>
      <c r="G1714" s="7">
        <f ca="1">$C$11/(1+D1714)^1
 +$D$11/(1+D1714)^2
 +$E$11/(1+D1714)^3
 +$F$11/(1+D1714)^4
 +$G$11/(1+D1714)^5
 +$H$11/(1+D1714)^6
 +$I$11/(1+D1714)^7
 + ( $I$11*(1+F1714)/(D1714-F1714) )/(1+D1714)^7</f>
        <v>419.33956252789307</v>
      </c>
      <c r="H1714" s="7">
        <f ca="1">(G1714-$C$8)/$C$9</f>
        <v>2.3059111404788166</v>
      </c>
    </row>
    <row r="1715" spans="3:8" x14ac:dyDescent="0.35">
      <c r="C1715" s="8">
        <f t="shared" ca="1" si="104"/>
        <v>0.9187439043105412</v>
      </c>
      <c r="D1715" s="7">
        <f t="shared" ca="1" si="105"/>
        <v>0.1020388597149794</v>
      </c>
      <c r="E1715" s="7">
        <f t="shared" ca="1" si="106"/>
        <v>0.38134802141195245</v>
      </c>
      <c r="F1715" s="7">
        <f t="shared" ca="1" si="107"/>
        <v>1.8733247064087362E-2</v>
      </c>
      <c r="G1715" s="7">
        <f ca="1">$C$11/(1+D1715)^1
 +$D$11/(1+D1715)^2
 +$E$11/(1+D1715)^3
 +$F$11/(1+D1715)^4
 +$G$11/(1+D1715)^5
 +$H$11/(1+D1715)^6
 +$I$11/(1+D1715)^7
 + ( $I$11*(1+F1715)/(D1715-F1715) )/(1+D1715)^7</f>
        <v>319.51392102878731</v>
      </c>
      <c r="H1715" s="7">
        <f ca="1">(G1715-$C$8)/$C$9</f>
        <v>1.7415418420894804</v>
      </c>
    </row>
    <row r="1716" spans="3:8" x14ac:dyDescent="0.35">
      <c r="C1716" s="8">
        <f t="shared" ca="1" si="104"/>
        <v>0.53136371716366138</v>
      </c>
      <c r="D1716" s="7">
        <f t="shared" ca="1" si="105"/>
        <v>9.0880996348858961E-2</v>
      </c>
      <c r="E1716" s="7">
        <f t="shared" ca="1" si="106"/>
        <v>0.93339811729977062</v>
      </c>
      <c r="F1716" s="7">
        <f t="shared" ca="1" si="107"/>
        <v>2.6350290896517109E-2</v>
      </c>
      <c r="G1716" s="7">
        <f ca="1">$C$11/(1+D1716)^1
 +$D$11/(1+D1716)^2
 +$E$11/(1+D1716)^3
 +$F$11/(1+D1716)^4
 +$G$11/(1+D1716)^5
 +$H$11/(1+D1716)^6
 +$I$11/(1+D1716)^7
 + ( $I$11*(1+F1716)/(D1716-F1716) )/(1+D1716)^7</f>
        <v>402.0543184674417</v>
      </c>
      <c r="H1716" s="7">
        <f ca="1">(G1716-$C$8)/$C$9</f>
        <v>2.2081881414939035</v>
      </c>
    </row>
    <row r="1717" spans="3:8" x14ac:dyDescent="0.35">
      <c r="C1717" s="8">
        <f t="shared" ca="1" si="104"/>
        <v>0.95280952600683977</v>
      </c>
      <c r="D1717" s="7">
        <f t="shared" ca="1" si="105"/>
        <v>0.10393299334806158</v>
      </c>
      <c r="E1717" s="7">
        <f t="shared" ca="1" si="106"/>
        <v>0.67132053968180527</v>
      </c>
      <c r="F1717" s="7">
        <f t="shared" ca="1" si="107"/>
        <v>2.1892232609180322E-2</v>
      </c>
      <c r="G1717" s="7">
        <f ca="1">$C$11/(1+D1717)^1
 +$D$11/(1+D1717)^2
 +$E$11/(1+D1717)^3
 +$F$11/(1+D1717)^4
 +$G$11/(1+D1717)^5
 +$H$11/(1+D1717)^6
 +$I$11/(1+D1717)^7
 + ( $I$11*(1+F1717)/(D1717-F1717) )/(1+D1717)^7</f>
        <v>319.94026720982794</v>
      </c>
      <c r="H1717" s="7">
        <f ca="1">(G1717-$C$8)/$C$9</f>
        <v>1.7439522117244908</v>
      </c>
    </row>
    <row r="1718" spans="3:8" x14ac:dyDescent="0.35">
      <c r="C1718" s="8">
        <f t="shared" ca="1" si="104"/>
        <v>0.98623589658663613</v>
      </c>
      <c r="D1718" s="7">
        <f t="shared" ca="1" si="105"/>
        <v>0.10672341631231189</v>
      </c>
      <c r="E1718" s="7">
        <f t="shared" ca="1" si="106"/>
        <v>0.36104701424897656</v>
      </c>
      <c r="F1718" s="7">
        <f t="shared" ca="1" si="107"/>
        <v>1.8497611596783845E-2</v>
      </c>
      <c r="G1718" s="7">
        <f ca="1">$C$11/(1+D1718)^1
 +$D$11/(1+D1718)^2
 +$E$11/(1+D1718)^3
 +$F$11/(1+D1718)^4
 +$G$11/(1+D1718)^5
 +$H$11/(1+D1718)^6
 +$I$11/(1+D1718)^7
 + ( $I$11*(1+F1718)/(D1718-F1718) )/(1+D1718)^7</f>
        <v>301.15279676089722</v>
      </c>
      <c r="H1718" s="7">
        <f ca="1">(G1718-$C$8)/$C$9</f>
        <v>1.6377363000955292</v>
      </c>
    </row>
    <row r="1719" spans="3:8" x14ac:dyDescent="0.35">
      <c r="C1719" s="8">
        <f t="shared" ca="1" si="104"/>
        <v>0.19219945670568961</v>
      </c>
      <c r="D1719" s="7">
        <f t="shared" ca="1" si="105"/>
        <v>8.2554025430062877E-2</v>
      </c>
      <c r="E1719" s="7">
        <f t="shared" ca="1" si="106"/>
        <v>0.76170207804120327</v>
      </c>
      <c r="F1719" s="7">
        <f t="shared" ca="1" si="107"/>
        <v>2.3096407863165774E-2</v>
      </c>
      <c r="G1719" s="7">
        <f ca="1">$C$11/(1+D1719)^1
 +$D$11/(1+D1719)^2
 +$E$11/(1+D1719)^3
 +$F$11/(1+D1719)^4
 +$G$11/(1+D1719)^5
 +$H$11/(1+D1719)^6
 +$I$11/(1+D1719)^7
 + ( $I$11*(1+F1719)/(D1719-F1719) )/(1+D1719)^7</f>
        <v>444.62980801624087</v>
      </c>
      <c r="H1719" s="7">
        <f ca="1">(G1719-$C$8)/$C$9</f>
        <v>2.4488908187259208</v>
      </c>
    </row>
    <row r="1720" spans="3:8" x14ac:dyDescent="0.35">
      <c r="C1720" s="8">
        <f t="shared" ca="1" si="104"/>
        <v>0.13657699488991237</v>
      </c>
      <c r="D1720" s="7">
        <f t="shared" ca="1" si="105"/>
        <v>8.0582680936781961E-2</v>
      </c>
      <c r="E1720" s="7">
        <f t="shared" ca="1" si="106"/>
        <v>0.85894076876795589</v>
      </c>
      <c r="F1720" s="7">
        <f t="shared" ca="1" si="107"/>
        <v>2.4688517509545115E-2</v>
      </c>
      <c r="G1720" s="7">
        <f ca="1">$C$11/(1+D1720)^1
 +$D$11/(1+D1720)^2
 +$E$11/(1+D1720)^3
 +$F$11/(1+D1720)^4
 +$G$11/(1+D1720)^5
 +$H$11/(1+D1720)^6
 +$I$11/(1+D1720)^7
 + ( $I$11*(1+F1720)/(D1720-F1720) )/(1+D1720)^7</f>
        <v>470.23475583045024</v>
      </c>
      <c r="H1720" s="7">
        <f ca="1">(G1720-$C$8)/$C$9</f>
        <v>2.5936496824426176</v>
      </c>
    </row>
    <row r="1721" spans="3:8" x14ac:dyDescent="0.35">
      <c r="C1721" s="8">
        <f t="shared" ca="1" si="104"/>
        <v>0.96316638550740696</v>
      </c>
      <c r="D1721" s="7">
        <f t="shared" ca="1" si="105"/>
        <v>0.10463994222939504</v>
      </c>
      <c r="E1721" s="7">
        <f t="shared" ca="1" si="106"/>
        <v>0.41288610532254888</v>
      </c>
      <c r="F1721" s="7">
        <f t="shared" ca="1" si="107"/>
        <v>1.9087200947734664E-2</v>
      </c>
      <c r="G1721" s="7">
        <f ca="1">$C$11/(1+D1721)^1
 +$D$11/(1+D1721)^2
 +$E$11/(1+D1721)^3
 +$F$11/(1+D1721)^4
 +$G$11/(1+D1721)^5
 +$H$11/(1+D1721)^6
 +$I$11/(1+D1721)^7
 + ( $I$11*(1+F1721)/(D1721-F1721) )/(1+D1721)^7</f>
        <v>310.2021806011544</v>
      </c>
      <c r="H1721" s="7">
        <f ca="1">(G1721-$C$8)/$C$9</f>
        <v>1.6888974479938623</v>
      </c>
    </row>
    <row r="1722" spans="3:8" x14ac:dyDescent="0.35">
      <c r="C1722" s="8">
        <f t="shared" ca="1" si="104"/>
        <v>0.20743235406736704</v>
      </c>
      <c r="D1722" s="7">
        <f t="shared" ca="1" si="105"/>
        <v>8.3042029379480825E-2</v>
      </c>
      <c r="E1722" s="7">
        <f t="shared" ca="1" si="106"/>
        <v>3.2200495952192432E-2</v>
      </c>
      <c r="F1722" s="7">
        <f t="shared" ca="1" si="107"/>
        <v>1.2537735051268845E-2</v>
      </c>
      <c r="G1722" s="7">
        <f ca="1">$C$11/(1+D1722)^1
 +$D$11/(1+D1722)^2
 +$E$11/(1+D1722)^3
 +$F$11/(1+D1722)^4
 +$G$11/(1+D1722)^5
 +$H$11/(1+D1722)^6
 +$I$11/(1+D1722)^7
 + ( $I$11*(1+F1722)/(D1722-F1722) )/(1+D1722)^7</f>
        <v>392.04454338185371</v>
      </c>
      <c r="H1722" s="7">
        <f ca="1">(G1722-$C$8)/$C$9</f>
        <v>2.1515973732578795</v>
      </c>
    </row>
    <row r="1723" spans="3:8" x14ac:dyDescent="0.35">
      <c r="C1723" s="8">
        <f t="shared" ca="1" si="104"/>
        <v>0.47935541751757815</v>
      </c>
      <c r="D1723" s="7">
        <f t="shared" ca="1" si="105"/>
        <v>8.9826029414999217E-2</v>
      </c>
      <c r="E1723" s="7">
        <f t="shared" ca="1" si="106"/>
        <v>0.2967787661989113</v>
      </c>
      <c r="F1723" s="7">
        <f t="shared" ca="1" si="107"/>
        <v>1.7704268507767774E-2</v>
      </c>
      <c r="G1723" s="7">
        <f ca="1">$C$11/(1+D1723)^1
 +$D$11/(1+D1723)^2
 +$E$11/(1+D1723)^3
 +$F$11/(1+D1723)^4
 +$G$11/(1+D1723)^5
 +$H$11/(1+D1723)^6
 +$I$11/(1+D1723)^7
 + ( $I$11*(1+F1723)/(D1723-F1723) )/(1+D1723)^7</f>
        <v>373.4045570393979</v>
      </c>
      <c r="H1723" s="7">
        <f ca="1">(G1723-$C$8)/$C$9</f>
        <v>2.0462152704624486</v>
      </c>
    </row>
    <row r="1724" spans="3:8" x14ac:dyDescent="0.35">
      <c r="C1724" s="8">
        <f t="shared" ca="1" si="104"/>
        <v>0.59765397886787219</v>
      </c>
      <c r="D1724" s="7">
        <f t="shared" ca="1" si="105"/>
        <v>9.2284755251957146E-2</v>
      </c>
      <c r="E1724" s="7">
        <f t="shared" ca="1" si="106"/>
        <v>0.62309128944077086</v>
      </c>
      <c r="F1724" s="7">
        <f t="shared" ca="1" si="107"/>
        <v>2.1317734045086741E-2</v>
      </c>
      <c r="G1724" s="7">
        <f ca="1">$C$11/(1+D1724)^1
 +$D$11/(1+D1724)^2
 +$E$11/(1+D1724)^3
 +$F$11/(1+D1724)^4
 +$G$11/(1+D1724)^5
 +$H$11/(1+D1724)^6
 +$I$11/(1+D1724)^7
 + ( $I$11*(1+F1724)/(D1724-F1724) )/(1+D1724)^7</f>
        <v>373.21972522815196</v>
      </c>
      <c r="H1724" s="7">
        <f ca="1">(G1724-$C$8)/$C$9</f>
        <v>2.0451703144965623</v>
      </c>
    </row>
    <row r="1725" spans="3:8" x14ac:dyDescent="0.35">
      <c r="C1725" s="8">
        <f t="shared" ca="1" si="104"/>
        <v>0.7988154054483928</v>
      </c>
      <c r="D1725" s="7">
        <f t="shared" ca="1" si="105"/>
        <v>9.7473069659718969E-2</v>
      </c>
      <c r="E1725" s="7">
        <f t="shared" ca="1" si="106"/>
        <v>0.97202863751771973</v>
      </c>
      <c r="F1725" s="7">
        <f t="shared" ca="1" si="107"/>
        <v>2.7634778552343132E-2</v>
      </c>
      <c r="G1725" s="7">
        <f ca="1">$C$11/(1+D1725)^1
 +$D$11/(1+D1725)^2
 +$E$11/(1+D1725)^3
 +$F$11/(1+D1725)^4
 +$G$11/(1+D1725)^5
 +$H$11/(1+D1725)^6
 +$I$11/(1+D1725)^7
 + ( $I$11*(1+F1725)/(D1725-F1725) )/(1+D1725)^7</f>
        <v>368.19244301735677</v>
      </c>
      <c r="H1725" s="7">
        <f ca="1">(G1725-$C$8)/$C$9</f>
        <v>2.0167483209936496</v>
      </c>
    </row>
    <row r="1726" spans="3:8" x14ac:dyDescent="0.35">
      <c r="C1726" s="8">
        <f t="shared" ca="1" si="104"/>
        <v>0.3684217083600142</v>
      </c>
      <c r="D1726" s="7">
        <f t="shared" ca="1" si="105"/>
        <v>8.7381191007960629E-2</v>
      </c>
      <c r="E1726" s="7">
        <f t="shared" ca="1" si="106"/>
        <v>0.16788026291201485</v>
      </c>
      <c r="F1726" s="7">
        <f t="shared" ca="1" si="107"/>
        <v>1.5794484669269818E-2</v>
      </c>
      <c r="G1726" s="7">
        <f ca="1">$C$11/(1+D1726)^1
 +$D$11/(1+D1726)^2
 +$E$11/(1+D1726)^3
 +$F$11/(1+D1726)^4
 +$G$11/(1+D1726)^5
 +$H$11/(1+D1726)^6
 +$I$11/(1+D1726)^7
 + ( $I$11*(1+F1726)/(D1726-F1726) )/(1+D1726)^7</f>
        <v>379.79955363117523</v>
      </c>
      <c r="H1726" s="7">
        <f ca="1">(G1726-$C$8)/$C$9</f>
        <v>2.0823697061916282</v>
      </c>
    </row>
    <row r="1727" spans="3:8" x14ac:dyDescent="0.35">
      <c r="C1727" s="8">
        <f t="shared" ca="1" si="104"/>
        <v>0.76897660699990422</v>
      </c>
      <c r="D1727" s="7">
        <f t="shared" ca="1" si="105"/>
        <v>9.6576205955838171E-2</v>
      </c>
      <c r="E1727" s="7">
        <f t="shared" ca="1" si="106"/>
        <v>0.71077063064386514</v>
      </c>
      <c r="F1727" s="7">
        <f t="shared" ca="1" si="107"/>
        <v>2.2394352501513958E-2</v>
      </c>
      <c r="G1727" s="7">
        <f ca="1">$C$11/(1+D1727)^1
 +$D$11/(1+D1727)^2
 +$E$11/(1+D1727)^3
 +$F$11/(1+D1727)^4
 +$G$11/(1+D1727)^5
 +$H$11/(1+D1727)^6
 +$I$11/(1+D1727)^7
 + ( $I$11*(1+F1727)/(D1727-F1727) )/(1+D1727)^7</f>
        <v>354.55877367042939</v>
      </c>
      <c r="H1727" s="7">
        <f ca="1">(G1727-$C$8)/$C$9</f>
        <v>1.9396696837993519</v>
      </c>
    </row>
    <row r="1728" spans="3:8" x14ac:dyDescent="0.35">
      <c r="C1728" s="8">
        <f t="shared" ca="1" si="104"/>
        <v>0.79983255038236789</v>
      </c>
      <c r="D1728" s="7">
        <f t="shared" ca="1" si="105"/>
        <v>9.7504776484522049E-2</v>
      </c>
      <c r="E1728" s="7">
        <f t="shared" ca="1" si="106"/>
        <v>0.44746395836752073</v>
      </c>
      <c r="F1728" s="7">
        <f t="shared" ca="1" si="107"/>
        <v>1.9460062984647836E-2</v>
      </c>
      <c r="G1728" s="7">
        <f ca="1">$C$11/(1+D1728)^1
 +$D$11/(1+D1728)^2
 +$E$11/(1+D1728)^3
 +$F$11/(1+D1728)^4
 +$G$11/(1+D1728)^5
 +$H$11/(1+D1728)^6
 +$I$11/(1+D1728)^7
 + ( $I$11*(1+F1728)/(D1728-F1728) )/(1+D1728)^7</f>
        <v>340.95499536339821</v>
      </c>
      <c r="H1728" s="7">
        <f ca="1">(G1728-$C$8)/$C$9</f>
        <v>1.8627600371065027</v>
      </c>
    </row>
    <row r="1729" spans="3:8" x14ac:dyDescent="0.35">
      <c r="C1729" s="8">
        <f t="shared" ca="1" si="104"/>
        <v>0.3794470800575096</v>
      </c>
      <c r="D1729" s="7">
        <f t="shared" ca="1" si="105"/>
        <v>8.7639348220587915E-2</v>
      </c>
      <c r="E1729" s="7">
        <f t="shared" ca="1" si="106"/>
        <v>0.93511889964386263</v>
      </c>
      <c r="F1729" s="7">
        <f t="shared" ca="1" si="107"/>
        <v>2.6397747916757149E-2</v>
      </c>
      <c r="G1729" s="7">
        <f ca="1">$C$11/(1+D1729)^1
 +$D$11/(1+D1729)^2
 +$E$11/(1+D1729)^3
 +$F$11/(1+D1729)^4
 +$G$11/(1+D1729)^5
 +$H$11/(1+D1729)^6
 +$I$11/(1+D1729)^7
 + ( $I$11*(1+F1729)/(D1729-F1729) )/(1+D1729)^7</f>
        <v>424.29958503892044</v>
      </c>
      <c r="H1729" s="7">
        <f ca="1">(G1729-$C$8)/$C$9</f>
        <v>2.3339528778772074</v>
      </c>
    </row>
    <row r="1730" spans="3:8" x14ac:dyDescent="0.35">
      <c r="C1730" s="8">
        <f t="shared" ca="1" si="104"/>
        <v>0.5000004722774879</v>
      </c>
      <c r="D1730" s="7">
        <f t="shared" ca="1" si="105"/>
        <v>9.0248466294204605E-2</v>
      </c>
      <c r="E1730" s="7">
        <f t="shared" ca="1" si="106"/>
        <v>0.77696575000772983</v>
      </c>
      <c r="F1730" s="7">
        <f t="shared" ca="1" si="107"/>
        <v>2.3321164023689903E-2</v>
      </c>
      <c r="G1730" s="7">
        <f ca="1">$C$11/(1+D1730)^1
 +$D$11/(1+D1730)^2
 +$E$11/(1+D1730)^3
 +$F$11/(1+D1730)^4
 +$G$11/(1+D1730)^5
 +$H$11/(1+D1730)^6
 +$I$11/(1+D1730)^7
 + ( $I$11*(1+F1730)/(D1730-F1730) )/(1+D1730)^7</f>
        <v>392.86503041694448</v>
      </c>
      <c r="H1730" s="7">
        <f ca="1">(G1730-$C$8)/$C$9</f>
        <v>2.1562360380876551</v>
      </c>
    </row>
    <row r="1731" spans="3:8" x14ac:dyDescent="0.35">
      <c r="C1731" s="8">
        <f t="shared" ca="1" si="104"/>
        <v>0.1769169533333681</v>
      </c>
      <c r="D1731" s="7">
        <f t="shared" ca="1" si="105"/>
        <v>8.2044579765743669E-2</v>
      </c>
      <c r="E1731" s="7">
        <f t="shared" ca="1" si="106"/>
        <v>0.65454157875270336</v>
      </c>
      <c r="F1731" s="7">
        <f t="shared" ca="1" si="107"/>
        <v>2.1687859225839632E-2</v>
      </c>
      <c r="G1731" s="7">
        <f ca="1">$C$11/(1+D1731)^1
 +$D$11/(1+D1731)^2
 +$E$11/(1+D1731)^3
 +$F$11/(1+D1731)^4
 +$G$11/(1+D1731)^5
 +$H$11/(1+D1731)^6
 +$I$11/(1+D1731)^7
 + ( $I$11*(1+F1731)/(D1731-F1731) )/(1+D1731)^7</f>
        <v>440.82528246159313</v>
      </c>
      <c r="H1731" s="7">
        <f ca="1">(G1731-$C$8)/$C$9</f>
        <v>2.427381741641752</v>
      </c>
    </row>
    <row r="1732" spans="3:8" x14ac:dyDescent="0.35">
      <c r="C1732" s="8">
        <f t="shared" ca="1" si="104"/>
        <v>0.4123540973838109</v>
      </c>
      <c r="D1732" s="7">
        <f t="shared" ca="1" si="105"/>
        <v>8.8388321289740529E-2</v>
      </c>
      <c r="E1732" s="7">
        <f t="shared" ca="1" si="106"/>
        <v>0.62021955760576364</v>
      </c>
      <c r="F1732" s="7">
        <f t="shared" ca="1" si="107"/>
        <v>2.1284720975272953E-2</v>
      </c>
      <c r="G1732" s="7">
        <f ca="1">$C$11/(1+D1732)^1
 +$D$11/(1+D1732)^2
 +$E$11/(1+D1732)^3
 +$F$11/(1+D1732)^4
 +$G$11/(1+D1732)^5
 +$H$11/(1+D1732)^6
 +$I$11/(1+D1732)^7
 + ( $I$11*(1+F1732)/(D1732-F1732) )/(1+D1732)^7</f>
        <v>395.67420601300933</v>
      </c>
      <c r="H1732" s="7">
        <f ca="1">(G1732-$C$8)/$C$9</f>
        <v>2.1721178539858057</v>
      </c>
    </row>
    <row r="1733" spans="3:8" x14ac:dyDescent="0.35">
      <c r="C1733" s="8">
        <f t="shared" ca="1" si="104"/>
        <v>0.33561739709254157</v>
      </c>
      <c r="D1733" s="7">
        <f t="shared" ca="1" si="105"/>
        <v>8.6589341928355212E-2</v>
      </c>
      <c r="E1733" s="7">
        <f t="shared" ca="1" si="106"/>
        <v>0.4773520547556197</v>
      </c>
      <c r="F1733" s="7">
        <f t="shared" ca="1" si="107"/>
        <v>1.9770896118121609E-2</v>
      </c>
      <c r="G1733" s="7">
        <f ca="1">$C$11/(1+D1733)^1
 +$D$11/(1+D1733)^2
 +$E$11/(1+D1733)^3
 +$F$11/(1+D1733)^4
 +$G$11/(1+D1733)^5
 +$H$11/(1+D1733)^6
 +$I$11/(1+D1733)^7
 + ( $I$11*(1+F1733)/(D1733-F1733) )/(1+D1733)^7</f>
        <v>400.36208555482847</v>
      </c>
      <c r="H1733" s="7">
        <f ca="1">(G1733-$C$8)/$C$9</f>
        <v>2.1986210173836978</v>
      </c>
    </row>
    <row r="1734" spans="3:8" x14ac:dyDescent="0.35">
      <c r="C1734" s="8">
        <f t="shared" ca="1" si="104"/>
        <v>0.56086397990974635</v>
      </c>
      <c r="D1734" s="7">
        <f t="shared" ca="1" si="105"/>
        <v>9.1492539459169506E-2</v>
      </c>
      <c r="E1734" s="7">
        <f t="shared" ca="1" si="106"/>
        <v>0.58788282713416162</v>
      </c>
      <c r="F1734" s="7">
        <f t="shared" ca="1" si="107"/>
        <v>2.0921264704091891E-2</v>
      </c>
      <c r="G1734" s="7">
        <f ca="1">$C$11/(1+D1734)^1
 +$D$11/(1+D1734)^2
 +$E$11/(1+D1734)^3
 +$F$11/(1+D1734)^4
 +$G$11/(1+D1734)^5
 +$H$11/(1+D1734)^6
 +$I$11/(1+D1734)^7
 + ( $I$11*(1+F1734)/(D1734-F1734) )/(1+D1734)^7</f>
        <v>376.11522334951167</v>
      </c>
      <c r="H1734" s="7">
        <f ca="1">(G1734-$C$8)/$C$9</f>
        <v>2.0615401591446836</v>
      </c>
    </row>
    <row r="1735" spans="3:8" x14ac:dyDescent="0.35">
      <c r="C1735" s="8">
        <f t="shared" ca="1" si="104"/>
        <v>0.13570104155186624</v>
      </c>
      <c r="D1735" s="7">
        <f t="shared" ca="1" si="105"/>
        <v>8.0548689685099775E-2</v>
      </c>
      <c r="E1735" s="7">
        <f t="shared" ca="1" si="106"/>
        <v>0.85120198404895042</v>
      </c>
      <c r="F1735" s="7">
        <f t="shared" ca="1" si="107"/>
        <v>2.4544763690708724E-2</v>
      </c>
      <c r="G1735" s="7">
        <f ca="1">$C$11/(1+D1735)^1
 +$D$11/(1+D1735)^2
 +$E$11/(1+D1735)^3
 +$F$11/(1+D1735)^4
 +$G$11/(1+D1735)^5
 +$H$11/(1+D1735)^6
 +$I$11/(1+D1735)^7
 + ( $I$11*(1+F1735)/(D1735-F1735) )/(1+D1735)^7</f>
        <v>469.61930679470657</v>
      </c>
      <c r="H1735" s="7">
        <f ca="1">(G1735-$C$8)/$C$9</f>
        <v>2.5901702102821491</v>
      </c>
    </row>
    <row r="1736" spans="3:8" x14ac:dyDescent="0.35">
      <c r="C1736" s="8">
        <f t="shared" ca="1" si="104"/>
        <v>0.19756456069401296</v>
      </c>
      <c r="D1736" s="7">
        <f t="shared" ca="1" si="105"/>
        <v>8.2728037545870561E-2</v>
      </c>
      <c r="E1736" s="7">
        <f t="shared" ca="1" si="106"/>
        <v>0.88879669116531101</v>
      </c>
      <c r="F1736" s="7">
        <f t="shared" ca="1" si="107"/>
        <v>2.5283999388577456E-2</v>
      </c>
      <c r="G1736" s="7">
        <f ca="1">$C$11/(1+D1736)^1
 +$D$11/(1+D1736)^2
 +$E$11/(1+D1736)^3
 +$F$11/(1+D1736)^4
 +$G$11/(1+D1736)^5
 +$H$11/(1+D1736)^6
 +$I$11/(1+D1736)^7
 + ( $I$11*(1+F1736)/(D1736-F1736) )/(1+D1736)^7</f>
        <v>455.7930466086209</v>
      </c>
      <c r="H1736" s="7">
        <f ca="1">(G1736-$C$8)/$C$9</f>
        <v>2.5120027510663778</v>
      </c>
    </row>
    <row r="1737" spans="3:8" x14ac:dyDescent="0.35">
      <c r="C1737" s="8">
        <f t="shared" ca="1" si="104"/>
        <v>0.80426436967200743</v>
      </c>
      <c r="D1737" s="7">
        <f t="shared" ca="1" si="105"/>
        <v>9.7643876349929395E-2</v>
      </c>
      <c r="E1737" s="7">
        <f t="shared" ca="1" si="106"/>
        <v>0.81819849306511627</v>
      </c>
      <c r="F1737" s="7">
        <f t="shared" ca="1" si="107"/>
        <v>2.3970049636441712E-2</v>
      </c>
      <c r="G1737" s="7">
        <f ca="1">$C$11/(1+D1737)^1
 +$D$11/(1+D1737)^2
 +$E$11/(1+D1737)^3
 +$F$11/(1+D1737)^4
 +$G$11/(1+D1737)^5
 +$H$11/(1+D1737)^6
 +$I$11/(1+D1737)^7
 + ( $I$11*(1+F1737)/(D1737-F1737) )/(1+D1737)^7</f>
        <v>354.44483760949356</v>
      </c>
      <c r="H1737" s="7">
        <f ca="1">(G1737-$C$8)/$C$9</f>
        <v>1.9390255405330934</v>
      </c>
    </row>
    <row r="1738" spans="3:8" x14ac:dyDescent="0.35">
      <c r="C1738" s="8">
        <f t="shared" ca="1" si="104"/>
        <v>6.5429196409964141E-2</v>
      </c>
      <c r="D1738" s="7">
        <f t="shared" ca="1" si="105"/>
        <v>7.7324748531940921E-2</v>
      </c>
      <c r="E1738" s="7">
        <f t="shared" ca="1" si="106"/>
        <v>0.75282310219787696</v>
      </c>
      <c r="F1738" s="7">
        <f t="shared" ca="1" si="107"/>
        <v>2.2968970234707821E-2</v>
      </c>
      <c r="G1738" s="7">
        <f ca="1">$C$11/(1+D1738)^1
 +$D$11/(1+D1738)^2
 +$E$11/(1+D1738)^3
 +$F$11/(1+D1738)^4
 +$G$11/(1+D1738)^5
 +$H$11/(1+D1738)^6
 +$I$11/(1+D1738)^7
 + ( $I$11*(1+F1738)/(D1738-F1738) )/(1+D1738)^7</f>
        <v>488.15750170012598</v>
      </c>
      <c r="H1738" s="7">
        <f ca="1">(G1738-$C$8)/$C$9</f>
        <v>2.6949768300549861</v>
      </c>
    </row>
    <row r="1739" spans="3:8" x14ac:dyDescent="0.35">
      <c r="C1739" s="8">
        <f t="shared" ca="1" si="104"/>
        <v>0.83035322139773515</v>
      </c>
      <c r="D1739" s="7">
        <f t="shared" ca="1" si="105"/>
        <v>9.8496761877203159E-2</v>
      </c>
      <c r="E1739" s="7">
        <f t="shared" ca="1" si="106"/>
        <v>0.93577723489255416</v>
      </c>
      <c r="F1739" s="7">
        <f t="shared" ca="1" si="107"/>
        <v>2.6416070170680071E-2</v>
      </c>
      <c r="G1739" s="7">
        <f ca="1">$C$11/(1+D1739)^1
 +$D$11/(1+D1739)^2
 +$E$11/(1+D1739)^3
 +$F$11/(1+D1739)^4
 +$G$11/(1+D1739)^5
 +$H$11/(1+D1739)^6
 +$I$11/(1+D1739)^7
 + ( $I$11*(1+F1739)/(D1739-F1739) )/(1+D1739)^7</f>
        <v>358.4015222177012</v>
      </c>
      <c r="H1739" s="7">
        <f ca="1">(G1739-$C$8)/$C$9</f>
        <v>1.9613948564998935</v>
      </c>
    </row>
    <row r="1740" spans="3:8" x14ac:dyDescent="0.35">
      <c r="C1740" s="8">
        <f t="shared" ca="1" si="104"/>
        <v>0.74198440252525599</v>
      </c>
      <c r="D1740" s="7">
        <f t="shared" ca="1" si="105"/>
        <v>9.5813662698557456E-2</v>
      </c>
      <c r="E1740" s="7">
        <f t="shared" ca="1" si="106"/>
        <v>9.5850621368080202E-2</v>
      </c>
      <c r="F1740" s="7">
        <f t="shared" ca="1" si="107"/>
        <v>1.4378370047588034E-2</v>
      </c>
      <c r="G1740" s="7">
        <f ca="1">$C$11/(1+D1740)^1
 +$D$11/(1+D1740)^2
 +$E$11/(1+D1740)^3
 +$F$11/(1+D1740)^4
 +$G$11/(1+D1740)^5
 +$H$11/(1+D1740)^6
 +$I$11/(1+D1740)^7
 + ( $I$11*(1+F1740)/(D1740-F1740) )/(1+D1740)^7</f>
        <v>333.96666408560145</v>
      </c>
      <c r="H1740" s="7">
        <f ca="1">(G1740-$C$8)/$C$9</f>
        <v>1.8232511538082397</v>
      </c>
    </row>
    <row r="1741" spans="3:8" x14ac:dyDescent="0.35">
      <c r="C1741" s="8">
        <f t="shared" ca="1" si="104"/>
        <v>0.46430979970178243</v>
      </c>
      <c r="D1741" s="7">
        <f t="shared" ca="1" si="105"/>
        <v>8.9512407226056495E-2</v>
      </c>
      <c r="E1741" s="7">
        <f t="shared" ca="1" si="106"/>
        <v>0.79176599896664812</v>
      </c>
      <c r="F1741" s="7">
        <f t="shared" ca="1" si="107"/>
        <v>2.3546566789167927E-2</v>
      </c>
      <c r="G1741" s="7">
        <f ca="1">$C$11/(1+D1741)^1
 +$D$11/(1+D1741)^2
 +$E$11/(1+D1741)^3
 +$F$11/(1+D1741)^4
 +$G$11/(1+D1741)^5
 +$H$11/(1+D1741)^6
 +$I$11/(1+D1741)^7
 + ( $I$11*(1+F1741)/(D1741-F1741) )/(1+D1741)^7</f>
        <v>398.37445953385503</v>
      </c>
      <c r="H1741" s="7">
        <f ca="1">(G1741-$C$8)/$C$9</f>
        <v>2.1873838734388005</v>
      </c>
    </row>
    <row r="1742" spans="3:8" x14ac:dyDescent="0.35">
      <c r="C1742" s="8">
        <f t="shared" ca="1" si="104"/>
        <v>0.74848897359268474</v>
      </c>
      <c r="D1742" s="7">
        <f t="shared" ca="1" si="105"/>
        <v>9.5993622859650463E-2</v>
      </c>
      <c r="E1742" s="7">
        <f t="shared" ca="1" si="106"/>
        <v>0.91010050674768506</v>
      </c>
      <c r="F1742" s="7">
        <f t="shared" ca="1" si="107"/>
        <v>2.5759728941392661E-2</v>
      </c>
      <c r="G1742" s="7">
        <f ca="1">$C$11/(1+D1742)^1
 +$D$11/(1+D1742)^2
 +$E$11/(1+D1742)^3
 +$F$11/(1+D1742)^4
 +$G$11/(1+D1742)^5
 +$H$11/(1+D1742)^6
 +$I$11/(1+D1742)^7
 + ( $I$11*(1+F1742)/(D1742-F1742) )/(1+D1742)^7</f>
        <v>369.33451273729349</v>
      </c>
      <c r="H1742" s="7">
        <f ca="1">(G1742-$C$8)/$C$9</f>
        <v>2.023205069749511</v>
      </c>
    </row>
    <row r="1743" spans="3:8" x14ac:dyDescent="0.35">
      <c r="C1743" s="8">
        <f t="shared" ca="1" si="104"/>
        <v>0.36885948603640828</v>
      </c>
      <c r="D1743" s="7">
        <f t="shared" ca="1" si="105"/>
        <v>8.7391514555950983E-2</v>
      </c>
      <c r="E1743" s="7">
        <f t="shared" ca="1" si="106"/>
        <v>0.52431707257712246</v>
      </c>
      <c r="F1743" s="7">
        <f t="shared" ca="1" si="107"/>
        <v>2.0246201484315177E-2</v>
      </c>
      <c r="G1743" s="7">
        <f ca="1">$C$11/(1+D1743)^1
 +$D$11/(1+D1743)^2
 +$E$11/(1+D1743)^3
 +$F$11/(1+D1743)^4
 +$G$11/(1+D1743)^5
 +$H$11/(1+D1743)^6
 +$I$11/(1+D1743)^7
 + ( $I$11*(1+F1743)/(D1743-F1743) )/(1+D1743)^7</f>
        <v>397.41481392219225</v>
      </c>
      <c r="H1743" s="7">
        <f ca="1">(G1743-$C$8)/$C$9</f>
        <v>2.1819584685786535</v>
      </c>
    </row>
    <row r="1744" spans="3:8" x14ac:dyDescent="0.35">
      <c r="C1744" s="8">
        <f t="shared" ca="1" si="104"/>
        <v>0.85355963940055091</v>
      </c>
      <c r="D1744" s="7">
        <f t="shared" ca="1" si="105"/>
        <v>9.9312461402756472E-2</v>
      </c>
      <c r="E1744" s="7">
        <f t="shared" ca="1" si="106"/>
        <v>0.85387754687864115</v>
      </c>
      <c r="F1744" s="7">
        <f t="shared" ca="1" si="107"/>
        <v>2.4594031943835429E-2</v>
      </c>
      <c r="G1744" s="7">
        <f ca="1">$C$11/(1+D1744)^1
 +$D$11/(1+D1744)^2
 +$E$11/(1+D1744)^3
 +$F$11/(1+D1744)^4
 +$G$11/(1+D1744)^5
 +$H$11/(1+D1744)^6
 +$I$11/(1+D1744)^7
 + ( $I$11*(1+F1744)/(D1744-F1744) )/(1+D1744)^7</f>
        <v>348.26173064328646</v>
      </c>
      <c r="H1744" s="7">
        <f ca="1">(G1744-$C$8)/$C$9</f>
        <v>1.9040690334875985</v>
      </c>
    </row>
    <row r="1745" spans="3:8" x14ac:dyDescent="0.35">
      <c r="C1745" s="8">
        <f t="shared" ref="C1745:C1808" ca="1" si="108">RAND()</f>
        <v>0.28841660272708303</v>
      </c>
      <c r="D1745" s="7">
        <f t="shared" ref="D1745:D1808" ca="1" si="109">IF(C1745&lt;(0.0905-0.07)/(0.11-0.07),
 0.07+SQRT(C1745*(0.11-0.07)*(0.0905-0.07)),
 0.11-SQRT((1-C1745)*(0.11-0.07)*(0.11-0.0905))
)</f>
        <v>8.5378608982486295E-2</v>
      </c>
      <c r="E1745" s="7">
        <f t="shared" ref="E1745:E1808" ca="1" si="110">RAND()</f>
        <v>0.77785005944135399</v>
      </c>
      <c r="F1745" s="7">
        <f t="shared" ref="F1745:F1808" ca="1" si="111">MIN(
 IF(E1745&lt;(0.02-0.01)/(0.03-0.01),
   0.01+SQRT(E1745*(0.03-0.01)*(0.02-0.01)),
   0.03-SQRT((1-E1745)*(0.03-0.01)*(0.03-0.02))
 ),
 D1745-0.005
)</f>
        <v>2.3334417646467098E-2</v>
      </c>
      <c r="G1745" s="7">
        <f ca="1">$C$11/(1+D1745)^1
 +$D$11/(1+D1745)^2
 +$E$11/(1+D1745)^3
 +$F$11/(1+D1745)^4
 +$G$11/(1+D1745)^5
 +$H$11/(1+D1745)^6
 +$I$11/(1+D1745)^7
 + ( $I$11*(1+F1745)/(D1745-F1745) )/(1+D1745)^7</f>
        <v>424.95036051702584</v>
      </c>
      <c r="H1745" s="7">
        <f ca="1">(G1745-$C$8)/$C$9</f>
        <v>2.3376320698610686</v>
      </c>
    </row>
    <row r="1746" spans="3:8" x14ac:dyDescent="0.35">
      <c r="C1746" s="8">
        <f t="shared" ca="1" si="108"/>
        <v>0.20581028462917561</v>
      </c>
      <c r="D1746" s="7">
        <f t="shared" ca="1" si="109"/>
        <v>8.299093658655618E-2</v>
      </c>
      <c r="E1746" s="7">
        <f t="shared" ca="1" si="110"/>
        <v>0.80601384059892711</v>
      </c>
      <c r="F1746" s="7">
        <f t="shared" ca="1" si="111"/>
        <v>2.3771257600428912E-2</v>
      </c>
      <c r="G1746" s="7">
        <f ca="1">$C$11/(1+D1746)^1
 +$D$11/(1+D1746)^2
 +$E$11/(1+D1746)^3
 +$F$11/(1+D1746)^4
 +$G$11/(1+D1746)^5
 +$H$11/(1+D1746)^6
 +$I$11/(1+D1746)^7
 + ( $I$11*(1+F1746)/(D1746-F1746) )/(1+D1746)^7</f>
        <v>444.99311994315076</v>
      </c>
      <c r="H1746" s="7">
        <f ca="1">(G1746-$C$8)/$C$9</f>
        <v>2.4509448210264062</v>
      </c>
    </row>
    <row r="1747" spans="3:8" x14ac:dyDescent="0.35">
      <c r="C1747" s="8">
        <f t="shared" ca="1" si="108"/>
        <v>7.0996830037928227E-4</v>
      </c>
      <c r="D1747" s="7">
        <f t="shared" ca="1" si="109"/>
        <v>7.076300328066859E-2</v>
      </c>
      <c r="E1747" s="7">
        <f t="shared" ca="1" si="110"/>
        <v>0.48082944629235913</v>
      </c>
      <c r="F1747" s="7">
        <f t="shared" ca="1" si="111"/>
        <v>1.9806420817937185E-2</v>
      </c>
      <c r="G1747" s="7">
        <f ca="1">$C$11/(1+D1747)^1
 +$D$11/(1+D1747)^2
 +$E$11/(1+D1747)^3
 +$F$11/(1+D1747)^4
 +$G$11/(1+D1747)^5
 +$H$11/(1+D1747)^6
 +$I$11/(1+D1747)^7
 + ( $I$11*(1+F1747)/(D1747-F1747) )/(1+D1747)^7</f>
        <v>530.23201943068921</v>
      </c>
      <c r="H1747" s="7">
        <f ca="1">(G1747-$C$8)/$C$9</f>
        <v>2.9328472378487631</v>
      </c>
    </row>
    <row r="1748" spans="3:8" x14ac:dyDescent="0.35">
      <c r="C1748" s="8">
        <f t="shared" ca="1" si="108"/>
        <v>0.31112517092579228</v>
      </c>
      <c r="D1748" s="7">
        <f t="shared" ca="1" si="109"/>
        <v>8.5972558973412799E-2</v>
      </c>
      <c r="E1748" s="7">
        <f t="shared" ca="1" si="110"/>
        <v>0.59011508480462904</v>
      </c>
      <c r="F1748" s="7">
        <f t="shared" ca="1" si="111"/>
        <v>2.0945885850119063E-2</v>
      </c>
      <c r="G1748" s="7">
        <f ca="1">$C$11/(1+D1748)^1
 +$D$11/(1+D1748)^2
 +$E$11/(1+D1748)^3
 +$F$11/(1+D1748)^4
 +$G$11/(1+D1748)^5
 +$H$11/(1+D1748)^6
 +$I$11/(1+D1748)^7
 + ( $I$11*(1+F1748)/(D1748-F1748) )/(1+D1748)^7</f>
        <v>409.4963497623005</v>
      </c>
      <c r="H1748" s="7">
        <f ca="1">(G1748-$C$8)/$C$9</f>
        <v>2.2502620407185692</v>
      </c>
    </row>
    <row r="1749" spans="3:8" x14ac:dyDescent="0.35">
      <c r="C1749" s="8">
        <f t="shared" ca="1" si="108"/>
        <v>0.60521794493700376</v>
      </c>
      <c r="D1749" s="7">
        <f t="shared" ca="1" si="109"/>
        <v>9.2452065564598868E-2</v>
      </c>
      <c r="E1749" s="7">
        <f t="shared" ca="1" si="110"/>
        <v>0.93290965923520697</v>
      </c>
      <c r="F1749" s="7">
        <f t="shared" ca="1" si="111"/>
        <v>2.6336931866186679E-2</v>
      </c>
      <c r="G1749" s="7">
        <f ca="1">$C$11/(1+D1749)^1
 +$D$11/(1+D1749)^2
 +$E$11/(1+D1749)^3
 +$F$11/(1+D1749)^4
 +$G$11/(1+D1749)^5
 +$H$11/(1+D1749)^6
 +$I$11/(1+D1749)^7
 + ( $I$11*(1+F1749)/(D1749-F1749) )/(1+D1749)^7</f>
        <v>392.11326911166628</v>
      </c>
      <c r="H1749" s="7">
        <f ca="1">(G1749-$C$8)/$C$9</f>
        <v>2.1519859176371905</v>
      </c>
    </row>
    <row r="1750" spans="3:8" x14ac:dyDescent="0.35">
      <c r="C1750" s="8">
        <f t="shared" ca="1" si="108"/>
        <v>0.60937496900401067</v>
      </c>
      <c r="D1750" s="7">
        <f t="shared" ca="1" si="109"/>
        <v>9.2544699252752133E-2</v>
      </c>
      <c r="E1750" s="7">
        <f t="shared" ca="1" si="110"/>
        <v>0.56717484433197751</v>
      </c>
      <c r="F1750" s="7">
        <f t="shared" ca="1" si="111"/>
        <v>2.0695966942577831E-2</v>
      </c>
      <c r="G1750" s="7">
        <f ca="1">$C$11/(1+D1750)^1
 +$D$11/(1+D1750)^2
 +$E$11/(1+D1750)^3
 +$F$11/(1+D1750)^4
 +$G$11/(1+D1750)^5
 +$H$11/(1+D1750)^6
 +$I$11/(1+D1750)^7
 + ( $I$11*(1+F1750)/(D1750-F1750) )/(1+D1750)^7</f>
        <v>369.54706165405969</v>
      </c>
      <c r="H1750" s="7">
        <f ca="1">(G1750-$C$8)/$C$9</f>
        <v>2.0244067257692202</v>
      </c>
    </row>
    <row r="1751" spans="3:8" x14ac:dyDescent="0.35">
      <c r="C1751" s="8">
        <f t="shared" ca="1" si="108"/>
        <v>0.54821759488332455</v>
      </c>
      <c r="D1751" s="7">
        <f t="shared" ca="1" si="109"/>
        <v>9.1227938951968887E-2</v>
      </c>
      <c r="E1751" s="7">
        <f t="shared" ca="1" si="110"/>
        <v>0.52465886882841806</v>
      </c>
      <c r="F1751" s="7">
        <f t="shared" ca="1" si="111"/>
        <v>2.024970635138016E-2</v>
      </c>
      <c r="G1751" s="7">
        <f ca="1">$C$11/(1+D1751)^1
 +$D$11/(1+D1751)^2
 +$E$11/(1+D1751)^3
 +$F$11/(1+D1751)^4
 +$G$11/(1+D1751)^5
 +$H$11/(1+D1751)^6
 +$I$11/(1+D1751)^7
 + ( $I$11*(1+F1751)/(D1751-F1751) )/(1+D1751)^7</f>
        <v>375.07545113730032</v>
      </c>
      <c r="H1751" s="7">
        <f ca="1">(G1751-$C$8)/$C$9</f>
        <v>2.0556617545075775</v>
      </c>
    </row>
    <row r="1752" spans="3:8" x14ac:dyDescent="0.35">
      <c r="C1752" s="8">
        <f t="shared" ca="1" si="108"/>
        <v>0.74527392387417835</v>
      </c>
      <c r="D1752" s="7">
        <f t="shared" ca="1" si="109"/>
        <v>9.590438581053877E-2</v>
      </c>
      <c r="E1752" s="7">
        <f t="shared" ca="1" si="110"/>
        <v>0.75958522754036117</v>
      </c>
      <c r="F1752" s="7">
        <f t="shared" ca="1" si="111"/>
        <v>2.3065812629303434E-2</v>
      </c>
      <c r="G1752" s="7">
        <f ca="1">$C$11/(1+D1752)^1
 +$D$11/(1+D1752)^2
 +$E$11/(1+D1752)^3
 +$F$11/(1+D1752)^4
 +$G$11/(1+D1752)^5
 +$H$11/(1+D1752)^6
 +$I$11/(1+D1752)^7
 + ( $I$11*(1+F1752)/(D1752-F1752) )/(1+D1752)^7</f>
        <v>360.21922077170717</v>
      </c>
      <c r="H1752" s="7">
        <f ca="1">(G1752-$C$8)/$C$9</f>
        <v>1.9716713069409042</v>
      </c>
    </row>
    <row r="1753" spans="3:8" x14ac:dyDescent="0.35">
      <c r="C1753" s="8">
        <f t="shared" ca="1" si="108"/>
        <v>0.60308098682870148</v>
      </c>
      <c r="D1753" s="7">
        <f t="shared" ca="1" si="109"/>
        <v>9.2404636114202909E-2</v>
      </c>
      <c r="E1753" s="7">
        <f t="shared" ca="1" si="110"/>
        <v>0.1504274984517987</v>
      </c>
      <c r="F1753" s="7">
        <f t="shared" ca="1" si="111"/>
        <v>1.5485025040085025E-2</v>
      </c>
      <c r="G1753" s="7">
        <f ca="1">$C$11/(1+D1753)^1
 +$D$11/(1+D1753)^2
 +$E$11/(1+D1753)^3
 +$F$11/(1+D1753)^4
 +$G$11/(1+D1753)^5
 +$H$11/(1+D1753)^6
 +$I$11/(1+D1753)^7
 + ( $I$11*(1+F1753)/(D1753-F1753) )/(1+D1753)^7</f>
        <v>352.76061458906281</v>
      </c>
      <c r="H1753" s="7">
        <f ca="1">(G1753-$C$8)/$C$9</f>
        <v>1.9295037007522773</v>
      </c>
    </row>
    <row r="1754" spans="3:8" x14ac:dyDescent="0.35">
      <c r="C1754" s="8">
        <f t="shared" ca="1" si="108"/>
        <v>0.68389802131027222</v>
      </c>
      <c r="D1754" s="7">
        <f t="shared" ca="1" si="109"/>
        <v>9.4297785398932174E-2</v>
      </c>
      <c r="E1754" s="7">
        <f t="shared" ca="1" si="110"/>
        <v>0.8902366063886753</v>
      </c>
      <c r="F1754" s="7">
        <f t="shared" ca="1" si="111"/>
        <v>2.53146314208736E-2</v>
      </c>
      <c r="G1754" s="7">
        <f ca="1">$C$11/(1+D1754)^1
 +$D$11/(1+D1754)^2
 +$E$11/(1+D1754)^3
 +$F$11/(1+D1754)^4
 +$G$11/(1+D1754)^5
 +$H$11/(1+D1754)^6
 +$I$11/(1+D1754)^7
 + ( $I$11*(1+F1754)/(D1754-F1754) )/(1+D1754)^7</f>
        <v>377.08495476159698</v>
      </c>
      <c r="H1754" s="7">
        <f ca="1">(G1754-$C$8)/$C$9</f>
        <v>2.0670225845861427</v>
      </c>
    </row>
    <row r="1755" spans="3:8" x14ac:dyDescent="0.35">
      <c r="C1755" s="8">
        <f t="shared" ca="1" si="108"/>
        <v>0.65496738160107082</v>
      </c>
      <c r="D1755" s="7">
        <f t="shared" ca="1" si="109"/>
        <v>9.3594956801301477E-2</v>
      </c>
      <c r="E1755" s="7">
        <f t="shared" ca="1" si="110"/>
        <v>0.71137460389973828</v>
      </c>
      <c r="F1755" s="7">
        <f t="shared" ca="1" si="111"/>
        <v>2.240229776708429E-2</v>
      </c>
      <c r="G1755" s="7">
        <f ca="1">$C$11/(1+D1755)^1
 +$D$11/(1+D1755)^2
 +$E$11/(1+D1755)^3
 +$F$11/(1+D1755)^4
 +$G$11/(1+D1755)^5
 +$H$11/(1+D1755)^6
 +$I$11/(1+D1755)^7
 + ( $I$11*(1+F1755)/(D1755-F1755) )/(1+D1755)^7</f>
        <v>370.06070072454497</v>
      </c>
      <c r="H1755" s="7">
        <f ca="1">(G1755-$C$8)/$C$9</f>
        <v>2.0273106101568574</v>
      </c>
    </row>
    <row r="1756" spans="3:8" x14ac:dyDescent="0.35">
      <c r="C1756" s="8">
        <f t="shared" ca="1" si="108"/>
        <v>0.49957913026875089</v>
      </c>
      <c r="D1756" s="7">
        <f t="shared" ca="1" si="109"/>
        <v>9.0239932974700676E-2</v>
      </c>
      <c r="E1756" s="7">
        <f t="shared" ca="1" si="110"/>
        <v>0.36929082258184465</v>
      </c>
      <c r="F1756" s="7">
        <f t="shared" ca="1" si="111"/>
        <v>1.8594077292901717E-2</v>
      </c>
      <c r="G1756" s="7">
        <f ca="1">$C$11/(1+D1756)^1
 +$D$11/(1+D1756)^2
 +$E$11/(1+D1756)^3
 +$F$11/(1+D1756)^4
 +$G$11/(1+D1756)^5
 +$H$11/(1+D1756)^6
 +$I$11/(1+D1756)^7
 + ( $I$11*(1+F1756)/(D1756-F1756) )/(1+D1756)^7</f>
        <v>374.39360895576863</v>
      </c>
      <c r="H1756" s="7">
        <f ca="1">(G1756-$C$8)/$C$9</f>
        <v>2.0518069253492119</v>
      </c>
    </row>
    <row r="1757" spans="3:8" x14ac:dyDescent="0.35">
      <c r="C1757" s="8">
        <f t="shared" ca="1" si="108"/>
        <v>5.5237367508232049E-2</v>
      </c>
      <c r="D1757" s="7">
        <f t="shared" ca="1" si="109"/>
        <v>7.6730129371472014E-2</v>
      </c>
      <c r="E1757" s="7">
        <f t="shared" ca="1" si="110"/>
        <v>0.19205321077571413</v>
      </c>
      <c r="F1757" s="7">
        <f t="shared" ca="1" si="111"/>
        <v>1.6197631979646972E-2</v>
      </c>
      <c r="G1757" s="7">
        <f ca="1">$C$11/(1+D1757)^1
 +$D$11/(1+D1757)^2
 +$E$11/(1+D1757)^3
 +$F$11/(1+D1757)^4
 +$G$11/(1+D1757)^5
 +$H$11/(1+D1757)^6
 +$I$11/(1+D1757)^7
 + ( $I$11*(1+F1757)/(D1757-F1757) )/(1+D1757)^7</f>
        <v>451.60601203917741</v>
      </c>
      <c r="H1757" s="7">
        <f ca="1">(G1757-$C$8)/$C$9</f>
        <v>2.4883311399772579</v>
      </c>
    </row>
    <row r="1758" spans="3:8" x14ac:dyDescent="0.35">
      <c r="C1758" s="8">
        <f t="shared" ca="1" si="108"/>
        <v>0.16291616973461032</v>
      </c>
      <c r="D1758" s="7">
        <f t="shared" ca="1" si="109"/>
        <v>8.1558168504671513E-2</v>
      </c>
      <c r="E1758" s="7">
        <f t="shared" ca="1" si="110"/>
        <v>0.75844139159542956</v>
      </c>
      <c r="F1758" s="7">
        <f t="shared" ca="1" si="111"/>
        <v>2.3049336601380119E-2</v>
      </c>
      <c r="G1758" s="7">
        <f ca="1">$C$11/(1+D1758)^1
 +$D$11/(1+D1758)^2
 +$E$11/(1+D1758)^3
 +$F$11/(1+D1758)^4
 +$G$11/(1+D1758)^5
 +$H$11/(1+D1758)^6
 +$I$11/(1+D1758)^7
 + ( $I$11*(1+F1758)/(D1758-F1758) )/(1+D1758)^7</f>
        <v>452.19912560579235</v>
      </c>
      <c r="H1758" s="7">
        <f ca="1">(G1758-$C$8)/$C$9</f>
        <v>2.4916843374366371</v>
      </c>
    </row>
    <row r="1759" spans="3:8" x14ac:dyDescent="0.35">
      <c r="C1759" s="8">
        <f t="shared" ca="1" si="108"/>
        <v>0.67554501523078458</v>
      </c>
      <c r="D1759" s="7">
        <f t="shared" ca="1" si="109"/>
        <v>9.4091672365707701E-2</v>
      </c>
      <c r="E1759" s="7">
        <f t="shared" ca="1" si="110"/>
        <v>0.37069020344472736</v>
      </c>
      <c r="F1759" s="7">
        <f t="shared" ca="1" si="111"/>
        <v>1.8610344980832388E-2</v>
      </c>
      <c r="G1759" s="7">
        <f ca="1">$C$11/(1+D1759)^1
 +$D$11/(1+D1759)^2
 +$E$11/(1+D1759)^3
 +$F$11/(1+D1759)^4
 +$G$11/(1+D1759)^5
 +$H$11/(1+D1759)^6
 +$I$11/(1+D1759)^7
 + ( $I$11*(1+F1759)/(D1759-F1759) )/(1+D1759)^7</f>
        <v>354.5025014582726</v>
      </c>
      <c r="H1759" s="7">
        <f ca="1">(G1759-$C$8)/$C$9</f>
        <v>1.9393515460101345</v>
      </c>
    </row>
    <row r="1760" spans="3:8" x14ac:dyDescent="0.35">
      <c r="C1760" s="8">
        <f t="shared" ca="1" si="108"/>
        <v>0.22864830502978628</v>
      </c>
      <c r="D1760" s="7">
        <f t="shared" ca="1" si="109"/>
        <v>8.3692757579261562E-2</v>
      </c>
      <c r="E1760" s="7">
        <f t="shared" ca="1" si="110"/>
        <v>0.30861821747139706</v>
      </c>
      <c r="F1760" s="7">
        <f t="shared" ca="1" si="111"/>
        <v>1.7856439619463732E-2</v>
      </c>
      <c r="G1760" s="7">
        <f ca="1">$C$11/(1+D1760)^1
 +$D$11/(1+D1760)^2
 +$E$11/(1+D1760)^3
 +$F$11/(1+D1760)^4
 +$G$11/(1+D1760)^5
 +$H$11/(1+D1760)^6
 +$I$11/(1+D1760)^7
 + ( $I$11*(1+F1760)/(D1760-F1760) )/(1+D1760)^7</f>
        <v>410.39701795641218</v>
      </c>
      <c r="H1760" s="7">
        <f ca="1">(G1760-$C$8)/$C$9</f>
        <v>2.2553540137743791</v>
      </c>
    </row>
    <row r="1761" spans="3:8" x14ac:dyDescent="0.35">
      <c r="C1761" s="8">
        <f t="shared" ca="1" si="108"/>
        <v>5.4734886218954726E-2</v>
      </c>
      <c r="D1761" s="7">
        <f t="shared" ca="1" si="109"/>
        <v>7.6699448238440451E-2</v>
      </c>
      <c r="E1761" s="7">
        <f t="shared" ca="1" si="110"/>
        <v>0.56616386246506123</v>
      </c>
      <c r="F1761" s="7">
        <f t="shared" ca="1" si="111"/>
        <v>2.0685107219780372E-2</v>
      </c>
      <c r="G1761" s="7">
        <f ca="1">$C$11/(1+D1761)^1
 +$D$11/(1+D1761)^2
 +$E$11/(1+D1761)^3
 +$F$11/(1+D1761)^4
 +$G$11/(1+D1761)^5
 +$H$11/(1+D1761)^6
 +$I$11/(1+D1761)^7
 + ( $I$11*(1+F1761)/(D1761-F1761) )/(1+D1761)^7</f>
        <v>478.65881413685014</v>
      </c>
      <c r="H1761" s="7">
        <f ca="1">(G1761-$C$8)/$C$9</f>
        <v>2.6412755209003285</v>
      </c>
    </row>
    <row r="1762" spans="3:8" x14ac:dyDescent="0.35">
      <c r="C1762" s="8">
        <f t="shared" ca="1" si="108"/>
        <v>0.34855690552822238</v>
      </c>
      <c r="D1762" s="7">
        <f t="shared" ca="1" si="109"/>
        <v>8.6906113170481927E-2</v>
      </c>
      <c r="E1762" s="7">
        <f t="shared" ca="1" si="110"/>
        <v>0.64873726400514065</v>
      </c>
      <c r="F1762" s="7">
        <f t="shared" ca="1" si="111"/>
        <v>2.1618320741106117E-2</v>
      </c>
      <c r="G1762" s="7">
        <f ca="1">$C$11/(1+D1762)^1
 +$D$11/(1+D1762)^2
 +$E$11/(1+D1762)^3
 +$F$11/(1+D1762)^4
 +$G$11/(1+D1762)^5
 +$H$11/(1+D1762)^6
 +$I$11/(1+D1762)^7
 + ( $I$11*(1+F1762)/(D1762-F1762) )/(1+D1762)^7</f>
        <v>406.46059823647965</v>
      </c>
      <c r="H1762" s="7">
        <f ca="1">(G1762-$C$8)/$C$9</f>
        <v>2.2330992663753939</v>
      </c>
    </row>
    <row r="1763" spans="3:8" x14ac:dyDescent="0.35">
      <c r="C1763" s="8">
        <f t="shared" ca="1" si="108"/>
        <v>0.13858323667471795</v>
      </c>
      <c r="D1763" s="7">
        <f t="shared" ca="1" si="109"/>
        <v>8.0660124486762283E-2</v>
      </c>
      <c r="E1763" s="7">
        <f t="shared" ca="1" si="110"/>
        <v>0.34887679740310584</v>
      </c>
      <c r="F1763" s="7">
        <f t="shared" ca="1" si="111"/>
        <v>1.8353164638663669E-2</v>
      </c>
      <c r="G1763" s="7">
        <f ca="1">$C$11/(1+D1763)^1
 +$D$11/(1+D1763)^2
 +$E$11/(1+D1763)^3
 +$F$11/(1+D1763)^4
 +$G$11/(1+D1763)^5
 +$H$11/(1+D1763)^6
 +$I$11/(1+D1763)^7
 + ( $I$11*(1+F1763)/(D1763-F1763) )/(1+D1763)^7</f>
        <v>433.5773562054751</v>
      </c>
      <c r="H1763" s="7">
        <f ca="1">(G1763-$C$8)/$C$9</f>
        <v>2.3864052250422607</v>
      </c>
    </row>
    <row r="1764" spans="3:8" x14ac:dyDescent="0.35">
      <c r="C1764" s="8">
        <f t="shared" ca="1" si="108"/>
        <v>0.48317610800789923</v>
      </c>
      <c r="D1764" s="7">
        <f t="shared" ca="1" si="109"/>
        <v>8.9904884038006283E-2</v>
      </c>
      <c r="E1764" s="7">
        <f t="shared" ca="1" si="110"/>
        <v>0.51287143807313484</v>
      </c>
      <c r="F1764" s="7">
        <f t="shared" ca="1" si="111"/>
        <v>2.0129553587330866E-2</v>
      </c>
      <c r="G1764" s="7">
        <f ca="1">$C$11/(1+D1764)^1
 +$D$11/(1+D1764)^2
 +$E$11/(1+D1764)^3
 +$F$11/(1+D1764)^4
 +$G$11/(1+D1764)^5
 +$H$11/(1+D1764)^6
 +$I$11/(1+D1764)^7
 + ( $I$11*(1+F1764)/(D1764-F1764) )/(1+D1764)^7</f>
        <v>382.0394020624567</v>
      </c>
      <c r="H1764" s="7">
        <f ca="1">(G1764-$C$8)/$C$9</f>
        <v>2.0950328022526952</v>
      </c>
    </row>
    <row r="1765" spans="3:8" x14ac:dyDescent="0.35">
      <c r="C1765" s="8">
        <f t="shared" ca="1" si="108"/>
        <v>0.23430895736900159</v>
      </c>
      <c r="D1765" s="7">
        <f t="shared" ca="1" si="109"/>
        <v>8.3861217300171778E-2</v>
      </c>
      <c r="E1765" s="7">
        <f t="shared" ca="1" si="110"/>
        <v>0.86646060964711713</v>
      </c>
      <c r="F1765" s="7">
        <f t="shared" ca="1" si="111"/>
        <v>2.4832033468512343E-2</v>
      </c>
      <c r="G1765" s="7">
        <f ca="1">$C$11/(1+D1765)^1
 +$D$11/(1+D1765)^2
 +$E$11/(1+D1765)^3
 +$F$11/(1+D1765)^4
 +$G$11/(1+D1765)^5
 +$H$11/(1+D1765)^6
 +$I$11/(1+D1765)^7
 + ( $I$11*(1+F1765)/(D1765-F1765) )/(1+D1765)^7</f>
        <v>444.14652224338545</v>
      </c>
      <c r="H1765" s="7">
        <f ca="1">(G1765-$C$8)/$C$9</f>
        <v>2.4461585382371407</v>
      </c>
    </row>
    <row r="1766" spans="3:8" x14ac:dyDescent="0.35">
      <c r="C1766" s="8">
        <f t="shared" ca="1" si="108"/>
        <v>0.56730565182894133</v>
      </c>
      <c r="D1766" s="7">
        <f t="shared" ca="1" si="109"/>
        <v>9.1628783612035219E-2</v>
      </c>
      <c r="E1766" s="7">
        <f t="shared" ca="1" si="110"/>
        <v>0.89147639292716363</v>
      </c>
      <c r="F1766" s="7">
        <f t="shared" ca="1" si="111"/>
        <v>2.5341167376416354E-2</v>
      </c>
      <c r="G1766" s="7">
        <f ca="1">$C$11/(1+D1766)^1
 +$D$11/(1+D1766)^2
 +$E$11/(1+D1766)^3
 +$F$11/(1+D1766)^4
 +$G$11/(1+D1766)^5
 +$H$11/(1+D1766)^6
 +$I$11/(1+D1766)^7
 + ( $I$11*(1+F1766)/(D1766-F1766) )/(1+D1766)^7</f>
        <v>392.94199620675249</v>
      </c>
      <c r="H1766" s="7">
        <f ca="1">(G1766-$C$8)/$C$9</f>
        <v>2.1566711680616941</v>
      </c>
    </row>
    <row r="1767" spans="3:8" x14ac:dyDescent="0.35">
      <c r="C1767" s="8">
        <f t="shared" ca="1" si="108"/>
        <v>0.47733641754813827</v>
      </c>
      <c r="D1767" s="7">
        <f t="shared" ca="1" si="109"/>
        <v>8.9784232671232755E-2</v>
      </c>
      <c r="E1767" s="7">
        <f t="shared" ca="1" si="110"/>
        <v>0.41320182280899409</v>
      </c>
      <c r="F1767" s="7">
        <f t="shared" ca="1" si="111"/>
        <v>1.9090674593329079E-2</v>
      </c>
      <c r="G1767" s="7">
        <f ca="1">$C$11/(1+D1767)^1
 +$D$11/(1+D1767)^2
 +$E$11/(1+D1767)^3
 +$F$11/(1+D1767)^4
 +$G$11/(1+D1767)^5
 +$H$11/(1+D1767)^6
 +$I$11/(1+D1767)^7
 + ( $I$11*(1+F1767)/(D1767-F1767) )/(1+D1767)^7</f>
        <v>378.75545883001013</v>
      </c>
      <c r="H1767" s="7">
        <f ca="1">(G1767-$C$8)/$C$9</f>
        <v>2.0764668635798853</v>
      </c>
    </row>
    <row r="1768" spans="3:8" x14ac:dyDescent="0.35">
      <c r="C1768" s="8">
        <f t="shared" ca="1" si="108"/>
        <v>0.87827682274988494</v>
      </c>
      <c r="D1768" s="7">
        <f t="shared" ca="1" si="109"/>
        <v>0.10025607480246848</v>
      </c>
      <c r="E1768" s="7">
        <f t="shared" ca="1" si="110"/>
        <v>0.81281766396921595</v>
      </c>
      <c r="F1768" s="7">
        <f t="shared" ca="1" si="111"/>
        <v>2.3881465272946732E-2</v>
      </c>
      <c r="G1768" s="7">
        <f ca="1">$C$11/(1+D1768)^1
 +$D$11/(1+D1768)^2
 +$E$11/(1+D1768)^3
 +$F$11/(1+D1768)^4
 +$G$11/(1+D1768)^5
 +$H$11/(1+D1768)^6
 +$I$11/(1+D1768)^7
 + ( $I$11*(1+F1768)/(D1768-F1768) )/(1+D1768)^7</f>
        <v>341.55187181143589</v>
      </c>
      <c r="H1768" s="7">
        <f ca="1">(G1768-$C$8)/$C$9</f>
        <v>1.8661345082057659</v>
      </c>
    </row>
    <row r="1769" spans="3:8" x14ac:dyDescent="0.35">
      <c r="C1769" s="8">
        <f t="shared" ca="1" si="108"/>
        <v>0.35804470504335362</v>
      </c>
      <c r="D1769" s="7">
        <f t="shared" ca="1" si="109"/>
        <v>8.7134662475098545E-2</v>
      </c>
      <c r="E1769" s="7">
        <f t="shared" ca="1" si="110"/>
        <v>0.34063676435125256</v>
      </c>
      <c r="F1769" s="7">
        <f t="shared" ca="1" si="111"/>
        <v>1.8253929541148899E-2</v>
      </c>
      <c r="G1769" s="7">
        <f ca="1">$C$11/(1+D1769)^1
 +$D$11/(1+D1769)^2
 +$E$11/(1+D1769)^3
 +$F$11/(1+D1769)^4
 +$G$11/(1+D1769)^5
 +$H$11/(1+D1769)^6
 +$I$11/(1+D1769)^7
 + ( $I$11*(1+F1769)/(D1769-F1769) )/(1+D1769)^7</f>
        <v>390.73932977484378</v>
      </c>
      <c r="H1769" s="7">
        <f ca="1">(G1769-$C$8)/$C$9</f>
        <v>2.1442182823091573</v>
      </c>
    </row>
    <row r="1770" spans="3:8" x14ac:dyDescent="0.35">
      <c r="C1770" s="8">
        <f t="shared" ca="1" si="108"/>
        <v>0.66905346119232068</v>
      </c>
      <c r="D1770" s="7">
        <f t="shared" ca="1" si="109"/>
        <v>9.3933317073210482E-2</v>
      </c>
      <c r="E1770" s="7">
        <f t="shared" ca="1" si="110"/>
        <v>0.60057543461761109</v>
      </c>
      <c r="F1770" s="7">
        <f t="shared" ca="1" si="111"/>
        <v>2.1062163960080843E-2</v>
      </c>
      <c r="G1770" s="7">
        <f ca="1">$C$11/(1+D1770)^1
 +$D$11/(1+D1770)^2
 +$E$11/(1+D1770)^3
 +$F$11/(1+D1770)^4
 +$G$11/(1+D1770)^5
 +$H$11/(1+D1770)^6
 +$I$11/(1+D1770)^7
 + ( $I$11*(1+F1770)/(D1770-F1770) )/(1+D1770)^7</f>
        <v>363.50576711544898</v>
      </c>
      <c r="H1770" s="7">
        <f ca="1">(G1770-$C$8)/$C$9</f>
        <v>1.9902519624346955</v>
      </c>
    </row>
    <row r="1771" spans="3:8" x14ac:dyDescent="0.35">
      <c r="C1771" s="8">
        <f t="shared" ca="1" si="108"/>
        <v>0.42164955823095251</v>
      </c>
      <c r="D1771" s="7">
        <f t="shared" ca="1" si="109"/>
        <v>8.8594424910423575E-2</v>
      </c>
      <c r="E1771" s="7">
        <f t="shared" ca="1" si="110"/>
        <v>0.45240224849459121</v>
      </c>
      <c r="F1771" s="7">
        <f t="shared" ca="1" si="111"/>
        <v>1.9512121198708425E-2</v>
      </c>
      <c r="G1771" s="7">
        <f ca="1">$C$11/(1+D1771)^1
 +$D$11/(1+D1771)^2
 +$E$11/(1+D1771)^3
 +$F$11/(1+D1771)^4
 +$G$11/(1+D1771)^5
 +$H$11/(1+D1771)^6
 +$I$11/(1+D1771)^7
 + ( $I$11*(1+F1771)/(D1771-F1771) )/(1+D1771)^7</f>
        <v>387.18696382086409</v>
      </c>
      <c r="H1771" s="7">
        <f ca="1">(G1771-$C$8)/$C$9</f>
        <v>2.1241348022436912</v>
      </c>
    </row>
    <row r="1772" spans="3:8" x14ac:dyDescent="0.35">
      <c r="C1772" s="8">
        <f t="shared" ca="1" si="108"/>
        <v>0.5875535893491528</v>
      </c>
      <c r="D1772" s="7">
        <f t="shared" ca="1" si="109"/>
        <v>9.206377407848404E-2</v>
      </c>
      <c r="E1772" s="7">
        <f t="shared" ca="1" si="110"/>
        <v>0.22622447734962803</v>
      </c>
      <c r="F1772" s="7">
        <f t="shared" ca="1" si="111"/>
        <v>1.6726432596103645E-2</v>
      </c>
      <c r="G1772" s="7">
        <f ca="1">$C$11/(1+D1772)^1
 +$D$11/(1+D1772)^2
 +$E$11/(1+D1772)^3
 +$F$11/(1+D1772)^4
 +$G$11/(1+D1772)^5
 +$H$11/(1+D1772)^6
 +$I$11/(1+D1772)^7
 + ( $I$11*(1+F1772)/(D1772-F1772) )/(1+D1772)^7</f>
        <v>358.41144786960274</v>
      </c>
      <c r="H1772" s="7">
        <f ca="1">(G1772-$C$8)/$C$9</f>
        <v>1.9614509716734663</v>
      </c>
    </row>
    <row r="1773" spans="3:8" x14ac:dyDescent="0.35">
      <c r="C1773" s="8">
        <f t="shared" ca="1" si="108"/>
        <v>0.72069790089353614</v>
      </c>
      <c r="D1773" s="7">
        <f t="shared" ca="1" si="109"/>
        <v>9.5240066487174077E-2</v>
      </c>
      <c r="E1773" s="7">
        <f t="shared" ca="1" si="110"/>
        <v>0.13536437216445996</v>
      </c>
      <c r="F1773" s="7">
        <f t="shared" ca="1" si="111"/>
        <v>1.5203160042982725E-2</v>
      </c>
      <c r="G1773" s="7">
        <f ca="1">$C$11/(1+D1773)^1
 +$D$11/(1+D1773)^2
 +$E$11/(1+D1773)^3
 +$F$11/(1+D1773)^4
 +$G$11/(1+D1773)^5
 +$H$11/(1+D1773)^6
 +$I$11/(1+D1773)^7
 + ( $I$11*(1+F1773)/(D1773-F1773) )/(1+D1773)^7</f>
        <v>338.79085278944984</v>
      </c>
      <c r="H1773" s="7">
        <f ca="1">(G1773-$C$8)/$C$9</f>
        <v>1.8505249479276902</v>
      </c>
    </row>
    <row r="1774" spans="3:8" x14ac:dyDescent="0.35">
      <c r="C1774" s="8">
        <f t="shared" ca="1" si="108"/>
        <v>0.17810885863443726</v>
      </c>
      <c r="D1774" s="7">
        <f t="shared" ca="1" si="109"/>
        <v>8.2085084363803115E-2</v>
      </c>
      <c r="E1774" s="7">
        <f t="shared" ca="1" si="110"/>
        <v>0.35514353288481648</v>
      </c>
      <c r="F1774" s="7">
        <f t="shared" ca="1" si="111"/>
        <v>1.8427853022980605E-2</v>
      </c>
      <c r="G1774" s="7">
        <f ca="1">$C$11/(1+D1774)^1
 +$D$11/(1+D1774)^2
 +$E$11/(1+D1774)^3
 +$F$11/(1+D1774)^4
 +$G$11/(1+D1774)^5
 +$H$11/(1+D1774)^6
 +$I$11/(1+D1774)^7
 + ( $I$11*(1+F1774)/(D1774-F1774) )/(1+D1774)^7</f>
        <v>423.85459975511139</v>
      </c>
      <c r="H1774" s="7">
        <f ca="1">(G1774-$C$8)/$C$9</f>
        <v>2.3314371311347317</v>
      </c>
    </row>
    <row r="1775" spans="3:8" x14ac:dyDescent="0.35">
      <c r="C1775" s="8">
        <f t="shared" ca="1" si="108"/>
        <v>0.23993788189472065</v>
      </c>
      <c r="D1775" s="7">
        <f t="shared" ca="1" si="109"/>
        <v>8.4026726744100749E-2</v>
      </c>
      <c r="E1775" s="7">
        <f t="shared" ca="1" si="110"/>
        <v>0.63013642044594509</v>
      </c>
      <c r="F1775" s="7">
        <f t="shared" ca="1" si="111"/>
        <v>2.1399260734633857E-2</v>
      </c>
      <c r="G1775" s="7">
        <f ca="1">$C$11/(1+D1775)^1
 +$D$11/(1+D1775)^2
 +$E$11/(1+D1775)^3
 +$F$11/(1+D1775)^4
 +$G$11/(1+D1775)^5
 +$H$11/(1+D1775)^6
 +$I$11/(1+D1775)^7
 + ( $I$11*(1+F1775)/(D1775-F1775) )/(1+D1775)^7</f>
        <v>424.85958480513017</v>
      </c>
      <c r="H1775" s="7">
        <f ca="1">(G1775-$C$8)/$C$9</f>
        <v>2.3371188647960772</v>
      </c>
    </row>
    <row r="1776" spans="3:8" x14ac:dyDescent="0.35">
      <c r="C1776" s="8">
        <f t="shared" ca="1" si="108"/>
        <v>0.62696105508852151</v>
      </c>
      <c r="D1776" s="7">
        <f t="shared" ca="1" si="109"/>
        <v>9.2942146177465546E-2</v>
      </c>
      <c r="E1776" s="7">
        <f t="shared" ca="1" si="110"/>
        <v>0.59180449883731756</v>
      </c>
      <c r="F1776" s="7">
        <f t="shared" ca="1" si="111"/>
        <v>2.0964564192440055E-2</v>
      </c>
      <c r="G1776" s="7">
        <f ca="1">$C$11/(1+D1776)^1
 +$D$11/(1+D1776)^2
 +$E$11/(1+D1776)^3
 +$F$11/(1+D1776)^4
 +$G$11/(1+D1776)^5
 +$H$11/(1+D1776)^6
 +$I$11/(1+D1776)^7
 + ( $I$11*(1+F1776)/(D1776-F1776) )/(1+D1776)^7</f>
        <v>368.38360466100414</v>
      </c>
      <c r="H1776" s="7">
        <f ca="1">(G1776-$C$8)/$C$9</f>
        <v>2.0178290629862285</v>
      </c>
    </row>
    <row r="1777" spans="3:8" x14ac:dyDescent="0.35">
      <c r="C1777" s="8">
        <f t="shared" ca="1" si="108"/>
        <v>0.68586200396347308</v>
      </c>
      <c r="D1777" s="7">
        <f t="shared" ca="1" si="109"/>
        <v>9.4346641353738464E-2</v>
      </c>
      <c r="E1777" s="7">
        <f t="shared" ca="1" si="110"/>
        <v>0.97782057901161434</v>
      </c>
      <c r="F1777" s="7">
        <f t="shared" ca="1" si="111"/>
        <v>2.7893846112536612E-2</v>
      </c>
      <c r="G1777" s="7">
        <f ca="1">$C$11/(1+D1777)^1
 +$D$11/(1+D1777)^2
 +$E$11/(1+D1777)^3
 +$F$11/(1+D1777)^4
 +$G$11/(1+D1777)^5
 +$H$11/(1+D1777)^6
 +$I$11/(1+D1777)^7
 + ( $I$11*(1+F1777)/(D1777-F1777) )/(1+D1777)^7</f>
        <v>387.13562382330861</v>
      </c>
      <c r="H1777" s="7">
        <f ca="1">(G1777-$C$8)/$C$9</f>
        <v>2.1238445489784521</v>
      </c>
    </row>
    <row r="1778" spans="3:8" x14ac:dyDescent="0.35">
      <c r="C1778" s="8">
        <f t="shared" ca="1" si="108"/>
        <v>0.417299583037543</v>
      </c>
      <c r="D1778" s="7">
        <f t="shared" ca="1" si="109"/>
        <v>8.8498260947742768E-2</v>
      </c>
      <c r="E1778" s="7">
        <f t="shared" ca="1" si="110"/>
        <v>0.27375208142675711</v>
      </c>
      <c r="F1778" s="7">
        <f t="shared" ca="1" si="111"/>
        <v>1.7399352423378103E-2</v>
      </c>
      <c r="G1778" s="7">
        <f ca="1">$C$11/(1+D1778)^1
 +$D$11/(1+D1778)^2
 +$E$11/(1+D1778)^3
 +$F$11/(1+D1778)^4
 +$G$11/(1+D1778)^5
 +$H$11/(1+D1778)^6
 +$I$11/(1+D1778)^7
 + ( $I$11*(1+F1778)/(D1778-F1778) )/(1+D1778)^7</f>
        <v>379.57892903540721</v>
      </c>
      <c r="H1778" s="7">
        <f ca="1">(G1778-$C$8)/$C$9</f>
        <v>2.0811223939134282</v>
      </c>
    </row>
    <row r="1779" spans="3:8" x14ac:dyDescent="0.35">
      <c r="C1779" s="8">
        <f t="shared" ca="1" si="108"/>
        <v>0.69313387371603274</v>
      </c>
      <c r="D1779" s="7">
        <f t="shared" ca="1" si="109"/>
        <v>9.4528879209911959E-2</v>
      </c>
      <c r="E1779" s="7">
        <f t="shared" ca="1" si="110"/>
        <v>0.45674383028543164</v>
      </c>
      <c r="F1779" s="7">
        <f t="shared" ca="1" si="111"/>
        <v>1.9557654840863754E-2</v>
      </c>
      <c r="G1779" s="7">
        <f ca="1">$C$11/(1+D1779)^1
 +$D$11/(1+D1779)^2
 +$E$11/(1+D1779)^3
 +$F$11/(1+D1779)^4
 +$G$11/(1+D1779)^5
 +$H$11/(1+D1779)^6
 +$I$11/(1+D1779)^7
 + ( $I$11*(1+F1779)/(D1779-F1779) )/(1+D1779)^7</f>
        <v>355.42091249915575</v>
      </c>
      <c r="H1779" s="7">
        <f ca="1">(G1779-$C$8)/$C$9</f>
        <v>1.9445438291449328</v>
      </c>
    </row>
    <row r="1780" spans="3:8" x14ac:dyDescent="0.35">
      <c r="C1780" s="8">
        <f t="shared" ca="1" si="108"/>
        <v>0.96156192953588082</v>
      </c>
      <c r="D1780" s="7">
        <f t="shared" ca="1" si="109"/>
        <v>0.10452444569362947</v>
      </c>
      <c r="E1780" s="7">
        <f t="shared" ca="1" si="110"/>
        <v>0.94070353607119128</v>
      </c>
      <c r="F1780" s="7">
        <f t="shared" ca="1" si="111"/>
        <v>2.6556267608282877E-2</v>
      </c>
      <c r="G1780" s="7">
        <f ca="1">$C$11/(1+D1780)^1
 +$D$11/(1+D1780)^2
 +$E$11/(1+D1780)^3
 +$F$11/(1+D1780)^4
 +$G$11/(1+D1780)^5
 +$H$11/(1+D1780)^6
 +$I$11/(1+D1780)^7
 + ( $I$11*(1+F1780)/(D1780-F1780) )/(1+D1780)^7</f>
        <v>330.12509410834201</v>
      </c>
      <c r="H1780" s="7">
        <f ca="1">(G1780-$C$8)/$C$9</f>
        <v>1.8015326442126978</v>
      </c>
    </row>
    <row r="1781" spans="3:8" x14ac:dyDescent="0.35">
      <c r="C1781" s="8">
        <f t="shared" ca="1" si="108"/>
        <v>0.48862363677017084</v>
      </c>
      <c r="D1781" s="7">
        <f t="shared" ca="1" si="109"/>
        <v>9.0016777516661872E-2</v>
      </c>
      <c r="E1781" s="7">
        <f t="shared" ca="1" si="110"/>
        <v>0.38896238106876213</v>
      </c>
      <c r="F1781" s="7">
        <f t="shared" ca="1" si="111"/>
        <v>1.8820004320506449E-2</v>
      </c>
      <c r="G1781" s="7">
        <f ca="1">$C$11/(1+D1781)^1
 +$D$11/(1+D1781)^2
 +$E$11/(1+D1781)^3
 +$F$11/(1+D1781)^4
 +$G$11/(1+D1781)^5
 +$H$11/(1+D1781)^6
 +$I$11/(1+D1781)^7
 + ( $I$11*(1+F1781)/(D1781-F1781) )/(1+D1781)^7</f>
        <v>376.45121956469177</v>
      </c>
      <c r="H1781" s="7">
        <f ca="1">(G1781-$C$8)/$C$9</f>
        <v>2.0634397306913828</v>
      </c>
    </row>
    <row r="1782" spans="3:8" x14ac:dyDescent="0.35">
      <c r="C1782" s="8">
        <f t="shared" ca="1" si="108"/>
        <v>0.75643625395112735</v>
      </c>
      <c r="D1782" s="7">
        <f t="shared" ca="1" si="109"/>
        <v>9.621668683087696E-2</v>
      </c>
      <c r="E1782" s="7">
        <f t="shared" ca="1" si="110"/>
        <v>0.74165881380617338</v>
      </c>
      <c r="F1782" s="7">
        <f t="shared" ca="1" si="111"/>
        <v>2.281193786624202E-2</v>
      </c>
      <c r="G1782" s="7">
        <f ca="1">$C$11/(1+D1782)^1
 +$D$11/(1+D1782)^2
 +$E$11/(1+D1782)^3
 +$F$11/(1+D1782)^4
 +$G$11/(1+D1782)^5
 +$H$11/(1+D1782)^6
 +$I$11/(1+D1782)^7
 + ( $I$11*(1+F1782)/(D1782-F1782) )/(1+D1782)^7</f>
        <v>357.75906591924456</v>
      </c>
      <c r="H1782" s="7">
        <f ca="1">(G1782-$C$8)/$C$9</f>
        <v>1.95776269741771</v>
      </c>
    </row>
    <row r="1783" spans="3:8" x14ac:dyDescent="0.35">
      <c r="C1783" s="8">
        <f t="shared" ca="1" si="108"/>
        <v>6.7999964940836821E-2</v>
      </c>
      <c r="D1783" s="7">
        <f t="shared" ca="1" si="109"/>
        <v>7.7467259956067305E-2</v>
      </c>
      <c r="E1783" s="7">
        <f t="shared" ca="1" si="110"/>
        <v>0.96877059142385502</v>
      </c>
      <c r="F1783" s="7">
        <f t="shared" ca="1" si="111"/>
        <v>2.7500823792681078E-2</v>
      </c>
      <c r="G1783" s="7">
        <f ca="1">$C$11/(1+D1783)^1
 +$D$11/(1+D1783)^2
 +$E$11/(1+D1783)^3
 +$F$11/(1+D1783)^4
 +$G$11/(1+D1783)^5
 +$H$11/(1+D1783)^6
 +$I$11/(1+D1783)^7
 + ( $I$11*(1+F1783)/(D1783-F1783) )/(1+D1783)^7</f>
        <v>520.39652379358938</v>
      </c>
      <c r="H1783" s="7">
        <f ca="1">(G1783-$C$8)/$C$9</f>
        <v>2.8772417672636217</v>
      </c>
    </row>
    <row r="1784" spans="3:8" x14ac:dyDescent="0.35">
      <c r="C1784" s="8">
        <f t="shared" ca="1" si="108"/>
        <v>0.66912581779297375</v>
      </c>
      <c r="D1784" s="7">
        <f t="shared" ca="1" si="109"/>
        <v>9.3935073541360964E-2</v>
      </c>
      <c r="E1784" s="7">
        <f t="shared" ca="1" si="110"/>
        <v>0.26752394971502258</v>
      </c>
      <c r="F1784" s="7">
        <f t="shared" ca="1" si="111"/>
        <v>1.7314696845598217E-2</v>
      </c>
      <c r="G1784" s="7">
        <f ca="1">$C$11/(1+D1784)^1
 +$D$11/(1+D1784)^2
 +$E$11/(1+D1784)^3
 +$F$11/(1+D1784)^4
 +$G$11/(1+D1784)^5
 +$H$11/(1+D1784)^6
 +$I$11/(1+D1784)^7
 + ( $I$11*(1+F1784)/(D1784-F1784) )/(1+D1784)^7</f>
        <v>351.14064208350101</v>
      </c>
      <c r="H1784" s="7">
        <f ca="1">(G1784-$C$8)/$C$9</f>
        <v>1.9203451044974049</v>
      </c>
    </row>
    <row r="1785" spans="3:8" x14ac:dyDescent="0.35">
      <c r="C1785" s="8">
        <f t="shared" ca="1" si="108"/>
        <v>0.13160282085850405</v>
      </c>
      <c r="D1785" s="7">
        <f t="shared" ca="1" si="109"/>
        <v>8.0388181414664139E-2</v>
      </c>
      <c r="E1785" s="7">
        <f t="shared" ca="1" si="110"/>
        <v>0.76524326566272305</v>
      </c>
      <c r="F1785" s="7">
        <f t="shared" ca="1" si="111"/>
        <v>2.3147894712757591E-2</v>
      </c>
      <c r="G1785" s="7">
        <f ca="1">$C$11/(1+D1785)^1
 +$D$11/(1+D1785)^2
 +$E$11/(1+D1785)^3
 +$F$11/(1+D1785)^4
 +$G$11/(1+D1785)^5
 +$H$11/(1+D1785)^6
 +$I$11/(1+D1785)^7
 + ( $I$11*(1+F1785)/(D1785-F1785) )/(1+D1785)^7</f>
        <v>462.34321486178362</v>
      </c>
      <c r="H1785" s="7">
        <f ca="1">(G1785-$C$8)/$C$9</f>
        <v>2.5490344576084554</v>
      </c>
    </row>
    <row r="1786" spans="3:8" x14ac:dyDescent="0.35">
      <c r="C1786" s="8">
        <f t="shared" ca="1" si="108"/>
        <v>0.7320637703502062</v>
      </c>
      <c r="D1786" s="7">
        <f t="shared" ca="1" si="109"/>
        <v>9.554350460426736E-2</v>
      </c>
      <c r="E1786" s="7">
        <f t="shared" ca="1" si="110"/>
        <v>0.85039348082739752</v>
      </c>
      <c r="F1786" s="7">
        <f t="shared" ca="1" si="111"/>
        <v>2.4529963086548638E-2</v>
      </c>
      <c r="G1786" s="7">
        <f ca="1">$C$11/(1+D1786)^1
 +$D$11/(1+D1786)^2
 +$E$11/(1+D1786)^3
 +$F$11/(1+D1786)^4
 +$G$11/(1+D1786)^5
 +$H$11/(1+D1786)^6
 +$I$11/(1+D1786)^7
 + ( $I$11*(1+F1786)/(D1786-F1786) )/(1+D1786)^7</f>
        <v>367.27716981577532</v>
      </c>
      <c r="H1786" s="7">
        <f ca="1">(G1786-$C$8)/$C$9</f>
        <v>2.0115737777915834</v>
      </c>
    </row>
    <row r="1787" spans="3:8" x14ac:dyDescent="0.35">
      <c r="C1787" s="8">
        <f t="shared" ca="1" si="108"/>
        <v>0.66695136908331587</v>
      </c>
      <c r="D1787" s="7">
        <f t="shared" ca="1" si="109"/>
        <v>9.3882372007177556E-2</v>
      </c>
      <c r="E1787" s="7">
        <f t="shared" ca="1" si="110"/>
        <v>0.86456453074657902</v>
      </c>
      <c r="F1787" s="7">
        <f t="shared" ca="1" si="111"/>
        <v>2.4795473715054923E-2</v>
      </c>
      <c r="G1787" s="7">
        <f ca="1">$C$11/(1+D1787)^1
 +$D$11/(1+D1787)^2
 +$E$11/(1+D1787)^3
 +$F$11/(1+D1787)^4
 +$G$11/(1+D1787)^5
 +$H$11/(1+D1787)^6
 +$I$11/(1+D1787)^7
 + ( $I$11*(1+F1787)/(D1787-F1787) )/(1+D1787)^7</f>
        <v>377.43632814395949</v>
      </c>
      <c r="H1787" s="7">
        <f ca="1">(G1787-$C$8)/$C$9</f>
        <v>2.0690090917229731</v>
      </c>
    </row>
    <row r="1788" spans="3:8" x14ac:dyDescent="0.35">
      <c r="C1788" s="8">
        <f t="shared" ca="1" si="108"/>
        <v>0.83827090928083392</v>
      </c>
      <c r="D1788" s="7">
        <f t="shared" ca="1" si="109"/>
        <v>9.8768406579609933E-2</v>
      </c>
      <c r="E1788" s="7">
        <f t="shared" ca="1" si="110"/>
        <v>0.65937525840312761</v>
      </c>
      <c r="F1788" s="7">
        <f t="shared" ca="1" si="111"/>
        <v>2.1746216121113028E-2</v>
      </c>
      <c r="G1788" s="7">
        <f ca="1">$C$11/(1+D1788)^1
 +$D$11/(1+D1788)^2
 +$E$11/(1+D1788)^3
 +$F$11/(1+D1788)^4
 +$G$11/(1+D1788)^5
 +$H$11/(1+D1788)^6
 +$I$11/(1+D1788)^7
 + ( $I$11*(1+F1788)/(D1788-F1788) )/(1+D1788)^7</f>
        <v>341.98132004964214</v>
      </c>
      <c r="H1788" s="7">
        <f ca="1">(G1788-$C$8)/$C$9</f>
        <v>1.8685624154773979</v>
      </c>
    </row>
    <row r="1789" spans="3:8" x14ac:dyDescent="0.35">
      <c r="C1789" s="8">
        <f t="shared" ca="1" si="108"/>
        <v>0.81600171665027643</v>
      </c>
      <c r="D1789" s="7">
        <f t="shared" ca="1" si="109"/>
        <v>9.802007257898511E-2</v>
      </c>
      <c r="E1789" s="7">
        <f t="shared" ca="1" si="110"/>
        <v>6.4939402444036065E-2</v>
      </c>
      <c r="F1789" s="7">
        <f t="shared" ca="1" si="111"/>
        <v>1.3603870209761613E-2</v>
      </c>
      <c r="G1789" s="7">
        <f ca="1">$C$11/(1+D1789)^1
 +$D$11/(1+D1789)^2
 +$E$11/(1+D1789)^3
 +$F$11/(1+D1789)^4
 +$G$11/(1+D1789)^5
 +$H$11/(1+D1789)^6
 +$I$11/(1+D1789)^7
 + ( $I$11*(1+F1789)/(D1789-F1789) )/(1+D1789)^7</f>
        <v>322.71754030886245</v>
      </c>
      <c r="H1789" s="7">
        <f ca="1">(G1789-$C$8)/$C$9</f>
        <v>1.7596536652468477</v>
      </c>
    </row>
    <row r="1790" spans="3:8" x14ac:dyDescent="0.35">
      <c r="C1790" s="8">
        <f t="shared" ca="1" si="108"/>
        <v>0.73671108479759351</v>
      </c>
      <c r="D1790" s="7">
        <f t="shared" ca="1" si="109"/>
        <v>9.5669425906200506E-2</v>
      </c>
      <c r="E1790" s="7">
        <f t="shared" ca="1" si="110"/>
        <v>7.7531753819100047E-2</v>
      </c>
      <c r="F1790" s="7">
        <f t="shared" ca="1" si="111"/>
        <v>1.3937810402218472E-2</v>
      </c>
      <c r="G1790" s="7">
        <f ca="1">$C$11/(1+D1790)^1
 +$D$11/(1+D1790)^2
 +$E$11/(1+D1790)^3
 +$F$11/(1+D1790)^4
 +$G$11/(1+D1790)^5
 +$H$11/(1+D1790)^6
 +$I$11/(1+D1790)^7
 + ( $I$11*(1+F1790)/(D1790-F1790) )/(1+D1790)^7</f>
        <v>333.38145902717832</v>
      </c>
      <c r="H1790" s="7">
        <f ca="1">(G1790-$C$8)/$C$9</f>
        <v>1.8199426674987467</v>
      </c>
    </row>
    <row r="1791" spans="3:8" x14ac:dyDescent="0.35">
      <c r="C1791" s="8">
        <f t="shared" ca="1" si="108"/>
        <v>0.34028441992007874</v>
      </c>
      <c r="D1791" s="7">
        <f t="shared" ca="1" si="109"/>
        <v>8.6704287603321023E-2</v>
      </c>
      <c r="E1791" s="7">
        <f t="shared" ca="1" si="110"/>
        <v>0.69209587421888574</v>
      </c>
      <c r="F1791" s="7">
        <f t="shared" ca="1" si="111"/>
        <v>2.2152654897596075E-2</v>
      </c>
      <c r="G1791" s="7">
        <f ca="1">$C$11/(1+D1791)^1
 +$D$11/(1+D1791)^2
 +$E$11/(1+D1791)^3
 +$F$11/(1+D1791)^4
 +$G$11/(1+D1791)^5
 +$H$11/(1+D1791)^6
 +$I$11/(1+D1791)^7
 + ( $I$11*(1+F1791)/(D1791-F1791) )/(1+D1791)^7</f>
        <v>410.20652639020727</v>
      </c>
      <c r="H1791" s="7">
        <f ca="1">(G1791-$C$8)/$C$9</f>
        <v>2.254277060098413</v>
      </c>
    </row>
    <row r="1792" spans="3:8" x14ac:dyDescent="0.35">
      <c r="C1792" s="8">
        <f t="shared" ca="1" si="108"/>
        <v>0.94120605336148633</v>
      </c>
      <c r="D1792" s="7">
        <f t="shared" ca="1" si="109"/>
        <v>0.10322805209869119</v>
      </c>
      <c r="E1792" s="7">
        <f t="shared" ca="1" si="110"/>
        <v>0.81050023358694157</v>
      </c>
      <c r="F1792" s="7">
        <f t="shared" ca="1" si="111"/>
        <v>2.3843706205628933E-2</v>
      </c>
      <c r="G1792" s="7">
        <f ca="1">$C$11/(1+D1792)^1
 +$D$11/(1+D1792)^2
 +$E$11/(1+D1792)^3
 +$F$11/(1+D1792)^4
 +$G$11/(1+D1792)^5
 +$H$11/(1+D1792)^6
 +$I$11/(1+D1792)^7
 + ( $I$11*(1+F1792)/(D1792-F1792) )/(1+D1792)^7</f>
        <v>328.12831707654823</v>
      </c>
      <c r="H1792" s="7">
        <f ca="1">(G1792-$C$8)/$C$9</f>
        <v>1.7902437645666451</v>
      </c>
    </row>
    <row r="1793" spans="3:8" x14ac:dyDescent="0.35">
      <c r="C1793" s="8">
        <f t="shared" ca="1" si="108"/>
        <v>0.90027436769609825</v>
      </c>
      <c r="D1793" s="7">
        <f t="shared" ca="1" si="109"/>
        <v>0.10118036320492485</v>
      </c>
      <c r="E1793" s="7">
        <f t="shared" ca="1" si="110"/>
        <v>0.24592248453058874</v>
      </c>
      <c r="F1793" s="7">
        <f t="shared" ca="1" si="111"/>
        <v>1.7013165968813068E-2</v>
      </c>
      <c r="G1793" s="7">
        <f ca="1">$C$11/(1+D1793)^1
 +$D$11/(1+D1793)^2
 +$E$11/(1+D1793)^3
 +$F$11/(1+D1793)^4
 +$G$11/(1+D1793)^5
 +$H$11/(1+D1793)^6
 +$I$11/(1+D1793)^7
 + ( $I$11*(1+F1793)/(D1793-F1793) )/(1+D1793)^7</f>
        <v>318.61904199324169</v>
      </c>
      <c r="H1793" s="7">
        <f ca="1">(G1793-$C$8)/$C$9</f>
        <v>1.736482598333569</v>
      </c>
    </row>
    <row r="1794" spans="3:8" x14ac:dyDescent="0.35">
      <c r="C1794" s="8">
        <f t="shared" ca="1" si="108"/>
        <v>0.43189322008620845</v>
      </c>
      <c r="D1794" s="7">
        <f t="shared" ca="1" si="109"/>
        <v>8.8818938346003767E-2</v>
      </c>
      <c r="E1794" s="7">
        <f t="shared" ca="1" si="110"/>
        <v>0.35885306040070597</v>
      </c>
      <c r="F1794" s="7">
        <f t="shared" ca="1" si="111"/>
        <v>1.847175377830005E-2</v>
      </c>
      <c r="G1794" s="7">
        <f ca="1">$C$11/(1+D1794)^1
 +$D$11/(1+D1794)^2
 +$E$11/(1+D1794)^3
 +$F$11/(1+D1794)^4
 +$G$11/(1+D1794)^5
 +$H$11/(1+D1794)^6
 +$I$11/(1+D1794)^7
 + ( $I$11*(1+F1794)/(D1794-F1794) )/(1+D1794)^7</f>
        <v>381.83894595288223</v>
      </c>
      <c r="H1794" s="7">
        <f ca="1">(G1794-$C$8)/$C$9</f>
        <v>2.0938995135282803</v>
      </c>
    </row>
    <row r="1795" spans="3:8" x14ac:dyDescent="0.35">
      <c r="C1795" s="8">
        <f t="shared" ca="1" si="108"/>
        <v>0.77024415383992562</v>
      </c>
      <c r="D1795" s="7">
        <f t="shared" ca="1" si="109"/>
        <v>9.6613082505488501E-2</v>
      </c>
      <c r="E1795" s="7">
        <f t="shared" ca="1" si="110"/>
        <v>0.97877816501767323</v>
      </c>
      <c r="F1795" s="7">
        <f t="shared" ca="1" si="111"/>
        <v>2.7939813844220538E-2</v>
      </c>
      <c r="G1795" s="7">
        <f ca="1">$C$11/(1+D1795)^1
 +$D$11/(1+D1795)^2
 +$E$11/(1+D1795)^3
 +$F$11/(1+D1795)^4
 +$G$11/(1+D1795)^5
 +$H$11/(1+D1795)^6
 +$I$11/(1+D1795)^7
 + ( $I$11*(1+F1795)/(D1795-F1795) )/(1+D1795)^7</f>
        <v>374.11376577684746</v>
      </c>
      <c r="H1795" s="7">
        <f ca="1">(G1795-$C$8)/$C$9</f>
        <v>2.0502248178247822</v>
      </c>
    </row>
    <row r="1796" spans="3:8" x14ac:dyDescent="0.35">
      <c r="C1796" s="8">
        <f t="shared" ca="1" si="108"/>
        <v>0.43046442459749212</v>
      </c>
      <c r="D1796" s="7">
        <f t="shared" ca="1" si="109"/>
        <v>8.8787784014352084E-2</v>
      </c>
      <c r="E1796" s="7">
        <f t="shared" ca="1" si="110"/>
        <v>0.4960333999777391</v>
      </c>
      <c r="F1796" s="7">
        <f t="shared" ca="1" si="111"/>
        <v>1.9960255016592085E-2</v>
      </c>
      <c r="G1796" s="7">
        <f ca="1">$C$11/(1+D1796)^1
 +$D$11/(1+D1796)^2
 +$E$11/(1+D1796)^3
 +$F$11/(1+D1796)^4
 +$G$11/(1+D1796)^5
 +$H$11/(1+D1796)^6
 +$I$11/(1+D1796)^7
 + ( $I$11*(1+F1796)/(D1796-F1796) )/(1+D1796)^7</f>
        <v>387.84026443225252</v>
      </c>
      <c r="H1796" s="7">
        <f ca="1">(G1796-$C$8)/$C$9</f>
        <v>2.1278282701959097</v>
      </c>
    </row>
    <row r="1797" spans="3:8" x14ac:dyDescent="0.35">
      <c r="C1797" s="8">
        <f t="shared" ca="1" si="108"/>
        <v>0.99897015136975353</v>
      </c>
      <c r="D1797" s="7">
        <f t="shared" ca="1" si="109"/>
        <v>0.10910374003124526</v>
      </c>
      <c r="E1797" s="7">
        <f t="shared" ca="1" si="110"/>
        <v>0.3210647478248716</v>
      </c>
      <c r="F1797" s="7">
        <f t="shared" ca="1" si="111"/>
        <v>1.8013298295020241E-2</v>
      </c>
      <c r="G1797" s="7">
        <f ca="1">$C$11/(1+D1797)^1
 +$D$11/(1+D1797)^2
 +$E$11/(1+D1797)^3
 +$F$11/(1+D1797)^4
 +$G$11/(1+D1797)^5
 +$H$11/(1+D1797)^6
 +$I$11/(1+D1797)^7
 + ( $I$11*(1+F1797)/(D1797-F1797) )/(1+D1797)^7</f>
        <v>291.84186941587097</v>
      </c>
      <c r="H1797" s="7">
        <f ca="1">(G1797-$C$8)/$C$9</f>
        <v>1.5850965028034314</v>
      </c>
    </row>
    <row r="1798" spans="3:8" x14ac:dyDescent="0.35">
      <c r="C1798" s="8">
        <f t="shared" ca="1" si="108"/>
        <v>0.78190949905221652</v>
      </c>
      <c r="D1798" s="7">
        <f t="shared" ca="1" si="109"/>
        <v>9.6957354917836983E-2</v>
      </c>
      <c r="E1798" s="7">
        <f t="shared" ca="1" si="110"/>
        <v>0.96744290471347139</v>
      </c>
      <c r="F1798" s="7">
        <f t="shared" ca="1" si="111"/>
        <v>2.7448251764514035E-2</v>
      </c>
      <c r="G1798" s="7">
        <f ca="1">$C$11/(1+D1798)^1
 +$D$11/(1+D1798)^2
 +$E$11/(1+D1798)^3
 +$F$11/(1+D1798)^4
 +$G$11/(1+D1798)^5
 +$H$11/(1+D1798)^6
 +$I$11/(1+D1798)^7
 + ( $I$11*(1+F1798)/(D1798-F1798) )/(1+D1798)^7</f>
        <v>370.32758511562668</v>
      </c>
      <c r="H1798" s="7">
        <f ca="1">(G1798-$C$8)/$C$9</f>
        <v>2.0288194545207294</v>
      </c>
    </row>
    <row r="1799" spans="3:8" x14ac:dyDescent="0.35">
      <c r="C1799" s="8">
        <f t="shared" ca="1" si="108"/>
        <v>0.3904099027254555</v>
      </c>
      <c r="D1799" s="7">
        <f t="shared" ca="1" si="109"/>
        <v>8.7892348091708747E-2</v>
      </c>
      <c r="E1799" s="7">
        <f t="shared" ca="1" si="110"/>
        <v>0.53724836977821133</v>
      </c>
      <c r="F1799" s="7">
        <f t="shared" ca="1" si="111"/>
        <v>2.0379691998467113E-2</v>
      </c>
      <c r="G1799" s="7">
        <f ca="1">$C$11/(1+D1799)^1
 +$D$11/(1+D1799)^2
 +$E$11/(1+D1799)^3
 +$F$11/(1+D1799)^4
 +$G$11/(1+D1799)^5
 +$H$11/(1+D1799)^6
 +$I$11/(1+D1799)^7
 + ( $I$11*(1+F1799)/(D1799-F1799) )/(1+D1799)^7</f>
        <v>394.90826533607895</v>
      </c>
      <c r="H1799" s="7">
        <f ca="1">(G1799-$C$8)/$C$9</f>
        <v>2.1677875697426443</v>
      </c>
    </row>
    <row r="1800" spans="3:8" x14ac:dyDescent="0.35">
      <c r="C1800" s="8">
        <f t="shared" ca="1" si="108"/>
        <v>0.12033933263023344</v>
      </c>
      <c r="D1800" s="7">
        <f t="shared" ca="1" si="109"/>
        <v>7.9933692805638362E-2</v>
      </c>
      <c r="E1800" s="7">
        <f t="shared" ca="1" si="110"/>
        <v>0.74314086640756893</v>
      </c>
      <c r="F1800" s="7">
        <f t="shared" ca="1" si="111"/>
        <v>2.2832585771808203E-2</v>
      </c>
      <c r="G1800" s="7">
        <f ca="1">$C$11/(1+D1800)^1
 +$D$11/(1+D1800)^2
 +$E$11/(1+D1800)^3
 +$F$11/(1+D1800)^4
 +$G$11/(1+D1800)^5
 +$H$11/(1+D1800)^6
 +$I$11/(1+D1800)^7
 + ( $I$11*(1+F1800)/(D1800-F1800) )/(1+D1800)^7</f>
        <v>464.23576814061767</v>
      </c>
      <c r="H1800" s="7">
        <f ca="1">(G1800-$C$8)/$C$9</f>
        <v>2.5597341030111807</v>
      </c>
    </row>
    <row r="1801" spans="3:8" x14ac:dyDescent="0.35">
      <c r="C1801" s="8">
        <f t="shared" ca="1" si="108"/>
        <v>0.46032839816435922</v>
      </c>
      <c r="D1801" s="7">
        <f t="shared" ca="1" si="109"/>
        <v>8.9428568822606941E-2</v>
      </c>
      <c r="E1801" s="7">
        <f t="shared" ca="1" si="110"/>
        <v>0.36146113404075186</v>
      </c>
      <c r="F1801" s="7">
        <f t="shared" ca="1" si="111"/>
        <v>1.8502483567061471E-2</v>
      </c>
      <c r="G1801" s="7">
        <f ca="1">$C$11/(1+D1801)^1
 +$D$11/(1+D1801)^2
 +$E$11/(1+D1801)^3
 +$F$11/(1+D1801)^4
 +$G$11/(1+D1801)^5
 +$H$11/(1+D1801)^6
 +$I$11/(1+D1801)^7
 + ( $I$11*(1+F1801)/(D1801-F1801) )/(1+D1801)^7</f>
        <v>378.52926761260051</v>
      </c>
      <c r="H1801" s="7">
        <f ca="1">(G1801-$C$8)/$C$9</f>
        <v>2.0751880801255114</v>
      </c>
    </row>
    <row r="1802" spans="3:8" x14ac:dyDescent="0.35">
      <c r="C1802" s="8">
        <f t="shared" ca="1" si="108"/>
        <v>0.20116667443290015</v>
      </c>
      <c r="D1802" s="7">
        <f t="shared" ca="1" si="109"/>
        <v>8.2843545968110915E-2</v>
      </c>
      <c r="E1802" s="7">
        <f t="shared" ca="1" si="110"/>
        <v>0.51984625655300176</v>
      </c>
      <c r="F1802" s="7">
        <f t="shared" ca="1" si="111"/>
        <v>2.0200472017010224E-2</v>
      </c>
      <c r="G1802" s="7">
        <f ca="1">$C$11/(1+D1802)^1
 +$D$11/(1+D1802)^2
 +$E$11/(1+D1802)^3
 +$F$11/(1+D1802)^4
 +$G$11/(1+D1802)^5
 +$H$11/(1+D1802)^6
 +$I$11/(1+D1802)^7
 + ( $I$11*(1+F1802)/(D1802-F1802) )/(1+D1802)^7</f>
        <v>427.25690705823706</v>
      </c>
      <c r="H1802" s="7">
        <f ca="1">(G1802-$C$8)/$C$9</f>
        <v>2.3506722470501868</v>
      </c>
    </row>
    <row r="1803" spans="3:8" x14ac:dyDescent="0.35">
      <c r="C1803" s="8">
        <f t="shared" ca="1" si="108"/>
        <v>0.89035685697492772</v>
      </c>
      <c r="D1803" s="7">
        <f t="shared" ca="1" si="109"/>
        <v>0.10075220828740415</v>
      </c>
      <c r="E1803" s="7">
        <f t="shared" ca="1" si="110"/>
        <v>0.8711566946376742</v>
      </c>
      <c r="F1803" s="7">
        <f t="shared" ca="1" si="111"/>
        <v>2.4923715820359821E-2</v>
      </c>
      <c r="G1803" s="7">
        <f ca="1">$C$11/(1+D1803)^1
 +$D$11/(1+D1803)^2
 +$E$11/(1+D1803)^3
 +$F$11/(1+D1803)^4
 +$G$11/(1+D1803)^5
 +$H$11/(1+D1803)^6
 +$I$11/(1+D1803)^7
 + ( $I$11*(1+F1803)/(D1803-F1803) )/(1+D1803)^7</f>
        <v>342.42769754244358</v>
      </c>
      <c r="H1803" s="7">
        <f ca="1">(G1803-$C$8)/$C$9</f>
        <v>1.8710860331436203</v>
      </c>
    </row>
    <row r="1804" spans="3:8" x14ac:dyDescent="0.35">
      <c r="C1804" s="8">
        <f t="shared" ca="1" si="108"/>
        <v>0.72012735318787369</v>
      </c>
      <c r="D1804" s="7">
        <f t="shared" ca="1" si="109"/>
        <v>9.5224998662827187E-2</v>
      </c>
      <c r="E1804" s="7">
        <f t="shared" ca="1" si="110"/>
        <v>0.65734455970614347</v>
      </c>
      <c r="F1804" s="7">
        <f t="shared" ca="1" si="111"/>
        <v>2.1721649436103149E-2</v>
      </c>
      <c r="G1804" s="7">
        <f ca="1">$C$11/(1+D1804)^1
 +$D$11/(1+D1804)^2
 +$E$11/(1+D1804)^3
 +$F$11/(1+D1804)^4
 +$G$11/(1+D1804)^5
 +$H$11/(1+D1804)^6
 +$I$11/(1+D1804)^7
 + ( $I$11*(1+F1804)/(D1804-F1804) )/(1+D1804)^7</f>
        <v>359.11658790454874</v>
      </c>
      <c r="H1804" s="7">
        <f ca="1">(G1804-$C$8)/$C$9</f>
        <v>1.9654375164210127</v>
      </c>
    </row>
    <row r="1805" spans="3:8" x14ac:dyDescent="0.35">
      <c r="C1805" s="8">
        <f t="shared" ca="1" si="108"/>
        <v>0.58586541612299436</v>
      </c>
      <c r="D1805" s="7">
        <f t="shared" ca="1" si="109"/>
        <v>9.2027104422935505E-2</v>
      </c>
      <c r="E1805" s="7">
        <f t="shared" ca="1" si="110"/>
        <v>0.76614670708061283</v>
      </c>
      <c r="F1805" s="7">
        <f t="shared" ca="1" si="111"/>
        <v>2.3161092295996572E-2</v>
      </c>
      <c r="G1805" s="7">
        <f ca="1">$C$11/(1+D1805)^1
 +$D$11/(1+D1805)^2
 +$E$11/(1+D1805)^3
 +$F$11/(1+D1805)^4
 +$G$11/(1+D1805)^5
 +$H$11/(1+D1805)^6
 +$I$11/(1+D1805)^7
 + ( $I$11*(1+F1805)/(D1805-F1805) )/(1+D1805)^7</f>
        <v>381.67886455045095</v>
      </c>
      <c r="H1805" s="7">
        <f ca="1">(G1805-$C$8)/$C$9</f>
        <v>2.0929944852467828</v>
      </c>
    </row>
    <row r="1806" spans="3:8" x14ac:dyDescent="0.35">
      <c r="C1806" s="8">
        <f t="shared" ca="1" si="108"/>
        <v>0.28079084754568973</v>
      </c>
      <c r="D1806" s="7">
        <f t="shared" ca="1" si="109"/>
        <v>8.5173941313563387E-2</v>
      </c>
      <c r="E1806" s="7">
        <f t="shared" ca="1" si="110"/>
        <v>0.52143939311509857</v>
      </c>
      <c r="F1806" s="7">
        <f t="shared" ca="1" si="111"/>
        <v>2.0216742803289882E-2</v>
      </c>
      <c r="G1806" s="7">
        <f ca="1">$C$11/(1+D1806)^1
 +$D$11/(1+D1806)^2
 +$E$11/(1+D1806)^3
 +$F$11/(1+D1806)^4
 +$G$11/(1+D1806)^5
 +$H$11/(1+D1806)^6
 +$I$11/(1+D1806)^7
 + ( $I$11*(1+F1806)/(D1806-F1806) )/(1+D1806)^7</f>
        <v>411.41274388762929</v>
      </c>
      <c r="H1806" s="7">
        <f ca="1">(G1806-$C$8)/$C$9</f>
        <v>2.2610964715492381</v>
      </c>
    </row>
    <row r="1807" spans="3:8" x14ac:dyDescent="0.35">
      <c r="C1807" s="8">
        <f t="shared" ca="1" si="108"/>
        <v>0.36534729630059959</v>
      </c>
      <c r="D1807" s="7">
        <f t="shared" ca="1" si="109"/>
        <v>8.7308517642088579E-2</v>
      </c>
      <c r="E1807" s="7">
        <f t="shared" ca="1" si="110"/>
        <v>0.40953853600450696</v>
      </c>
      <c r="F1807" s="7">
        <f t="shared" ca="1" si="111"/>
        <v>1.905028768608498E-2</v>
      </c>
      <c r="G1807" s="7">
        <f ca="1">$C$11/(1+D1807)^1
 +$D$11/(1+D1807)^2
 +$E$11/(1+D1807)^3
 +$F$11/(1+D1807)^4
 +$G$11/(1+D1807)^5
 +$H$11/(1+D1807)^6
 +$I$11/(1+D1807)^7
 + ( $I$11*(1+F1807)/(D1807-F1807) )/(1+D1807)^7</f>
        <v>392.93856890021038</v>
      </c>
      <c r="H1807" s="7">
        <f ca="1">(G1807-$C$8)/$C$9</f>
        <v>2.1566517916113206</v>
      </c>
    </row>
    <row r="1808" spans="3:8" x14ac:dyDescent="0.35">
      <c r="C1808" s="8">
        <f t="shared" ca="1" si="108"/>
        <v>0.37675023904155425</v>
      </c>
      <c r="D1808" s="7">
        <f t="shared" ca="1" si="109"/>
        <v>8.7576552449615208E-2</v>
      </c>
      <c r="E1808" s="7">
        <f t="shared" ca="1" si="110"/>
        <v>0.18563540043106197</v>
      </c>
      <c r="F1808" s="7">
        <f t="shared" ca="1" si="111"/>
        <v>1.609319949502824E-2</v>
      </c>
      <c r="G1808" s="7">
        <f ca="1">$C$11/(1+D1808)^1
 +$D$11/(1+D1808)^2
 +$E$11/(1+D1808)^3
 +$F$11/(1+D1808)^4
 +$G$11/(1+D1808)^5
 +$H$11/(1+D1808)^6
 +$I$11/(1+D1808)^7
 + ( $I$11*(1+F1808)/(D1808-F1808) )/(1+D1808)^7</f>
        <v>379.82708794445398</v>
      </c>
      <c r="H1808" s="7">
        <f ca="1">(G1808-$C$8)/$C$9</f>
        <v>2.0825253728202959</v>
      </c>
    </row>
    <row r="1809" spans="3:8" x14ac:dyDescent="0.35">
      <c r="C1809" s="8">
        <f t="shared" ref="C1809:C1872" ca="1" si="112">RAND()</f>
        <v>0.55717997595004798</v>
      </c>
      <c r="D1809" s="7">
        <f t="shared" ref="D1809:D1872" ca="1" si="113">IF(C1809&lt;(0.0905-0.07)/(0.11-0.07),
 0.07+SQRT(C1809*(0.11-0.07)*(0.0905-0.07)),
 0.11-SQRT((1-C1809)*(0.11-0.07)*(0.11-0.0905))
)</f>
        <v>9.1415070116921002E-2</v>
      </c>
      <c r="E1809" s="7">
        <f t="shared" ref="E1809:E1872" ca="1" si="114">RAND()</f>
        <v>0.23726404771670728</v>
      </c>
      <c r="F1809" s="7">
        <f t="shared" ref="F1809:F1872" ca="1" si="115">MIN(
 IF(E1809&lt;(0.02-0.01)/(0.03-0.01),
   0.01+SQRT(E1809*(0.03-0.01)*(0.02-0.01)),
   0.03-SQRT((1-E1809)*(0.03-0.01)*(0.03-0.02))
 ),
 D1809-0.005
)</f>
        <v>1.6888599969757386E-2</v>
      </c>
      <c r="G1809" s="7">
        <f ca="1">$C$11/(1+D1809)^1
 +$D$11/(1+D1809)^2
 +$E$11/(1+D1809)^3
 +$F$11/(1+D1809)^4
 +$G$11/(1+D1809)^5
 +$H$11/(1+D1809)^6
 +$I$11/(1+D1809)^7
 + ( $I$11*(1+F1809)/(D1809-F1809) )/(1+D1809)^7</f>
        <v>362.21771101791774</v>
      </c>
      <c r="H1809" s="7">
        <f ca="1">(G1809-$C$8)/$C$9</f>
        <v>1.9829698723310589</v>
      </c>
    </row>
    <row r="1810" spans="3:8" x14ac:dyDescent="0.35">
      <c r="C1810" s="8">
        <f t="shared" ca="1" si="112"/>
        <v>0.33553424840058288</v>
      </c>
      <c r="D1810" s="7">
        <f t="shared" ca="1" si="113"/>
        <v>8.6587286809134217E-2</v>
      </c>
      <c r="E1810" s="7">
        <f t="shared" ca="1" si="114"/>
        <v>0.10533730238358641</v>
      </c>
      <c r="F1810" s="7">
        <f t="shared" ca="1" si="115"/>
        <v>1.458993033462571E-2</v>
      </c>
      <c r="G1810" s="7">
        <f ca="1">$C$11/(1+D1810)^1
 +$D$11/(1+D1810)^2
 +$E$11/(1+D1810)^3
 +$F$11/(1+D1810)^4
 +$G$11/(1+D1810)^5
 +$H$11/(1+D1810)^6
 +$I$11/(1+D1810)^7
 + ( $I$11*(1+F1810)/(D1810-F1810) )/(1+D1810)^7</f>
        <v>379.72953154480535</v>
      </c>
      <c r="H1810" s="7">
        <f ca="1">(G1810-$C$8)/$C$9</f>
        <v>2.0819738327951454</v>
      </c>
    </row>
    <row r="1811" spans="3:8" x14ac:dyDescent="0.35">
      <c r="C1811" s="8">
        <f t="shared" ca="1" si="112"/>
        <v>0.74455563647315604</v>
      </c>
      <c r="D1811" s="7">
        <f t="shared" ca="1" si="113"/>
        <v>9.5884526095417894E-2</v>
      </c>
      <c r="E1811" s="7">
        <f t="shared" ca="1" si="114"/>
        <v>0.68734592178045828</v>
      </c>
      <c r="F1811" s="7">
        <f t="shared" ca="1" si="115"/>
        <v>2.2092357137306444E-2</v>
      </c>
      <c r="G1811" s="7">
        <f ca="1">$C$11/(1+D1811)^1
 +$D$11/(1+D1811)^2
 +$E$11/(1+D1811)^3
 +$F$11/(1+D1811)^4
 +$G$11/(1+D1811)^5
 +$H$11/(1+D1811)^6
 +$I$11/(1+D1811)^7
 + ( $I$11*(1+F1811)/(D1811-F1811) )/(1+D1811)^7</f>
        <v>357.02177774912758</v>
      </c>
      <c r="H1811" s="7">
        <f ca="1">(G1811-$C$8)/$C$9</f>
        <v>1.9535944015667546</v>
      </c>
    </row>
    <row r="1812" spans="3:8" x14ac:dyDescent="0.35">
      <c r="C1812" s="8">
        <f t="shared" ca="1" si="112"/>
        <v>0.85563516022576491</v>
      </c>
      <c r="D1812" s="7">
        <f t="shared" ca="1" si="113"/>
        <v>9.9388469713377656E-2</v>
      </c>
      <c r="E1812" s="7">
        <f t="shared" ca="1" si="114"/>
        <v>0.76665253928274024</v>
      </c>
      <c r="F1812" s="7">
        <f t="shared" ca="1" si="115"/>
        <v>2.3168492688765387E-2</v>
      </c>
      <c r="G1812" s="7">
        <f ca="1">$C$11/(1+D1812)^1
 +$D$11/(1+D1812)^2
 +$E$11/(1+D1812)^3
 +$F$11/(1+D1812)^4
 +$G$11/(1+D1812)^5
 +$H$11/(1+D1812)^6
 +$I$11/(1+D1812)^7
 + ( $I$11*(1+F1812)/(D1812-F1812) )/(1+D1812)^7</f>
        <v>343.42543894467974</v>
      </c>
      <c r="H1812" s="7">
        <f ca="1">(G1812-$C$8)/$C$9</f>
        <v>1.876726814476932</v>
      </c>
    </row>
    <row r="1813" spans="3:8" x14ac:dyDescent="0.35">
      <c r="C1813" s="8">
        <f t="shared" ca="1" si="112"/>
        <v>0.40745657264516588</v>
      </c>
      <c r="D1813" s="7">
        <f t="shared" ca="1" si="113"/>
        <v>8.8278796173956203E-2</v>
      </c>
      <c r="E1813" s="7">
        <f t="shared" ca="1" si="114"/>
        <v>0.91248247020522921</v>
      </c>
      <c r="F1813" s="7">
        <f t="shared" ca="1" si="115"/>
        <v>2.5816280846070787E-2</v>
      </c>
      <c r="G1813" s="7">
        <f ca="1">$C$11/(1+D1813)^1
 +$D$11/(1+D1813)^2
 +$E$11/(1+D1813)^3
 +$F$11/(1+D1813)^4
 +$G$11/(1+D1813)^5
 +$H$11/(1+D1813)^6
 +$I$11/(1+D1813)^7
 + ( $I$11*(1+F1813)/(D1813-F1813) )/(1+D1813)^7</f>
        <v>416.9130044682089</v>
      </c>
      <c r="H1813" s="7">
        <f ca="1">(G1813-$C$8)/$C$9</f>
        <v>2.2921924721178701</v>
      </c>
    </row>
    <row r="1814" spans="3:8" x14ac:dyDescent="0.35">
      <c r="C1814" s="8">
        <f t="shared" ca="1" si="112"/>
        <v>0.70898603946350136</v>
      </c>
      <c r="D1814" s="7">
        <f t="shared" ca="1" si="113"/>
        <v>9.4933783181618922E-2</v>
      </c>
      <c r="E1814" s="7">
        <f t="shared" ca="1" si="114"/>
        <v>0.10463615294723938</v>
      </c>
      <c r="F1814" s="7">
        <f t="shared" ca="1" si="115"/>
        <v>1.4574629011127337E-2</v>
      </c>
      <c r="G1814" s="7">
        <f ca="1">$C$11/(1+D1814)^1
 +$D$11/(1+D1814)^2
 +$E$11/(1+D1814)^3
 +$F$11/(1+D1814)^4
 +$G$11/(1+D1814)^5
 +$H$11/(1+D1814)^6
 +$I$11/(1+D1814)^7
 + ( $I$11*(1+F1814)/(D1814-F1814) )/(1+D1814)^7</f>
        <v>338.36330451650974</v>
      </c>
      <c r="H1814" s="7">
        <f ca="1">(G1814-$C$8)/$C$9</f>
        <v>1.848107782205505</v>
      </c>
    </row>
    <row r="1815" spans="3:8" x14ac:dyDescent="0.35">
      <c r="C1815" s="8">
        <f t="shared" ca="1" si="112"/>
        <v>7.2080065374060531E-3</v>
      </c>
      <c r="D1815" s="7">
        <f t="shared" ca="1" si="113"/>
        <v>7.2431165432600794E-2</v>
      </c>
      <c r="E1815" s="7">
        <f t="shared" ca="1" si="114"/>
        <v>7.5653667798479263E-2</v>
      </c>
      <c r="F1815" s="7">
        <f t="shared" ca="1" si="115"/>
        <v>1.3889824361034295E-2</v>
      </c>
      <c r="G1815" s="7">
        <f ca="1">$C$11/(1+D1815)^1
 +$D$11/(1+D1815)^2
 +$E$11/(1+D1815)^3
 +$F$11/(1+D1815)^4
 +$G$11/(1+D1815)^5
 +$H$11/(1+D1815)^6
 +$I$11/(1+D1815)^7
 + ( $I$11*(1+F1815)/(D1815-F1815) )/(1+D1815)^7</f>
        <v>473.03321059592258</v>
      </c>
      <c r="H1815" s="7">
        <f ca="1">(G1815-$C$8)/$C$9</f>
        <v>2.6094708875843655</v>
      </c>
    </row>
    <row r="1816" spans="3:8" x14ac:dyDescent="0.35">
      <c r="C1816" s="8">
        <f t="shared" ca="1" si="112"/>
        <v>0.29146948124555105</v>
      </c>
      <c r="D1816" s="7">
        <f t="shared" ca="1" si="113"/>
        <v>8.5459785723655812E-2</v>
      </c>
      <c r="E1816" s="7">
        <f t="shared" ca="1" si="114"/>
        <v>0.99093208938703903</v>
      </c>
      <c r="F1816" s="7">
        <f t="shared" ca="1" si="115"/>
        <v>2.8653306967942511E-2</v>
      </c>
      <c r="G1816" s="7">
        <f ca="1">$C$11/(1+D1816)^1
 +$D$11/(1+D1816)^2
 +$E$11/(1+D1816)^3
 +$F$11/(1+D1816)^4
 +$G$11/(1+D1816)^5
 +$H$11/(1+D1816)^6
 +$I$11/(1+D1816)^7
 + ( $I$11*(1+F1816)/(D1816-F1816) )/(1+D1816)^7</f>
        <v>453.44681651144089</v>
      </c>
      <c r="H1816" s="7">
        <f ca="1">(G1816-$C$8)/$C$9</f>
        <v>2.4987382208923612</v>
      </c>
    </row>
    <row r="1817" spans="3:8" x14ac:dyDescent="0.35">
      <c r="C1817" s="8">
        <f t="shared" ca="1" si="112"/>
        <v>0.8825281567960227</v>
      </c>
      <c r="D1817" s="7">
        <f t="shared" ca="1" si="113"/>
        <v>0.10042774646704851</v>
      </c>
      <c r="E1817" s="7">
        <f t="shared" ca="1" si="114"/>
        <v>0.917105449952754</v>
      </c>
      <c r="F1817" s="7">
        <f t="shared" ca="1" si="115"/>
        <v>2.592827923238231E-2</v>
      </c>
      <c r="G1817" s="7">
        <f ca="1">$C$11/(1+D1817)^1
 +$D$11/(1+D1817)^2
 +$E$11/(1+D1817)^3
 +$F$11/(1+D1817)^4
 +$G$11/(1+D1817)^5
 +$H$11/(1+D1817)^6
 +$I$11/(1+D1817)^7
 + ( $I$11*(1+F1817)/(D1817-F1817) )/(1+D1817)^7</f>
        <v>347.13141368644386</v>
      </c>
      <c r="H1817" s="7">
        <f ca="1">(G1817-$C$8)/$C$9</f>
        <v>1.8976787295705781</v>
      </c>
    </row>
    <row r="1818" spans="3:8" x14ac:dyDescent="0.35">
      <c r="C1818" s="8">
        <f t="shared" ca="1" si="112"/>
        <v>0.51048581224856715</v>
      </c>
      <c r="D1818" s="7">
        <f t="shared" ca="1" si="113"/>
        <v>9.0459676586980176E-2</v>
      </c>
      <c r="E1818" s="7">
        <f t="shared" ca="1" si="114"/>
        <v>0.43817705969279219</v>
      </c>
      <c r="F1818" s="7">
        <f t="shared" ca="1" si="115"/>
        <v>1.9361378741326429E-2</v>
      </c>
      <c r="G1818" s="7">
        <f ca="1">$C$11/(1+D1818)^1
 +$D$11/(1+D1818)^2
 +$E$11/(1+D1818)^3
 +$F$11/(1+D1818)^4
 +$G$11/(1+D1818)^5
 +$H$11/(1+D1818)^6
 +$I$11/(1+D1818)^7
 + ( $I$11*(1+F1818)/(D1818-F1818) )/(1+D1818)^7</f>
        <v>376.01580054121132</v>
      </c>
      <c r="H1818" s="7">
        <f ca="1">(G1818-$C$8)/$C$9</f>
        <v>2.0609780672840983</v>
      </c>
    </row>
    <row r="1819" spans="3:8" x14ac:dyDescent="0.35">
      <c r="C1819" s="8">
        <f t="shared" ca="1" si="112"/>
        <v>0.63982819406560365</v>
      </c>
      <c r="D1819" s="7">
        <f t="shared" ca="1" si="113"/>
        <v>9.3238913858916264E-2</v>
      </c>
      <c r="E1819" s="7">
        <f t="shared" ca="1" si="114"/>
        <v>0.71009518830141327</v>
      </c>
      <c r="F1819" s="7">
        <f t="shared" ca="1" si="115"/>
        <v>2.2385476880347834E-2</v>
      </c>
      <c r="G1819" s="7">
        <f ca="1">$C$11/(1+D1819)^1
 +$D$11/(1+D1819)^2
 +$E$11/(1+D1819)^3
 +$F$11/(1+D1819)^4
 +$G$11/(1+D1819)^5
 +$H$11/(1+D1819)^6
 +$I$11/(1+D1819)^7
 + ( $I$11*(1+F1819)/(D1819-F1819) )/(1+D1819)^7</f>
        <v>371.93464354502424</v>
      </c>
      <c r="H1819" s="7">
        <f ca="1">(G1819-$C$8)/$C$9</f>
        <v>2.037905040394755</v>
      </c>
    </row>
    <row r="1820" spans="3:8" x14ac:dyDescent="0.35">
      <c r="C1820" s="8">
        <f t="shared" ca="1" si="112"/>
        <v>0.1786268623942624</v>
      </c>
      <c r="D1820" s="7">
        <f t="shared" ca="1" si="113"/>
        <v>8.2102645461356594E-2</v>
      </c>
      <c r="E1820" s="7">
        <f t="shared" ca="1" si="114"/>
        <v>0.4606029826102499</v>
      </c>
      <c r="F1820" s="7">
        <f t="shared" ca="1" si="115"/>
        <v>1.9597947516112491E-2</v>
      </c>
      <c r="G1820" s="7">
        <f ca="1">$C$11/(1+D1820)^1
 +$D$11/(1+D1820)^2
 +$E$11/(1+D1820)^3
 +$F$11/(1+D1820)^4
 +$G$11/(1+D1820)^5
 +$H$11/(1+D1820)^6
 +$I$11/(1+D1820)^7
 + ( $I$11*(1+F1820)/(D1820-F1820) )/(1+D1820)^7</f>
        <v>429.51027107215407</v>
      </c>
      <c r="H1820" s="7">
        <f ca="1">(G1820-$C$8)/$C$9</f>
        <v>2.3634117541392698</v>
      </c>
    </row>
    <row r="1821" spans="3:8" x14ac:dyDescent="0.35">
      <c r="C1821" s="8">
        <f t="shared" ca="1" si="112"/>
        <v>0.65153203915377633</v>
      </c>
      <c r="D1821" s="7">
        <f t="shared" ca="1" si="113"/>
        <v>9.3513490076427508E-2</v>
      </c>
      <c r="E1821" s="7">
        <f t="shared" ca="1" si="114"/>
        <v>0.3449558882118644</v>
      </c>
      <c r="F1821" s="7">
        <f t="shared" ca="1" si="115"/>
        <v>1.8306092802417566E-2</v>
      </c>
      <c r="G1821" s="7">
        <f ca="1">$C$11/(1+D1821)^1
 +$D$11/(1+D1821)^2
 +$E$11/(1+D1821)^3
 +$F$11/(1+D1821)^4
 +$G$11/(1+D1821)^5
 +$H$11/(1+D1821)^6
 +$I$11/(1+D1821)^7
 + ( $I$11*(1+F1821)/(D1821-F1821) )/(1+D1821)^7</f>
        <v>356.36882352390012</v>
      </c>
      <c r="H1821" s="7">
        <f ca="1">(G1821-$C$8)/$C$9</f>
        <v>1.9499028919261652</v>
      </c>
    </row>
    <row r="1822" spans="3:8" x14ac:dyDescent="0.35">
      <c r="C1822" s="8">
        <f t="shared" ca="1" si="112"/>
        <v>0.62470383276605623</v>
      </c>
      <c r="D1822" s="7">
        <f t="shared" ca="1" si="113"/>
        <v>9.2890616304422996E-2</v>
      </c>
      <c r="E1822" s="7">
        <f t="shared" ca="1" si="114"/>
        <v>0.27151793085635967</v>
      </c>
      <c r="F1822" s="7">
        <f t="shared" ca="1" si="115"/>
        <v>1.7369096699818232E-2</v>
      </c>
      <c r="G1822" s="7">
        <f ca="1">$C$11/(1+D1822)^1
 +$D$11/(1+D1822)^2
 +$E$11/(1+D1822)^3
 +$F$11/(1+D1822)^4
 +$G$11/(1+D1822)^5
 +$H$11/(1+D1822)^6
 +$I$11/(1+D1822)^7
 + ( $I$11*(1+F1822)/(D1822-F1822) )/(1+D1822)^7</f>
        <v>356.40303834723568</v>
      </c>
      <c r="H1822" s="7">
        <f ca="1">(G1822-$C$8)/$C$9</f>
        <v>1.9500963271553351</v>
      </c>
    </row>
    <row r="1823" spans="3:8" x14ac:dyDescent="0.35">
      <c r="C1823" s="8">
        <f t="shared" ca="1" si="112"/>
        <v>0.33572319767789138</v>
      </c>
      <c r="D1823" s="7">
        <f t="shared" ca="1" si="113"/>
        <v>8.6591956548155227E-2</v>
      </c>
      <c r="E1823" s="7">
        <f t="shared" ca="1" si="114"/>
        <v>0.55430351272789846</v>
      </c>
      <c r="F1823" s="7">
        <f t="shared" ca="1" si="115"/>
        <v>2.0558639004125502E-2</v>
      </c>
      <c r="G1823" s="7">
        <f ca="1">$C$11/(1+D1823)^1
 +$D$11/(1+D1823)^2
 +$E$11/(1+D1823)^3
 +$F$11/(1+D1823)^4
 +$G$11/(1+D1823)^5
 +$H$11/(1+D1823)^6
 +$I$11/(1+D1823)^7
 + ( $I$11*(1+F1823)/(D1823-F1823) )/(1+D1823)^7</f>
        <v>403.76799746469374</v>
      </c>
      <c r="H1823" s="7">
        <f ca="1">(G1823-$C$8)/$C$9</f>
        <v>2.2178765121251343</v>
      </c>
    </row>
    <row r="1824" spans="3:8" x14ac:dyDescent="0.35">
      <c r="C1824" s="8">
        <f t="shared" ca="1" si="112"/>
        <v>0.8950062284579412</v>
      </c>
      <c r="D1824" s="7">
        <f t="shared" ca="1" si="113"/>
        <v>0.10095040653936289</v>
      </c>
      <c r="E1824" s="7">
        <f t="shared" ca="1" si="114"/>
        <v>5.1988689285301315E-2</v>
      </c>
      <c r="F1824" s="7">
        <f t="shared" ca="1" si="115"/>
        <v>1.3224552349871259E-2</v>
      </c>
      <c r="G1824" s="7">
        <f ca="1">$C$11/(1+D1824)^1
 +$D$11/(1+D1824)^2
 +$E$11/(1+D1824)^3
 +$F$11/(1+D1824)^4
 +$G$11/(1+D1824)^5
 +$H$11/(1+D1824)^6
 +$I$11/(1+D1824)^7
 + ( $I$11*(1+F1824)/(D1824-F1824) )/(1+D1824)^7</f>
        <v>310.42112628031396</v>
      </c>
      <c r="H1824" s="7">
        <f ca="1">(G1824-$C$8)/$C$9</f>
        <v>1.6901352684323492</v>
      </c>
    </row>
    <row r="1825" spans="3:8" x14ac:dyDescent="0.35">
      <c r="C1825" s="8">
        <f t="shared" ca="1" si="112"/>
        <v>0.87127637581802564</v>
      </c>
      <c r="D1825" s="7">
        <f t="shared" ca="1" si="113"/>
        <v>9.9979799060800234E-2</v>
      </c>
      <c r="E1825" s="7">
        <f t="shared" ca="1" si="114"/>
        <v>0.66388555725451659</v>
      </c>
      <c r="F1825" s="7">
        <f t="shared" ca="1" si="115"/>
        <v>2.1801043447541836E-2</v>
      </c>
      <c r="G1825" s="7">
        <f ca="1">$C$11/(1+D1825)^1
 +$D$11/(1+D1825)^2
 +$E$11/(1+D1825)^3
 +$F$11/(1+D1825)^4
 +$G$11/(1+D1825)^5
 +$H$11/(1+D1825)^6
 +$I$11/(1+D1825)^7
 + ( $I$11*(1+F1825)/(D1825-F1825) )/(1+D1825)^7</f>
        <v>336.61477179745532</v>
      </c>
      <c r="H1825" s="7">
        <f ca="1">(G1825-$C$8)/$C$9</f>
        <v>1.8382223643004032</v>
      </c>
    </row>
    <row r="1826" spans="3:8" x14ac:dyDescent="0.35">
      <c r="C1826" s="8">
        <f t="shared" ca="1" si="112"/>
        <v>0.91883702986040572</v>
      </c>
      <c r="D1826" s="7">
        <f t="shared" ca="1" si="113"/>
        <v>0.1020434230532921</v>
      </c>
      <c r="E1826" s="7">
        <f t="shared" ca="1" si="114"/>
        <v>0.50758379140054988</v>
      </c>
      <c r="F1826" s="7">
        <f t="shared" ca="1" si="115"/>
        <v>2.0076127685228411E-2</v>
      </c>
      <c r="G1826" s="7">
        <f ca="1">$C$11/(1+D1826)^1
 +$D$11/(1+D1826)^2
 +$E$11/(1+D1826)^3
 +$F$11/(1+D1826)^4
 +$G$11/(1+D1826)^5
 +$H$11/(1+D1826)^6
 +$I$11/(1+D1826)^7
 + ( $I$11*(1+F1826)/(D1826-F1826) )/(1+D1826)^7</f>
        <v>322.95898301944334</v>
      </c>
      <c r="H1826" s="7">
        <f ca="1">(G1826-$C$8)/$C$9</f>
        <v>1.7610186737869931</v>
      </c>
    </row>
    <row r="1827" spans="3:8" x14ac:dyDescent="0.35">
      <c r="C1827" s="8">
        <f t="shared" ca="1" si="112"/>
        <v>0.18061746900331033</v>
      </c>
      <c r="D1827" s="7">
        <f t="shared" ca="1" si="113"/>
        <v>8.216989418946255E-2</v>
      </c>
      <c r="E1827" s="7">
        <f t="shared" ca="1" si="114"/>
        <v>0.1408871987795135</v>
      </c>
      <c r="F1827" s="7">
        <f t="shared" ca="1" si="115"/>
        <v>1.5308242624061441E-2</v>
      </c>
      <c r="G1827" s="7">
        <f ca="1">$C$11/(1+D1827)^1
 +$D$11/(1+D1827)^2
 +$E$11/(1+D1827)^3
 +$F$11/(1+D1827)^4
 +$G$11/(1+D1827)^5
 +$H$11/(1+D1827)^6
 +$I$11/(1+D1827)^7
 + ( $I$11*(1+F1827)/(D1827-F1827) )/(1+D1827)^7</f>
        <v>408.88869964509024</v>
      </c>
      <c r="H1827" s="7">
        <f ca="1">(G1827-$C$8)/$C$9</f>
        <v>2.2468266601373261</v>
      </c>
    </row>
    <row r="1828" spans="3:8" x14ac:dyDescent="0.35">
      <c r="C1828" s="8">
        <f t="shared" ca="1" si="112"/>
        <v>0.91643643686324994</v>
      </c>
      <c r="D1828" s="7">
        <f t="shared" ca="1" si="113"/>
        <v>0.10192661290122509</v>
      </c>
      <c r="E1828" s="7">
        <f t="shared" ca="1" si="114"/>
        <v>0.7754757824931432</v>
      </c>
      <c r="F1828" s="7">
        <f t="shared" ca="1" si="115"/>
        <v>2.3298892367573001E-2</v>
      </c>
      <c r="G1828" s="7">
        <f ca="1">$C$11/(1+D1828)^1
 +$D$11/(1+D1828)^2
 +$E$11/(1+D1828)^3
 +$F$11/(1+D1828)^4
 +$G$11/(1+D1828)^5
 +$H$11/(1+D1828)^6
 +$I$11/(1+D1828)^7
 + ( $I$11*(1+F1828)/(D1828-F1828) )/(1+D1828)^7</f>
        <v>332.26671518438474</v>
      </c>
      <c r="H1828" s="7">
        <f ca="1">(G1828-$C$8)/$C$9</f>
        <v>1.8136404069673491</v>
      </c>
    </row>
    <row r="1829" spans="3:8" x14ac:dyDescent="0.35">
      <c r="C1829" s="8">
        <f t="shared" ca="1" si="112"/>
        <v>0.93828053642779496</v>
      </c>
      <c r="D1829" s="7">
        <f t="shared" ca="1" si="113"/>
        <v>0.10306161534748037</v>
      </c>
      <c r="E1829" s="7">
        <f t="shared" ca="1" si="114"/>
        <v>0.22859927994295504</v>
      </c>
      <c r="F1829" s="7">
        <f t="shared" ca="1" si="115"/>
        <v>1.6761645952620634E-2</v>
      </c>
      <c r="G1829" s="7">
        <f ca="1">$C$11/(1+D1829)^1
 +$D$11/(1+D1829)^2
 +$E$11/(1+D1829)^3
 +$F$11/(1+D1829)^4
 +$G$11/(1+D1829)^5
 +$H$11/(1+D1829)^6
 +$I$11/(1+D1829)^7
 + ( $I$11*(1+F1829)/(D1829-F1829) )/(1+D1829)^7</f>
        <v>310.70331732200242</v>
      </c>
      <c r="H1829" s="7">
        <f ca="1">(G1829-$C$8)/$C$9</f>
        <v>1.6917306497173361</v>
      </c>
    </row>
    <row r="1830" spans="3:8" x14ac:dyDescent="0.35">
      <c r="C1830" s="8">
        <f t="shared" ca="1" si="112"/>
        <v>0.85082698219392805</v>
      </c>
      <c r="D1830" s="7">
        <f t="shared" ca="1" si="113"/>
        <v>9.921320465157811E-2</v>
      </c>
      <c r="E1830" s="7">
        <f t="shared" ca="1" si="114"/>
        <v>0.50944344814054265</v>
      </c>
      <c r="F1830" s="7">
        <f t="shared" ca="1" si="115"/>
        <v>2.0094884636113954E-2</v>
      </c>
      <c r="G1830" s="7">
        <f ca="1">$C$11/(1+D1830)^1
 +$D$11/(1+D1830)^2
 +$E$11/(1+D1830)^3
 +$F$11/(1+D1830)^4
 +$G$11/(1+D1830)^5
 +$H$11/(1+D1830)^6
 +$I$11/(1+D1830)^7
 + ( $I$11*(1+F1830)/(D1830-F1830) )/(1+D1830)^7</f>
        <v>335.11307705183953</v>
      </c>
      <c r="H1830" s="7">
        <f ca="1">(G1830-$C$8)/$C$9</f>
        <v>1.829732457326094</v>
      </c>
    </row>
    <row r="1831" spans="3:8" x14ac:dyDescent="0.35">
      <c r="C1831" s="8">
        <f t="shared" ca="1" si="112"/>
        <v>0.10730024862138199</v>
      </c>
      <c r="D1831" s="7">
        <f t="shared" ca="1" si="113"/>
        <v>7.9380096154599553E-2</v>
      </c>
      <c r="E1831" s="7">
        <f t="shared" ca="1" si="114"/>
        <v>0.56065023052058416</v>
      </c>
      <c r="F1831" s="7">
        <f t="shared" ca="1" si="115"/>
        <v>2.0626102523716022E-2</v>
      </c>
      <c r="G1831" s="7">
        <f ca="1">$C$11/(1+D1831)^1
 +$D$11/(1+D1831)^2
 +$E$11/(1+D1831)^3
 +$F$11/(1+D1831)^4
 +$G$11/(1+D1831)^5
 +$H$11/(1+D1831)^6
 +$I$11/(1+D1831)^7
 + ( $I$11*(1+F1831)/(D1831-F1831) )/(1+D1831)^7</f>
        <v>455.68691582442716</v>
      </c>
      <c r="H1831" s="7">
        <f ca="1">(G1831-$C$8)/$C$9</f>
        <v>2.5114027353257979</v>
      </c>
    </row>
    <row r="1832" spans="3:8" x14ac:dyDescent="0.35">
      <c r="C1832" s="8">
        <f t="shared" ca="1" si="112"/>
        <v>0.68629211176125393</v>
      </c>
      <c r="D1832" s="7">
        <f t="shared" ca="1" si="113"/>
        <v>9.4357361065784906E-2</v>
      </c>
      <c r="E1832" s="7">
        <f t="shared" ca="1" si="114"/>
        <v>0.47222670867725647</v>
      </c>
      <c r="F1832" s="7">
        <f t="shared" ca="1" si="115"/>
        <v>1.9718299323207289E-2</v>
      </c>
      <c r="G1832" s="7">
        <f ca="1">$C$11/(1+D1832)^1
 +$D$11/(1+D1832)^2
 +$E$11/(1+D1832)^3
 +$F$11/(1+D1832)^4
 +$G$11/(1+D1832)^5
 +$H$11/(1+D1832)^6
 +$I$11/(1+D1832)^7
 + ( $I$11*(1+F1832)/(D1832-F1832) )/(1+D1832)^7</f>
        <v>356.80111758331907</v>
      </c>
      <c r="H1832" s="7">
        <f ca="1">(G1832-$C$8)/$C$9</f>
        <v>1.9523468881915369</v>
      </c>
    </row>
    <row r="1833" spans="3:8" x14ac:dyDescent="0.35">
      <c r="C1833" s="8">
        <f t="shared" ca="1" si="112"/>
        <v>0.28788807976892283</v>
      </c>
      <c r="D1833" s="7">
        <f t="shared" ca="1" si="113"/>
        <v>8.5364511883249561E-2</v>
      </c>
      <c r="E1833" s="7">
        <f t="shared" ca="1" si="114"/>
        <v>3.1260031998515903E-2</v>
      </c>
      <c r="F1833" s="7">
        <f t="shared" ca="1" si="115"/>
        <v>1.2500401247740687E-2</v>
      </c>
      <c r="G1833" s="7">
        <f ca="1">$C$11/(1+D1833)^1
 +$D$11/(1+D1833)^2
 +$E$11/(1+D1833)^3
 +$F$11/(1+D1833)^4
 +$G$11/(1+D1833)^5
 +$H$11/(1+D1833)^6
 +$I$11/(1+D1833)^7
 + ( $I$11*(1+F1833)/(D1833-F1833) )/(1+D1833)^7</f>
        <v>378.78898991825832</v>
      </c>
      <c r="H1833" s="7">
        <f ca="1">(G1833-$C$8)/$C$9</f>
        <v>2.076656433278258</v>
      </c>
    </row>
    <row r="1834" spans="3:8" x14ac:dyDescent="0.35">
      <c r="C1834" s="8">
        <f t="shared" ca="1" si="112"/>
        <v>0.41822914679379219</v>
      </c>
      <c r="D1834" s="7">
        <f t="shared" ca="1" si="113"/>
        <v>8.851885256626095E-2</v>
      </c>
      <c r="E1834" s="7">
        <f t="shared" ca="1" si="114"/>
        <v>0.93118328234804948</v>
      </c>
      <c r="F1834" s="7">
        <f t="shared" ca="1" si="115"/>
        <v>2.6290101951483017E-2</v>
      </c>
      <c r="G1834" s="7">
        <f ca="1">$C$11/(1+D1834)^1
 +$D$11/(1+D1834)^2
 +$E$11/(1+D1834)^3
 +$F$11/(1+D1834)^4
 +$G$11/(1+D1834)^5
 +$H$11/(1+D1834)^6
 +$I$11/(1+D1834)^7
 + ( $I$11*(1+F1834)/(D1834-F1834) )/(1+D1834)^7</f>
        <v>417.56555285089098</v>
      </c>
      <c r="H1834" s="7">
        <f ca="1">(G1834-$C$8)/$C$9</f>
        <v>2.2958816873071628</v>
      </c>
    </row>
    <row r="1835" spans="3:8" x14ac:dyDescent="0.35">
      <c r="C1835" s="8">
        <f t="shared" ca="1" si="112"/>
        <v>0.4160875539135932</v>
      </c>
      <c r="D1835" s="7">
        <f t="shared" ca="1" si="113"/>
        <v>8.8471377701978438E-2</v>
      </c>
      <c r="E1835" s="7">
        <f t="shared" ca="1" si="114"/>
        <v>2.7747578587270616E-2</v>
      </c>
      <c r="F1835" s="7">
        <f t="shared" ca="1" si="115"/>
        <v>1.2355741012389546E-2</v>
      </c>
      <c r="G1835" s="7">
        <f ca="1">$C$11/(1+D1835)^1
 +$D$11/(1+D1835)^2
 +$E$11/(1+D1835)^3
 +$F$11/(1+D1835)^4
 +$G$11/(1+D1835)^5
 +$H$11/(1+D1835)^6
 +$I$11/(1+D1835)^7
 + ( $I$11*(1+F1835)/(D1835-F1835) )/(1+D1835)^7</f>
        <v>362.04152891477958</v>
      </c>
      <c r="H1835" s="7">
        <f ca="1">(G1835-$C$8)/$C$9</f>
        <v>1.9819738179261621</v>
      </c>
    </row>
    <row r="1836" spans="3:8" x14ac:dyDescent="0.35">
      <c r="C1836" s="8">
        <f t="shared" ca="1" si="112"/>
        <v>0.71007887914517143</v>
      </c>
      <c r="D1836" s="7">
        <f t="shared" ca="1" si="113"/>
        <v>9.4962098741288192E-2</v>
      </c>
      <c r="E1836" s="7">
        <f t="shared" ca="1" si="114"/>
        <v>0.63348557471317146</v>
      </c>
      <c r="F1836" s="7">
        <f t="shared" ca="1" si="115"/>
        <v>2.143828959510042E-2</v>
      </c>
      <c r="G1836" s="7">
        <f ca="1">$C$11/(1+D1836)^1
 +$D$11/(1+D1836)^2
 +$E$11/(1+D1836)^3
 +$F$11/(1+D1836)^4
 +$G$11/(1+D1836)^5
 +$H$11/(1+D1836)^6
 +$I$11/(1+D1836)^7
 + ( $I$11*(1+F1836)/(D1836-F1836) )/(1+D1836)^7</f>
        <v>359.49695510224223</v>
      </c>
      <c r="H1836" s="7">
        <f ca="1">(G1836-$C$8)/$C$9</f>
        <v>1.9675879415549651</v>
      </c>
    </row>
    <row r="1837" spans="3:8" x14ac:dyDescent="0.35">
      <c r="C1837" s="8">
        <f t="shared" ca="1" si="112"/>
        <v>0.46202336884437945</v>
      </c>
      <c r="D1837" s="7">
        <f t="shared" ca="1" si="113"/>
        <v>8.9464304828387561E-2</v>
      </c>
      <c r="E1837" s="7">
        <f t="shared" ca="1" si="114"/>
        <v>0.17887472596634924</v>
      </c>
      <c r="F1837" s="7">
        <f t="shared" ca="1" si="115"/>
        <v>1.598121602964396E-2</v>
      </c>
      <c r="G1837" s="7">
        <f ca="1">$C$11/(1+D1837)^1
 +$D$11/(1+D1837)^2
 +$E$11/(1+D1837)^3
 +$F$11/(1+D1837)^4
 +$G$11/(1+D1837)^5
 +$H$11/(1+D1837)^6
 +$I$11/(1+D1837)^7
 + ( $I$11*(1+F1837)/(D1837-F1837) )/(1+D1837)^7</f>
        <v>369.20740254897805</v>
      </c>
      <c r="H1837" s="7">
        <f ca="1">(G1837-$C$8)/$C$9</f>
        <v>2.0224864458897445</v>
      </c>
    </row>
    <row r="1838" spans="3:8" x14ac:dyDescent="0.35">
      <c r="C1838" s="8">
        <f t="shared" ca="1" si="112"/>
        <v>0.85329855381471331</v>
      </c>
      <c r="D1838" s="7">
        <f t="shared" ca="1" si="113"/>
        <v>9.9302938346231537E-2</v>
      </c>
      <c r="E1838" s="7">
        <f t="shared" ca="1" si="114"/>
        <v>0.24350984061858061</v>
      </c>
      <c r="F1838" s="7">
        <f t="shared" ca="1" si="115"/>
        <v>1.6978679540121909E-2</v>
      </c>
      <c r="G1838" s="7">
        <f ca="1">$C$11/(1+D1838)^1
 +$D$11/(1+D1838)^2
 +$E$11/(1+D1838)^3
 +$F$11/(1+D1838)^4
 +$G$11/(1+D1838)^5
 +$H$11/(1+D1838)^6
 +$I$11/(1+D1838)^7
 + ( $I$11*(1+F1838)/(D1838-F1838) )/(1+D1838)^7</f>
        <v>326.17263070456073</v>
      </c>
      <c r="H1838" s="7">
        <f ca="1">(G1838-$C$8)/$C$9</f>
        <v>1.7791871930379959</v>
      </c>
    </row>
    <row r="1839" spans="3:8" x14ac:dyDescent="0.35">
      <c r="C1839" s="8">
        <f t="shared" ca="1" si="112"/>
        <v>0.72712467441316919</v>
      </c>
      <c r="D1839" s="7">
        <f t="shared" ca="1" si="113"/>
        <v>9.5410868635942434E-2</v>
      </c>
      <c r="E1839" s="7">
        <f t="shared" ca="1" si="114"/>
        <v>0.45431332740223174</v>
      </c>
      <c r="F1839" s="7">
        <f t="shared" ca="1" si="115"/>
        <v>1.9532191011538025E-2</v>
      </c>
      <c r="G1839" s="7">
        <f ca="1">$C$11/(1+D1839)^1
 +$D$11/(1+D1839)^2
 +$E$11/(1+D1839)^3
 +$F$11/(1+D1839)^4
 +$G$11/(1+D1839)^5
 +$H$11/(1+D1839)^6
 +$I$11/(1+D1839)^7
 + ( $I$11*(1+F1839)/(D1839-F1839) )/(1+D1839)^7</f>
        <v>351.02171222873744</v>
      </c>
      <c r="H1839" s="7">
        <f ca="1">(G1839-$C$8)/$C$9</f>
        <v>1.9196727285659059</v>
      </c>
    </row>
    <row r="1840" spans="3:8" x14ac:dyDescent="0.35">
      <c r="C1840" s="8">
        <f t="shared" ca="1" si="112"/>
        <v>0.95469948595132281</v>
      </c>
      <c r="D1840" s="7">
        <f t="shared" ca="1" si="113"/>
        <v>0.10405572536317775</v>
      </c>
      <c r="E1840" s="7">
        <f t="shared" ca="1" si="114"/>
        <v>0.8808530305575738</v>
      </c>
      <c r="F1840" s="7">
        <f t="shared" ca="1" si="115"/>
        <v>2.5118463982670491E-2</v>
      </c>
      <c r="G1840" s="7">
        <f ca="1">$C$11/(1+D1840)^1
 +$D$11/(1+D1840)^2
 +$E$11/(1+D1840)^3
 +$F$11/(1+D1840)^4
 +$G$11/(1+D1840)^5
 +$H$11/(1+D1840)^6
 +$I$11/(1+D1840)^7
 + ( $I$11*(1+F1840)/(D1840-F1840) )/(1+D1840)^7</f>
        <v>328.10600558879952</v>
      </c>
      <c r="H1840" s="7">
        <f ca="1">(G1840-$C$8)/$C$9</f>
        <v>1.7901176254454969</v>
      </c>
    </row>
    <row r="1841" spans="3:8" x14ac:dyDescent="0.35">
      <c r="C1841" s="8">
        <f t="shared" ca="1" si="112"/>
        <v>0.44468890848225029</v>
      </c>
      <c r="D1841" s="7">
        <f t="shared" ca="1" si="113"/>
        <v>8.909567765111899E-2</v>
      </c>
      <c r="E1841" s="7">
        <f t="shared" ca="1" si="114"/>
        <v>0.78809925432782058</v>
      </c>
      <c r="F1841" s="7">
        <f t="shared" ca="1" si="115"/>
        <v>2.3489996226234898E-2</v>
      </c>
      <c r="G1841" s="7">
        <f ca="1">$C$11/(1+D1841)^1
 +$D$11/(1+D1841)^2
 +$E$11/(1+D1841)^3
 +$F$11/(1+D1841)^4
 +$G$11/(1+D1841)^5
 +$H$11/(1+D1841)^6
 +$I$11/(1+D1841)^7
 + ( $I$11*(1+F1841)/(D1841-F1841) )/(1+D1841)^7</f>
        <v>400.75361575186827</v>
      </c>
      <c r="H1841" s="7">
        <f ca="1">(G1841-$C$8)/$C$9</f>
        <v>2.2008345530974007</v>
      </c>
    </row>
    <row r="1842" spans="3:8" x14ac:dyDescent="0.35">
      <c r="C1842" s="8">
        <f t="shared" ca="1" si="112"/>
        <v>0.59702907827116369</v>
      </c>
      <c r="D1842" s="7">
        <f t="shared" ca="1" si="113"/>
        <v>9.2271003442143368E-2</v>
      </c>
      <c r="E1842" s="7">
        <f t="shared" ca="1" si="114"/>
        <v>0.77623854932410308</v>
      </c>
      <c r="F1842" s="7">
        <f t="shared" ca="1" si="115"/>
        <v>2.3310284749320089E-2</v>
      </c>
      <c r="G1842" s="7">
        <f ca="1">$C$11/(1+D1842)^1
 +$D$11/(1+D1842)^2
 +$E$11/(1+D1842)^3
 +$F$11/(1+D1842)^4
 +$G$11/(1+D1842)^5
 +$H$11/(1+D1842)^6
 +$I$11/(1+D1842)^7
 + ( $I$11*(1+F1842)/(D1842-F1842) )/(1+D1842)^7</f>
        <v>380.86082766436454</v>
      </c>
      <c r="H1842" s="7">
        <f ca="1">(G1842-$C$8)/$C$9</f>
        <v>2.0883696724579632</v>
      </c>
    </row>
    <row r="1843" spans="3:8" x14ac:dyDescent="0.35">
      <c r="C1843" s="8">
        <f t="shared" ca="1" si="112"/>
        <v>0.22788689443995735</v>
      </c>
      <c r="D1843" s="7">
        <f t="shared" ca="1" si="113"/>
        <v>8.3669939774584423E-2</v>
      </c>
      <c r="E1843" s="7">
        <f t="shared" ca="1" si="114"/>
        <v>0.407493709518429</v>
      </c>
      <c r="F1843" s="7">
        <f t="shared" ca="1" si="115"/>
        <v>1.9027665362854662E-2</v>
      </c>
      <c r="G1843" s="7">
        <f ca="1">$C$11/(1+D1843)^1
 +$D$11/(1+D1843)^2
 +$E$11/(1+D1843)^3
 +$F$11/(1+D1843)^4
 +$G$11/(1+D1843)^5
 +$H$11/(1+D1843)^6
 +$I$11/(1+D1843)^7
 + ( $I$11*(1+F1843)/(D1843-F1843) )/(1+D1843)^7</f>
        <v>415.90858265779445</v>
      </c>
      <c r="H1843" s="7">
        <f ca="1">(G1843-$C$8)/$C$9</f>
        <v>2.2865139227600317</v>
      </c>
    </row>
    <row r="1844" spans="3:8" x14ac:dyDescent="0.35">
      <c r="C1844" s="8">
        <f t="shared" ca="1" si="112"/>
        <v>0.45862904243813807</v>
      </c>
      <c r="D1844" s="7">
        <f t="shared" ca="1" si="113"/>
        <v>8.9392674255998658E-2</v>
      </c>
      <c r="E1844" s="7">
        <f t="shared" ca="1" si="114"/>
        <v>0.80393759281944654</v>
      </c>
      <c r="F1844" s="7">
        <f t="shared" ca="1" si="115"/>
        <v>2.3738012980202634E-2</v>
      </c>
      <c r="G1844" s="7">
        <f ca="1">$C$11/(1+D1844)^1
 +$D$11/(1+D1844)^2
 +$E$11/(1+D1844)^3
 +$F$11/(1+D1844)^4
 +$G$11/(1+D1844)^5
 +$H$11/(1+D1844)^6
 +$I$11/(1+D1844)^7
 + ( $I$11*(1+F1844)/(D1844-F1844) )/(1+D1844)^7</f>
        <v>399.96194103056985</v>
      </c>
      <c r="H1844" s="7">
        <f ca="1">(G1844-$C$8)/$C$9</f>
        <v>2.1963587801366455</v>
      </c>
    </row>
    <row r="1845" spans="3:8" x14ac:dyDescent="0.35">
      <c r="C1845" s="8">
        <f t="shared" ca="1" si="112"/>
        <v>0.60461836498310906</v>
      </c>
      <c r="D1845" s="7">
        <f t="shared" ca="1" si="113"/>
        <v>9.2438745053010168E-2</v>
      </c>
      <c r="E1845" s="7">
        <f t="shared" ca="1" si="114"/>
        <v>0.4710947944152416</v>
      </c>
      <c r="F1845" s="7">
        <f t="shared" ca="1" si="115"/>
        <v>1.9706645088960875E-2</v>
      </c>
      <c r="G1845" s="7">
        <f ca="1">$C$11/(1+D1845)^1
 +$D$11/(1+D1845)^2
 +$E$11/(1+D1845)^3
 +$F$11/(1+D1845)^4
 +$G$11/(1+D1845)^5
 +$H$11/(1+D1845)^6
 +$I$11/(1+D1845)^7
 + ( $I$11*(1+F1845)/(D1845-F1845) )/(1+D1845)^7</f>
        <v>366.59685156286577</v>
      </c>
      <c r="H1845" s="7">
        <f ca="1">(G1845-$C$8)/$C$9</f>
        <v>2.0077275642405343</v>
      </c>
    </row>
    <row r="1846" spans="3:8" x14ac:dyDescent="0.35">
      <c r="C1846" s="8">
        <f t="shared" ca="1" si="112"/>
        <v>0.28730554824888088</v>
      </c>
      <c r="D1846" s="7">
        <f t="shared" ca="1" si="113"/>
        <v>8.5348959233905161E-2</v>
      </c>
      <c r="E1846" s="7">
        <f t="shared" ca="1" si="114"/>
        <v>0.6181489866858032</v>
      </c>
      <c r="F1846" s="7">
        <f t="shared" ca="1" si="115"/>
        <v>2.126099532767951E-2</v>
      </c>
      <c r="G1846" s="7">
        <f ca="1">$C$11/(1+D1846)^1
 +$D$11/(1+D1846)^2
 +$E$11/(1+D1846)^3
 +$F$11/(1+D1846)^4
 +$G$11/(1+D1846)^5
 +$H$11/(1+D1846)^6
 +$I$11/(1+D1846)^7
 + ( $I$11*(1+F1846)/(D1846-F1846) )/(1+D1846)^7</f>
        <v>415.09152619074746</v>
      </c>
      <c r="H1846" s="7">
        <f ca="1">(G1846-$C$8)/$C$9</f>
        <v>2.2818946528196937</v>
      </c>
    </row>
    <row r="1847" spans="3:8" x14ac:dyDescent="0.35">
      <c r="C1847" s="8">
        <f t="shared" ca="1" si="112"/>
        <v>0.94853781479040122</v>
      </c>
      <c r="D1847" s="7">
        <f t="shared" ca="1" si="113"/>
        <v>0.10366434656381152</v>
      </c>
      <c r="E1847" s="7">
        <f t="shared" ca="1" si="114"/>
        <v>0.93836156096515</v>
      </c>
      <c r="F1847" s="7">
        <f t="shared" ca="1" si="115"/>
        <v>2.6488919282191024E-2</v>
      </c>
      <c r="G1847" s="7">
        <f ca="1">$C$11/(1+D1847)^1
 +$D$11/(1+D1847)^2
 +$E$11/(1+D1847)^3
 +$F$11/(1+D1847)^4
 +$G$11/(1+D1847)^5
 +$H$11/(1+D1847)^6
 +$I$11/(1+D1847)^7
 + ( $I$11*(1+F1847)/(D1847-F1847) )/(1+D1847)^7</f>
        <v>333.75485059416735</v>
      </c>
      <c r="H1847" s="7">
        <f ca="1">(G1847-$C$8)/$C$9</f>
        <v>1.8220536555527325</v>
      </c>
    </row>
    <row r="1848" spans="3:8" x14ac:dyDescent="0.35">
      <c r="C1848" s="8">
        <f t="shared" ca="1" si="112"/>
        <v>0.91992685679908903</v>
      </c>
      <c r="D1848" s="7">
        <f t="shared" ca="1" si="113"/>
        <v>0.10209702260558019</v>
      </c>
      <c r="E1848" s="7">
        <f t="shared" ca="1" si="114"/>
        <v>0.61867392222061457</v>
      </c>
      <c r="F1848" s="7">
        <f t="shared" ca="1" si="115"/>
        <v>2.1267004204977707E-2</v>
      </c>
      <c r="G1848" s="7">
        <f ca="1">$C$11/(1+D1848)^1
 +$D$11/(1+D1848)^2
 +$E$11/(1+D1848)^3
 +$F$11/(1+D1848)^4
 +$G$11/(1+D1848)^5
 +$H$11/(1+D1848)^6
 +$I$11/(1+D1848)^7
 + ( $I$11*(1+F1848)/(D1848-F1848) )/(1+D1848)^7</f>
        <v>325.90058425957579</v>
      </c>
      <c r="H1848" s="7">
        <f ca="1">(G1848-$C$8)/$C$9</f>
        <v>1.7776491647420611</v>
      </c>
    </row>
    <row r="1849" spans="3:8" x14ac:dyDescent="0.35">
      <c r="C1849" s="8">
        <f t="shared" ca="1" si="112"/>
        <v>0.5573883433277288</v>
      </c>
      <c r="D1849" s="7">
        <f t="shared" ca="1" si="113"/>
        <v>9.1419443167537431E-2</v>
      </c>
      <c r="E1849" s="7">
        <f t="shared" ca="1" si="114"/>
        <v>0.63594832172608007</v>
      </c>
      <c r="F1849" s="7">
        <f t="shared" ca="1" si="115"/>
        <v>2.1467102739703002E-2</v>
      </c>
      <c r="G1849" s="7">
        <f ca="1">$C$11/(1+D1849)^1
 +$D$11/(1+D1849)^2
 +$E$11/(1+D1849)^3
 +$F$11/(1+D1849)^4
 +$G$11/(1+D1849)^5
 +$H$11/(1+D1849)^6
 +$I$11/(1+D1849)^7
 + ( $I$11*(1+F1849)/(D1849-F1849) )/(1+D1849)^7</f>
        <v>378.58754445547663</v>
      </c>
      <c r="H1849" s="7">
        <f ca="1">(G1849-$C$8)/$C$9</f>
        <v>2.0755175511955937</v>
      </c>
    </row>
    <row r="1850" spans="3:8" x14ac:dyDescent="0.35">
      <c r="C1850" s="8">
        <f t="shared" ca="1" si="112"/>
        <v>0.22912706074360312</v>
      </c>
      <c r="D1850" s="7">
        <f t="shared" ca="1" si="113"/>
        <v>8.3707085387118393E-2</v>
      </c>
      <c r="E1850" s="7">
        <f t="shared" ca="1" si="114"/>
        <v>0.62723728953789371</v>
      </c>
      <c r="F1850" s="7">
        <f t="shared" ca="1" si="115"/>
        <v>2.1365618603951916E-2</v>
      </c>
      <c r="G1850" s="7">
        <f ca="1">$C$11/(1+D1850)^1
 +$D$11/(1+D1850)^2
 +$E$11/(1+D1850)^3
 +$F$11/(1+D1850)^4
 +$G$11/(1+D1850)^5
 +$H$11/(1+D1850)^6
 +$I$11/(1+D1850)^7
 + ( $I$11*(1+F1850)/(D1850-F1850) )/(1+D1850)^7</f>
        <v>426.95324072253658</v>
      </c>
      <c r="H1850" s="7">
        <f ca="1">(G1850-$C$8)/$C$9</f>
        <v>2.3489554541075113</v>
      </c>
    </row>
    <row r="1851" spans="3:8" x14ac:dyDescent="0.35">
      <c r="C1851" s="8">
        <f t="shared" ca="1" si="112"/>
        <v>0.47153513114757706</v>
      </c>
      <c r="D1851" s="7">
        <f t="shared" ca="1" si="113"/>
        <v>8.96636417670027E-2</v>
      </c>
      <c r="E1851" s="7">
        <f t="shared" ca="1" si="114"/>
        <v>9.7526981867732787E-2</v>
      </c>
      <c r="F1851" s="7">
        <f t="shared" ca="1" si="115"/>
        <v>1.4416491409880309E-2</v>
      </c>
      <c r="G1851" s="7">
        <f ca="1">$C$11/(1+D1851)^1
 +$D$11/(1+D1851)^2
 +$E$11/(1+D1851)^3
 +$F$11/(1+D1851)^4
 +$G$11/(1+D1851)^5
 +$H$11/(1+D1851)^6
 +$I$11/(1+D1851)^7
 + ( $I$11*(1+F1851)/(D1851-F1851) )/(1+D1851)^7</f>
        <v>362.84183465771798</v>
      </c>
      <c r="H1851" s="7">
        <f ca="1">(G1851-$C$8)/$C$9</f>
        <v>1.9864983868030188</v>
      </c>
    </row>
    <row r="1852" spans="3:8" x14ac:dyDescent="0.35">
      <c r="C1852" s="8">
        <f t="shared" ca="1" si="112"/>
        <v>0.13569844271925857</v>
      </c>
      <c r="D1852" s="7">
        <f t="shared" ca="1" si="113"/>
        <v>8.054858867478451E-2</v>
      </c>
      <c r="E1852" s="7">
        <f t="shared" ca="1" si="114"/>
        <v>0.98191039102557254</v>
      </c>
      <c r="F1852" s="7">
        <f t="shared" ca="1" si="115"/>
        <v>2.8097916459540882E-2</v>
      </c>
      <c r="G1852" s="7">
        <f ca="1">$C$11/(1+D1852)^1
 +$D$11/(1+D1852)^2
 +$E$11/(1+D1852)^3
 +$F$11/(1+D1852)^4
 +$G$11/(1+D1852)^5
 +$H$11/(1+D1852)^6
 +$I$11/(1+D1852)^7
 + ( $I$11*(1+F1852)/(D1852-F1852) )/(1+D1852)^7</f>
        <v>493.59628965439538</v>
      </c>
      <c r="H1852" s="7">
        <f ca="1">(G1852-$C$8)/$C$9</f>
        <v>2.7257252920307291</v>
      </c>
    </row>
    <row r="1853" spans="3:8" x14ac:dyDescent="0.35">
      <c r="C1853" s="8">
        <f t="shared" ca="1" si="112"/>
        <v>0.72960911883649027</v>
      </c>
      <c r="D1853" s="7">
        <f t="shared" ca="1" si="113"/>
        <v>9.5477435236586555E-2</v>
      </c>
      <c r="E1853" s="7">
        <f t="shared" ca="1" si="114"/>
        <v>0.33555503034977041</v>
      </c>
      <c r="F1853" s="7">
        <f t="shared" ca="1" si="115"/>
        <v>1.8192130740531068E-2</v>
      </c>
      <c r="G1853" s="7">
        <f ca="1">$C$11/(1+D1853)^1
 +$D$11/(1+D1853)^2
 +$E$11/(1+D1853)^3
 +$F$11/(1+D1853)^4
 +$G$11/(1+D1853)^5
 +$H$11/(1+D1853)^6
 +$I$11/(1+D1853)^7
 + ( $I$11*(1+F1853)/(D1853-F1853) )/(1+D1853)^7</f>
        <v>346.53227404554849</v>
      </c>
      <c r="H1853" s="7">
        <f ca="1">(G1853-$C$8)/$C$9</f>
        <v>1.8942914633963617</v>
      </c>
    </row>
    <row r="1854" spans="3:8" x14ac:dyDescent="0.35">
      <c r="C1854" s="8">
        <f t="shared" ca="1" si="112"/>
        <v>0.28917961145261173</v>
      </c>
      <c r="D1854" s="7">
        <f t="shared" ca="1" si="113"/>
        <v>8.5398937670863581E-2</v>
      </c>
      <c r="E1854" s="7">
        <f t="shared" ca="1" si="114"/>
        <v>3.6384057222638266E-2</v>
      </c>
      <c r="F1854" s="7">
        <f t="shared" ca="1" si="115"/>
        <v>1.2697556569291486E-2</v>
      </c>
      <c r="G1854" s="7">
        <f ca="1">$C$11/(1+D1854)^1
 +$D$11/(1+D1854)^2
 +$E$11/(1+D1854)^3
 +$F$11/(1+D1854)^4
 +$G$11/(1+D1854)^5
 +$H$11/(1+D1854)^6
 +$I$11/(1+D1854)^7
 + ( $I$11*(1+F1854)/(D1854-F1854) )/(1+D1854)^7</f>
        <v>379.31882382968035</v>
      </c>
      <c r="H1854" s="7">
        <f ca="1">(G1854-$C$8)/$C$9</f>
        <v>2.079651876015832</v>
      </c>
    </row>
    <row r="1855" spans="3:8" x14ac:dyDescent="0.35">
      <c r="C1855" s="8">
        <f t="shared" ca="1" si="112"/>
        <v>0.31489321702606954</v>
      </c>
      <c r="D1855" s="7">
        <f t="shared" ca="1" si="113"/>
        <v>8.606898994838745E-2</v>
      </c>
      <c r="E1855" s="7">
        <f t="shared" ca="1" si="114"/>
        <v>0.62110019941044503</v>
      </c>
      <c r="F1855" s="7">
        <f t="shared" ca="1" si="115"/>
        <v>2.1294831413584743E-2</v>
      </c>
      <c r="G1855" s="7">
        <f ca="1">$C$11/(1+D1855)^1
 +$D$11/(1+D1855)^2
 +$E$11/(1+D1855)^3
 +$F$11/(1+D1855)^4
 +$G$11/(1+D1855)^5
 +$H$11/(1+D1855)^6
 +$I$11/(1+D1855)^7
 + ( $I$11*(1+F1855)/(D1855-F1855) )/(1+D1855)^7</f>
        <v>410.45637063481752</v>
      </c>
      <c r="H1855" s="7">
        <f ca="1">(G1855-$C$8)/$C$9</f>
        <v>2.2556895671348798</v>
      </c>
    </row>
    <row r="1856" spans="3:8" x14ac:dyDescent="0.35">
      <c r="C1856" s="8">
        <f t="shared" ca="1" si="112"/>
        <v>0.27359535799270396</v>
      </c>
      <c r="D1856" s="7">
        <f t="shared" ca="1" si="113"/>
        <v>8.4978257360387999E-2</v>
      </c>
      <c r="E1856" s="7">
        <f t="shared" ca="1" si="114"/>
        <v>0.52169357734261668</v>
      </c>
      <c r="F1856" s="7">
        <f t="shared" ca="1" si="115"/>
        <v>2.0219341303803887E-2</v>
      </c>
      <c r="G1856" s="7">
        <f ca="1">$C$11/(1+D1856)^1
 +$D$11/(1+D1856)^2
 +$E$11/(1+D1856)^3
 +$F$11/(1+D1856)^4
 +$G$11/(1+D1856)^5
 +$H$11/(1+D1856)^6
 +$I$11/(1+D1856)^7
 + ( $I$11*(1+F1856)/(D1856-F1856) )/(1+D1856)^7</f>
        <v>412.71765379671706</v>
      </c>
      <c r="H1856" s="7">
        <f ca="1">(G1856-$C$8)/$C$9</f>
        <v>2.2684738455264419</v>
      </c>
    </row>
    <row r="1857" spans="3:8" x14ac:dyDescent="0.35">
      <c r="C1857" s="8">
        <f t="shared" ca="1" si="112"/>
        <v>0.40460109439125902</v>
      </c>
      <c r="D1857" s="7">
        <f t="shared" ca="1" si="113"/>
        <v>8.8214634155009325E-2</v>
      </c>
      <c r="E1857" s="7">
        <f t="shared" ca="1" si="114"/>
        <v>0.13099679037617185</v>
      </c>
      <c r="F1857" s="7">
        <f t="shared" ca="1" si="115"/>
        <v>1.5118530851253548E-2</v>
      </c>
      <c r="G1857" s="7">
        <f ca="1">$C$11/(1+D1857)^1
 +$D$11/(1+D1857)^2
 +$E$11/(1+D1857)^3
 +$F$11/(1+D1857)^4
 +$G$11/(1+D1857)^5
 +$H$11/(1+D1857)^6
 +$I$11/(1+D1857)^7
 + ( $I$11*(1+F1857)/(D1857-F1857) )/(1+D1857)^7</f>
        <v>372.79716689141401</v>
      </c>
      <c r="H1857" s="7">
        <f ca="1">(G1857-$C$8)/$C$9</f>
        <v>2.0427813596303368</v>
      </c>
    </row>
    <row r="1858" spans="3:8" x14ac:dyDescent="0.35">
      <c r="C1858" s="8">
        <f t="shared" ca="1" si="112"/>
        <v>0.56876457904488353</v>
      </c>
      <c r="D1858" s="7">
        <f t="shared" ca="1" si="113"/>
        <v>9.1659781126033665E-2</v>
      </c>
      <c r="E1858" s="7">
        <f t="shared" ca="1" si="114"/>
        <v>0.1296419546051103</v>
      </c>
      <c r="F1858" s="7">
        <f t="shared" ca="1" si="115"/>
        <v>1.509199282413301E-2</v>
      </c>
      <c r="G1858" s="7">
        <f ca="1">$C$11/(1+D1858)^1
 +$D$11/(1+D1858)^2
 +$E$11/(1+D1858)^3
 +$F$11/(1+D1858)^4
 +$G$11/(1+D1858)^5
 +$H$11/(1+D1858)^6
 +$I$11/(1+D1858)^7
 + ( $I$11*(1+F1858)/(D1858-F1858) )/(1+D1858)^7</f>
        <v>355.12615715232073</v>
      </c>
      <c r="H1858" s="7">
        <f ca="1">(G1858-$C$8)/$C$9</f>
        <v>1.9428774149271864</v>
      </c>
    </row>
    <row r="1859" spans="3:8" x14ac:dyDescent="0.35">
      <c r="C1859" s="8">
        <f t="shared" ca="1" si="112"/>
        <v>0.24826169293345735</v>
      </c>
      <c r="D1859" s="7">
        <f t="shared" ca="1" si="113"/>
        <v>8.4267956693424434E-2</v>
      </c>
      <c r="E1859" s="7">
        <f t="shared" ca="1" si="114"/>
        <v>0.17168369433793063</v>
      </c>
      <c r="F1859" s="7">
        <f t="shared" ca="1" si="115"/>
        <v>1.5859755870988666E-2</v>
      </c>
      <c r="G1859" s="7">
        <f ca="1">$C$11/(1+D1859)^1
 +$D$11/(1+D1859)^2
 +$E$11/(1+D1859)^3
 +$F$11/(1+D1859)^4
 +$G$11/(1+D1859)^5
 +$H$11/(1+D1859)^6
 +$I$11/(1+D1859)^7
 + ( $I$11*(1+F1859)/(D1859-F1859) )/(1+D1859)^7</f>
        <v>398.15785890952236</v>
      </c>
      <c r="H1859" s="7">
        <f ca="1">(G1859-$C$8)/$C$9</f>
        <v>2.1861593108860378</v>
      </c>
    </row>
    <row r="1860" spans="3:8" x14ac:dyDescent="0.35">
      <c r="C1860" s="8">
        <f t="shared" ca="1" si="112"/>
        <v>5.9213063331114979E-3</v>
      </c>
      <c r="D1860" s="7">
        <f t="shared" ca="1" si="113"/>
        <v>7.2203513374851952E-2</v>
      </c>
      <c r="E1860" s="7">
        <f t="shared" ca="1" si="114"/>
        <v>0.25787889220568994</v>
      </c>
      <c r="F1860" s="7">
        <f t="shared" ca="1" si="115"/>
        <v>1.7181627840617889E-2</v>
      </c>
      <c r="G1860" s="7">
        <f ca="1">$C$11/(1+D1860)^1
 +$D$11/(1+D1860)^2
 +$E$11/(1+D1860)^3
 +$F$11/(1+D1860)^4
 +$G$11/(1+D1860)^5
 +$H$11/(1+D1860)^6
 +$I$11/(1+D1860)^7
 + ( $I$11*(1+F1860)/(D1860-F1860) )/(1+D1860)^7</f>
        <v>496.26191932584908</v>
      </c>
      <c r="H1860" s="7">
        <f ca="1">(G1860-$C$8)/$C$9</f>
        <v>2.7407955638051167</v>
      </c>
    </row>
    <row r="1861" spans="3:8" x14ac:dyDescent="0.35">
      <c r="C1861" s="8">
        <f t="shared" ca="1" si="112"/>
        <v>0.83625915881090418</v>
      </c>
      <c r="D1861" s="7">
        <f t="shared" ca="1" si="113"/>
        <v>9.8698767495202358E-2</v>
      </c>
      <c r="E1861" s="7">
        <f t="shared" ca="1" si="114"/>
        <v>0.87566486293048196</v>
      </c>
      <c r="F1861" s="7">
        <f t="shared" ca="1" si="115"/>
        <v>2.5013314987498848E-2</v>
      </c>
      <c r="G1861" s="7">
        <f ca="1">$C$11/(1+D1861)^1
 +$D$11/(1+D1861)^2
 +$E$11/(1+D1861)^3
 +$F$11/(1+D1861)^4
 +$G$11/(1+D1861)^5
 +$H$11/(1+D1861)^6
 +$I$11/(1+D1861)^7
 + ( $I$11*(1+F1861)/(D1861-F1861) )/(1+D1861)^7</f>
        <v>352.63872680836892</v>
      </c>
      <c r="H1861" s="7">
        <f ca="1">(G1861-$C$8)/$C$9</f>
        <v>1.9288146020373638</v>
      </c>
    </row>
    <row r="1862" spans="3:8" x14ac:dyDescent="0.35">
      <c r="C1862" s="8">
        <f t="shared" ca="1" si="112"/>
        <v>0.20243794524929482</v>
      </c>
      <c r="D1862" s="7">
        <f t="shared" ca="1" si="113"/>
        <v>8.2884064386070946E-2</v>
      </c>
      <c r="E1862" s="7">
        <f t="shared" ca="1" si="114"/>
        <v>0.44284426229562746</v>
      </c>
      <c r="F1862" s="7">
        <f t="shared" ca="1" si="115"/>
        <v>1.9411102616544221E-2</v>
      </c>
      <c r="G1862" s="7">
        <f ca="1">$C$11/(1+D1862)^1
 +$D$11/(1+D1862)^2
 +$E$11/(1+D1862)^3
 +$F$11/(1+D1862)^4
 +$G$11/(1+D1862)^5
 +$H$11/(1+D1862)^6
 +$I$11/(1+D1862)^7
 + ( $I$11*(1+F1862)/(D1862-F1862) )/(1+D1862)^7</f>
        <v>423.08805464460409</v>
      </c>
      <c r="H1862" s="7">
        <f ca="1">(G1862-$C$8)/$C$9</f>
        <v>2.3271034296958621</v>
      </c>
    </row>
    <row r="1863" spans="3:8" x14ac:dyDescent="0.35">
      <c r="C1863" s="8">
        <f t="shared" ca="1" si="112"/>
        <v>0.81581589397327525</v>
      </c>
      <c r="D1863" s="7">
        <f t="shared" ca="1" si="113"/>
        <v>9.8014024749698281E-2</v>
      </c>
      <c r="E1863" s="7">
        <f t="shared" ca="1" si="114"/>
        <v>4.2373882656382422E-2</v>
      </c>
      <c r="F1863" s="7">
        <f t="shared" ca="1" si="115"/>
        <v>1.2911146944294721E-2</v>
      </c>
      <c r="G1863" s="7">
        <f ca="1">$C$11/(1+D1863)^1
 +$D$11/(1+D1863)^2
 +$E$11/(1+D1863)^3
 +$F$11/(1+D1863)^4
 +$G$11/(1+D1863)^5
 +$H$11/(1+D1863)^6
 +$I$11/(1+D1863)^7
 + ( $I$11*(1+F1863)/(D1863-F1863) )/(1+D1863)^7</f>
        <v>321.00584428496472</v>
      </c>
      <c r="H1863" s="7">
        <f ca="1">(G1863-$C$8)/$C$9</f>
        <v>1.7499765054554766</v>
      </c>
    </row>
    <row r="1864" spans="3:8" x14ac:dyDescent="0.35">
      <c r="C1864" s="8">
        <f t="shared" ca="1" si="112"/>
        <v>0.87315984491324794</v>
      </c>
      <c r="D1864" s="7">
        <f t="shared" ca="1" si="113"/>
        <v>0.10005337640363995</v>
      </c>
      <c r="E1864" s="7">
        <f t="shared" ca="1" si="114"/>
        <v>0.17084214729850755</v>
      </c>
      <c r="F1864" s="7">
        <f t="shared" ca="1" si="115"/>
        <v>1.5845376759431467E-2</v>
      </c>
      <c r="G1864" s="7">
        <f ca="1">$C$11/(1+D1864)^1
 +$D$11/(1+D1864)^2
 +$E$11/(1+D1864)^3
 +$F$11/(1+D1864)^4
 +$G$11/(1+D1864)^5
 +$H$11/(1+D1864)^6
 +$I$11/(1+D1864)^7
 + ( $I$11*(1+F1864)/(D1864-F1864) )/(1+D1864)^7</f>
        <v>320.19280566675656</v>
      </c>
      <c r="H1864" s="7">
        <f ca="1">(G1864-$C$8)/$C$9</f>
        <v>1.7453799506261676</v>
      </c>
    </row>
    <row r="1865" spans="3:8" x14ac:dyDescent="0.35">
      <c r="C1865" s="8">
        <f t="shared" ca="1" si="112"/>
        <v>0.18713962732345291</v>
      </c>
      <c r="D1865" s="7">
        <f t="shared" ca="1" si="113"/>
        <v>8.2387675100890859E-2</v>
      </c>
      <c r="E1865" s="7">
        <f t="shared" ca="1" si="114"/>
        <v>0.77901752557825221</v>
      </c>
      <c r="F1865" s="7">
        <f t="shared" ca="1" si="115"/>
        <v>2.3351955559388193E-2</v>
      </c>
      <c r="G1865" s="7">
        <f ca="1">$C$11/(1+D1865)^1
 +$D$11/(1+D1865)^2
 +$E$11/(1+D1865)^3
 +$F$11/(1+D1865)^4
 +$G$11/(1+D1865)^5
 +$H$11/(1+D1865)^6
 +$I$11/(1+D1865)^7
 + ( $I$11*(1+F1865)/(D1865-F1865) )/(1+D1865)^7</f>
        <v>447.35352095170015</v>
      </c>
      <c r="H1865" s="7">
        <f ca="1">(G1865-$C$8)/$C$9</f>
        <v>2.4642894671624838</v>
      </c>
    </row>
    <row r="1866" spans="3:8" x14ac:dyDescent="0.35">
      <c r="C1866" s="8">
        <f t="shared" ca="1" si="112"/>
        <v>0.688255294128156</v>
      </c>
      <c r="D1866" s="7">
        <f t="shared" ca="1" si="113"/>
        <v>9.4406383659329102E-2</v>
      </c>
      <c r="E1866" s="7">
        <f t="shared" ca="1" si="114"/>
        <v>0.37934055841438952</v>
      </c>
      <c r="F1866" s="7">
        <f t="shared" ca="1" si="115"/>
        <v>1.8710230288739665E-2</v>
      </c>
      <c r="G1866" s="7">
        <f ca="1">$C$11/(1+D1866)^1
 +$D$11/(1+D1866)^2
 +$E$11/(1+D1866)^3
 +$F$11/(1+D1866)^4
 +$G$11/(1+D1866)^5
 +$H$11/(1+D1866)^6
 +$I$11/(1+D1866)^7
 + ( $I$11*(1+F1866)/(D1866-F1866) )/(1+D1866)^7</f>
        <v>353.28234404069815</v>
      </c>
      <c r="H1866" s="7">
        <f ca="1">(G1866-$C$8)/$C$9</f>
        <v>1.9324533245177415</v>
      </c>
    </row>
    <row r="1867" spans="3:8" x14ac:dyDescent="0.35">
      <c r="C1867" s="8">
        <f t="shared" ca="1" si="112"/>
        <v>0.48115293708591567</v>
      </c>
      <c r="D1867" s="7">
        <f t="shared" ca="1" si="113"/>
        <v>8.9863167129399346E-2</v>
      </c>
      <c r="E1867" s="7">
        <f t="shared" ca="1" si="114"/>
        <v>0.11685182781659897</v>
      </c>
      <c r="F1867" s="7">
        <f t="shared" ca="1" si="115"/>
        <v>1.4834290595663421E-2</v>
      </c>
      <c r="G1867" s="7">
        <f ca="1">$C$11/(1+D1867)^1
 +$D$11/(1+D1867)^2
 +$E$11/(1+D1867)^3
 +$F$11/(1+D1867)^4
 +$G$11/(1+D1867)^5
 +$H$11/(1+D1867)^6
 +$I$11/(1+D1867)^7
 + ( $I$11*(1+F1867)/(D1867-F1867) )/(1+D1867)^7</f>
        <v>363.22368668709703</v>
      </c>
      <c r="H1867" s="7">
        <f ca="1">(G1867-$C$8)/$C$9</f>
        <v>1.988657206507785</v>
      </c>
    </row>
    <row r="1868" spans="3:8" x14ac:dyDescent="0.35">
      <c r="C1868" s="8">
        <f t="shared" ca="1" si="112"/>
        <v>0.91805396238195924</v>
      </c>
      <c r="D1868" s="7">
        <f t="shared" ca="1" si="113"/>
        <v>0.10200513231240993</v>
      </c>
      <c r="E1868" s="7">
        <f t="shared" ca="1" si="114"/>
        <v>0.32346972684079611</v>
      </c>
      <c r="F1868" s="7">
        <f t="shared" ca="1" si="115"/>
        <v>1.8043254650212143E-2</v>
      </c>
      <c r="G1868" s="7">
        <f ca="1">$C$11/(1+D1868)^1
 +$D$11/(1+D1868)^2
 +$E$11/(1+D1868)^3
 +$F$11/(1+D1868)^4
 +$G$11/(1+D1868)^5
 +$H$11/(1+D1868)^6
 +$I$11/(1+D1868)^7
 + ( $I$11*(1+F1868)/(D1868-F1868) )/(1+D1868)^7</f>
        <v>317.91126205182229</v>
      </c>
      <c r="H1868" s="7">
        <f ca="1">(G1868-$C$8)/$C$9</f>
        <v>1.7324811287416455</v>
      </c>
    </row>
    <row r="1869" spans="3:8" x14ac:dyDescent="0.35">
      <c r="C1869" s="8">
        <f t="shared" ca="1" si="112"/>
        <v>0.13701001803760693</v>
      </c>
      <c r="D1869" s="7">
        <f t="shared" ca="1" si="113"/>
        <v>8.0599444079329716E-2</v>
      </c>
      <c r="E1869" s="7">
        <f t="shared" ca="1" si="114"/>
        <v>0.80479195803043557</v>
      </c>
      <c r="F1869" s="7">
        <f t="shared" ca="1" si="115"/>
        <v>2.375167155201386E-2</v>
      </c>
      <c r="G1869" s="7">
        <f ca="1">$C$11/(1+D1869)^1
 +$D$11/(1+D1869)^2
 +$E$11/(1+D1869)^3
 +$F$11/(1+D1869)^4
 +$G$11/(1+D1869)^5
 +$H$11/(1+D1869)^6
 +$I$11/(1+D1869)^7
 + ( $I$11*(1+F1869)/(D1869-F1869) )/(1+D1869)^7</f>
        <v>464.24846917971075</v>
      </c>
      <c r="H1869" s="7">
        <f ca="1">(G1869-$C$8)/$C$9</f>
        <v>2.5598059089762026</v>
      </c>
    </row>
    <row r="1870" spans="3:8" x14ac:dyDescent="0.35">
      <c r="C1870" s="8">
        <f t="shared" ca="1" si="112"/>
        <v>0.41539338477282073</v>
      </c>
      <c r="D1870" s="7">
        <f t="shared" ca="1" si="113"/>
        <v>8.8455963142402325E-2</v>
      </c>
      <c r="E1870" s="7">
        <f t="shared" ca="1" si="114"/>
        <v>0.50803888670970887</v>
      </c>
      <c r="F1870" s="7">
        <f t="shared" ca="1" si="115"/>
        <v>2.008071460950648E-2</v>
      </c>
      <c r="G1870" s="7">
        <f ca="1">$C$11/(1+D1870)^1
 +$D$11/(1+D1870)^2
 +$E$11/(1+D1870)^3
 +$F$11/(1+D1870)^4
 +$G$11/(1+D1870)^5
 +$H$11/(1+D1870)^6
 +$I$11/(1+D1870)^7
 + ( $I$11*(1+F1870)/(D1870-F1870) )/(1+D1870)^7</f>
        <v>390.28609221085935</v>
      </c>
      <c r="H1870" s="7">
        <f ca="1">(G1870-$C$8)/$C$9</f>
        <v>2.1416558808845507</v>
      </c>
    </row>
    <row r="1871" spans="3:8" x14ac:dyDescent="0.35">
      <c r="C1871" s="8">
        <f t="shared" ca="1" si="112"/>
        <v>0.33037988072957403</v>
      </c>
      <c r="D1871" s="7">
        <f t="shared" ca="1" si="113"/>
        <v>8.645938948437186E-2</v>
      </c>
      <c r="E1871" s="7">
        <f t="shared" ca="1" si="114"/>
        <v>0.59638067724935984</v>
      </c>
      <c r="F1871" s="7">
        <f t="shared" ca="1" si="115"/>
        <v>2.1015353955211813E-2</v>
      </c>
      <c r="G1871" s="7">
        <f ca="1">$C$11/(1+D1871)^1
 +$D$11/(1+D1871)^2
 +$E$11/(1+D1871)^3
 +$F$11/(1+D1871)^4
 +$G$11/(1+D1871)^5
 +$H$11/(1+D1871)^6
 +$I$11/(1+D1871)^7
 + ( $I$11*(1+F1871)/(D1871-F1871) )/(1+D1871)^7</f>
        <v>406.64434162618767</v>
      </c>
      <c r="H1871" s="7">
        <f ca="1">(G1871-$C$8)/$C$9</f>
        <v>2.2341380688952266</v>
      </c>
    </row>
    <row r="1872" spans="3:8" x14ac:dyDescent="0.35">
      <c r="C1872" s="8">
        <f t="shared" ca="1" si="112"/>
        <v>0.57063081094737611</v>
      </c>
      <c r="D1872" s="7">
        <f t="shared" ca="1" si="113"/>
        <v>9.1699509092348183E-2</v>
      </c>
      <c r="E1872" s="7">
        <f t="shared" ca="1" si="114"/>
        <v>0.33473796173127679</v>
      </c>
      <c r="F1872" s="7">
        <f t="shared" ca="1" si="115"/>
        <v>1.8182150838639884E-2</v>
      </c>
      <c r="G1872" s="7">
        <f ca="1">$C$11/(1+D1872)^1
 +$D$11/(1+D1872)^2
 +$E$11/(1+D1872)^3
 +$F$11/(1+D1872)^4
 +$G$11/(1+D1872)^5
 +$H$11/(1+D1872)^6
 +$I$11/(1+D1872)^7
 + ( $I$11*(1+F1872)/(D1872-F1872) )/(1+D1872)^7</f>
        <v>365.15863133966604</v>
      </c>
      <c r="H1872" s="7">
        <f ca="1">(G1872-$C$8)/$C$9</f>
        <v>1.9995965136797038</v>
      </c>
    </row>
    <row r="1873" spans="3:8" x14ac:dyDescent="0.35">
      <c r="C1873" s="8">
        <f t="shared" ref="C1873:C1936" ca="1" si="116">RAND()</f>
        <v>0.62746888353592412</v>
      </c>
      <c r="D1873" s="7">
        <f t="shared" ref="D1873:D1936" ca="1" si="117">IF(C1873&lt;(0.0905-0.07)/(0.11-0.07),
 0.07+SQRT(C1873*(0.11-0.07)*(0.0905-0.07)),
 0.11-SQRT((1-C1873)*(0.11-0.07)*(0.11-0.0905))
)</f>
        <v>9.2953760800634666E-2</v>
      </c>
      <c r="E1873" s="7">
        <f t="shared" ref="E1873:E1936" ca="1" si="118">RAND()</f>
        <v>0.1265628496412593</v>
      </c>
      <c r="F1873" s="7">
        <f t="shared" ref="F1873:F1936" ca="1" si="119">MIN(
 IF(E1873&lt;(0.02-0.01)/(0.03-0.01),
   0.01+SQRT(E1873*(0.03-0.01)*(0.02-0.01)),
   0.03-SQRT((1-E1873)*(0.03-0.01)*(0.03-0.02))
 ),
 D1873-0.005
)</f>
        <v>1.503115989889527E-2</v>
      </c>
      <c r="G1873" s="7">
        <f ca="1">$C$11/(1+D1873)^1
 +$D$11/(1+D1873)^2
 +$E$11/(1+D1873)^3
 +$F$11/(1+D1873)^4
 +$G$11/(1+D1873)^5
 +$H$11/(1+D1873)^6
 +$I$11/(1+D1873)^7
 + ( $I$11*(1+F1873)/(D1873-F1873) )/(1+D1873)^7</f>
        <v>348.74394256204283</v>
      </c>
      <c r="H1873" s="7">
        <f ca="1">(G1873-$C$8)/$C$9</f>
        <v>1.9067952428880757</v>
      </c>
    </row>
    <row r="1874" spans="3:8" x14ac:dyDescent="0.35">
      <c r="C1874" s="8">
        <f t="shared" ca="1" si="116"/>
        <v>0.17140746637713089</v>
      </c>
      <c r="D1874" s="7">
        <f t="shared" ca="1" si="117"/>
        <v>8.1855552388195474E-2</v>
      </c>
      <c r="E1874" s="7">
        <f t="shared" ca="1" si="118"/>
        <v>0.61412707999807969</v>
      </c>
      <c r="F1874" s="7">
        <f t="shared" ca="1" si="119"/>
        <v>2.121509339831185E-2</v>
      </c>
      <c r="G1874" s="7">
        <f ca="1">$C$11/(1+D1874)^1
 +$D$11/(1+D1874)^2
 +$E$11/(1+D1874)^3
 +$F$11/(1+D1874)^4
 +$G$11/(1+D1874)^5
 +$H$11/(1+D1874)^6
 +$I$11/(1+D1874)^7
 + ( $I$11*(1+F1874)/(D1874-F1874) )/(1+D1874)^7</f>
        <v>439.71125392557747</v>
      </c>
      <c r="H1874" s="7">
        <f ca="1">(G1874-$C$8)/$C$9</f>
        <v>2.4210835251332963</v>
      </c>
    </row>
    <row r="1875" spans="3:8" x14ac:dyDescent="0.35">
      <c r="C1875" s="8">
        <f t="shared" ca="1" si="116"/>
        <v>0.1879585921680329</v>
      </c>
      <c r="D1875" s="7">
        <f t="shared" ca="1" si="117"/>
        <v>8.2414751128306485E-2</v>
      </c>
      <c r="E1875" s="7">
        <f t="shared" ca="1" si="118"/>
        <v>0.46539611784196444</v>
      </c>
      <c r="F1875" s="7">
        <f t="shared" ca="1" si="119"/>
        <v>1.9647757437269701E-2</v>
      </c>
      <c r="G1875" s="7">
        <f ca="1">$C$11/(1+D1875)^1
 +$D$11/(1+D1875)^2
 +$E$11/(1+D1875)^3
 +$F$11/(1+D1875)^4
 +$G$11/(1+D1875)^5
 +$H$11/(1+D1875)^6
 +$I$11/(1+D1875)^7
 + ( $I$11*(1+F1875)/(D1875-F1875) )/(1+D1875)^7</f>
        <v>427.5399697602727</v>
      </c>
      <c r="H1875" s="7">
        <f ca="1">(G1875-$C$8)/$C$9</f>
        <v>2.3522725563109037</v>
      </c>
    </row>
    <row r="1876" spans="3:8" x14ac:dyDescent="0.35">
      <c r="C1876" s="8">
        <f t="shared" ca="1" si="116"/>
        <v>0.28669199021831326</v>
      </c>
      <c r="D1876" s="7">
        <f t="shared" ca="1" si="117"/>
        <v>8.5332561168279003E-2</v>
      </c>
      <c r="E1876" s="7">
        <f t="shared" ca="1" si="118"/>
        <v>0.69783519466142652</v>
      </c>
      <c r="F1876" s="7">
        <f t="shared" ca="1" si="119"/>
        <v>2.2226136027192481E-2</v>
      </c>
      <c r="G1876" s="7">
        <f ca="1">$C$11/(1+D1876)^1
 +$D$11/(1+D1876)^2
 +$E$11/(1+D1876)^3
 +$F$11/(1+D1876)^4
 +$G$11/(1+D1876)^5
 +$H$11/(1+D1876)^6
 +$I$11/(1+D1876)^7
 + ( $I$11*(1+F1876)/(D1876-F1876) )/(1+D1876)^7</f>
        <v>419.80947033780296</v>
      </c>
      <c r="H1876" s="7">
        <f ca="1">(G1876-$C$8)/$C$9</f>
        <v>2.3085677879794377</v>
      </c>
    </row>
    <row r="1877" spans="3:8" x14ac:dyDescent="0.35">
      <c r="C1877" s="8">
        <f t="shared" ca="1" si="116"/>
        <v>0.69017036540784127</v>
      </c>
      <c r="D1877" s="7">
        <f t="shared" ca="1" si="117"/>
        <v>9.4454353825527748E-2</v>
      </c>
      <c r="E1877" s="7">
        <f t="shared" ca="1" si="118"/>
        <v>6.8199200381405811E-2</v>
      </c>
      <c r="F1877" s="7">
        <f t="shared" ca="1" si="119"/>
        <v>1.3693215411573114E-2</v>
      </c>
      <c r="G1877" s="7">
        <f ca="1">$C$11/(1+D1877)^1
 +$D$11/(1+D1877)^2
 +$E$11/(1+D1877)^3
 +$F$11/(1+D1877)^4
 +$G$11/(1+D1877)^5
 +$H$11/(1+D1877)^6
 +$I$11/(1+D1877)^7
 + ( $I$11*(1+F1877)/(D1877-F1877) )/(1+D1877)^7</f>
        <v>337.99235066509186</v>
      </c>
      <c r="H1877" s="7">
        <f ca="1">(G1877-$C$8)/$C$9</f>
        <v>1.8460105758994338</v>
      </c>
    </row>
    <row r="1878" spans="3:8" x14ac:dyDescent="0.35">
      <c r="C1878" s="8">
        <f t="shared" ca="1" si="116"/>
        <v>0.89678304368605033</v>
      </c>
      <c r="D1878" s="7">
        <f t="shared" ca="1" si="117"/>
        <v>0.10102730665157442</v>
      </c>
      <c r="E1878" s="7">
        <f t="shared" ca="1" si="118"/>
        <v>0.6501342433720031</v>
      </c>
      <c r="F1878" s="7">
        <f t="shared" ca="1" si="119"/>
        <v>2.1635004403731024E-2</v>
      </c>
      <c r="G1878" s="7">
        <f ca="1">$C$11/(1+D1878)^1
 +$D$11/(1+D1878)^2
 +$E$11/(1+D1878)^3
 +$F$11/(1+D1878)^4
 +$G$11/(1+D1878)^5
 +$H$11/(1+D1878)^6
 +$I$11/(1+D1878)^7
 + ( $I$11*(1+F1878)/(D1878-F1878) )/(1+D1878)^7</f>
        <v>331.50077530294504</v>
      </c>
      <c r="H1878" s="7">
        <f ca="1">(G1878-$C$8)/$C$9</f>
        <v>1.8093101272215346</v>
      </c>
    </row>
    <row r="1879" spans="3:8" x14ac:dyDescent="0.35">
      <c r="C1879" s="8">
        <f t="shared" ca="1" si="116"/>
        <v>0.83500695126791513</v>
      </c>
      <c r="D1879" s="7">
        <f t="shared" ca="1" si="117"/>
        <v>9.865563672959006E-2</v>
      </c>
      <c r="E1879" s="7">
        <f t="shared" ca="1" si="118"/>
        <v>0.48157648161084032</v>
      </c>
      <c r="F1879" s="7">
        <f t="shared" ca="1" si="119"/>
        <v>1.9814035679686925E-2</v>
      </c>
      <c r="G1879" s="7">
        <f ca="1">$C$11/(1+D1879)^1
 +$D$11/(1+D1879)^2
 +$E$11/(1+D1879)^3
 +$F$11/(1+D1879)^4
 +$G$11/(1+D1879)^5
 +$H$11/(1+D1879)^6
 +$I$11/(1+D1879)^7
 + ( $I$11*(1+F1879)/(D1879-F1879) )/(1+D1879)^7</f>
        <v>336.78802208783327</v>
      </c>
      <c r="H1879" s="7">
        <f ca="1">(G1879-$C$8)/$C$9</f>
        <v>1.8392018435540098</v>
      </c>
    </row>
    <row r="1880" spans="3:8" x14ac:dyDescent="0.35">
      <c r="C1880" s="8">
        <f t="shared" ca="1" si="116"/>
        <v>0.75025697313901174</v>
      </c>
      <c r="D1880" s="7">
        <f t="shared" ca="1" si="117"/>
        <v>9.6042938670638053E-2</v>
      </c>
      <c r="E1880" s="7">
        <f t="shared" ca="1" si="118"/>
        <v>7.5486018372528219E-2</v>
      </c>
      <c r="F1880" s="7">
        <f t="shared" ca="1" si="119"/>
        <v>1.3885512022180042E-2</v>
      </c>
      <c r="G1880" s="7">
        <f ca="1">$C$11/(1+D1880)^1
 +$D$11/(1+D1880)^2
 +$E$11/(1+D1880)^3
 +$F$11/(1+D1880)^4
 +$G$11/(1+D1880)^5
 +$H$11/(1+D1880)^6
 +$I$11/(1+D1880)^7
 + ( $I$11*(1+F1880)/(D1880-F1880) )/(1+D1880)^7</f>
        <v>331.64254456357929</v>
      </c>
      <c r="H1880" s="7">
        <f ca="1">(G1880-$C$8)/$C$9</f>
        <v>1.8101116268859072</v>
      </c>
    </row>
    <row r="1881" spans="3:8" x14ac:dyDescent="0.35">
      <c r="C1881" s="8">
        <f t="shared" ca="1" si="116"/>
        <v>0.49204639501853509</v>
      </c>
      <c r="D1881" s="7">
        <f t="shared" ca="1" si="117"/>
        <v>9.0086762902847201E-2</v>
      </c>
      <c r="E1881" s="7">
        <f t="shared" ca="1" si="118"/>
        <v>6.4356434829465181E-2</v>
      </c>
      <c r="F1881" s="7">
        <f t="shared" ca="1" si="119"/>
        <v>1.3587657587604067E-2</v>
      </c>
      <c r="G1881" s="7">
        <f ca="1">$C$11/(1+D1881)^1
 +$D$11/(1+D1881)^2
 +$E$11/(1+D1881)^3
 +$F$11/(1+D1881)^4
 +$G$11/(1+D1881)^5
 +$H$11/(1+D1881)^6
 +$I$11/(1+D1881)^7
 + ( $I$11*(1+F1881)/(D1881-F1881) )/(1+D1881)^7</f>
        <v>358.01901954542745</v>
      </c>
      <c r="H1881" s="7">
        <f ca="1">(G1881-$C$8)/$C$9</f>
        <v>1.9592323583527105</v>
      </c>
    </row>
    <row r="1882" spans="3:8" x14ac:dyDescent="0.35">
      <c r="C1882" s="8">
        <f t="shared" ca="1" si="116"/>
        <v>8.3563755801097317E-2</v>
      </c>
      <c r="D1882" s="7">
        <f t="shared" ca="1" si="117"/>
        <v>7.8277818538534161E-2</v>
      </c>
      <c r="E1882" s="7">
        <f t="shared" ca="1" si="118"/>
        <v>0.39380965921392497</v>
      </c>
      <c r="F1882" s="7">
        <f t="shared" ca="1" si="119"/>
        <v>1.8874791932365794E-2</v>
      </c>
      <c r="G1882" s="7">
        <f ca="1">$C$11/(1+D1882)^1
 +$D$11/(1+D1882)^2
 +$E$11/(1+D1882)^3
 +$F$11/(1+D1882)^4
 +$G$11/(1+D1882)^5
 +$H$11/(1+D1882)^6
 +$I$11/(1+D1882)^7
 + ( $I$11*(1+F1882)/(D1882-F1882) )/(1+D1882)^7</f>
        <v>454.45599832587129</v>
      </c>
      <c r="H1882" s="7">
        <f ca="1">(G1882-$C$8)/$C$9</f>
        <v>2.5044436811729494</v>
      </c>
    </row>
    <row r="1883" spans="3:8" x14ac:dyDescent="0.35">
      <c r="C1883" s="8">
        <f t="shared" ca="1" si="116"/>
        <v>0.1143684538477644</v>
      </c>
      <c r="D1883" s="7">
        <f t="shared" ca="1" si="117"/>
        <v>7.968411752072263E-2</v>
      </c>
      <c r="E1883" s="7">
        <f t="shared" ca="1" si="118"/>
        <v>0.93377064868966719</v>
      </c>
      <c r="F1883" s="7">
        <f t="shared" ca="1" si="119"/>
        <v>2.6360512362699033E-2</v>
      </c>
      <c r="G1883" s="7">
        <f ca="1">$C$11/(1+D1883)^1
 +$D$11/(1+D1883)^2
 +$E$11/(1+D1883)^3
 +$F$11/(1+D1883)^4
 +$G$11/(1+D1883)^5
 +$H$11/(1+D1883)^6
 +$I$11/(1+D1883)^7
 + ( $I$11*(1+F1883)/(D1883-F1883) )/(1+D1883)^7</f>
        <v>489.52165278554287</v>
      </c>
      <c r="H1883" s="7">
        <f ca="1">(G1883-$C$8)/$C$9</f>
        <v>2.7026891270100792</v>
      </c>
    </row>
    <row r="1884" spans="3:8" x14ac:dyDescent="0.35">
      <c r="C1884" s="8">
        <f t="shared" ca="1" si="116"/>
        <v>0.8795278472489424</v>
      </c>
      <c r="D1884" s="7">
        <f t="shared" ca="1" si="117"/>
        <v>0.1003062763013471</v>
      </c>
      <c r="E1884" s="7">
        <f t="shared" ca="1" si="118"/>
        <v>0.3976561646271296</v>
      </c>
      <c r="F1884" s="7">
        <f t="shared" ca="1" si="119"/>
        <v>1.8918028533561997E-2</v>
      </c>
      <c r="G1884" s="7">
        <f ca="1">$C$11/(1+D1884)^1
 +$D$11/(1+D1884)^2
 +$E$11/(1+D1884)^3
 +$F$11/(1+D1884)^4
 +$G$11/(1+D1884)^5
 +$H$11/(1+D1884)^6
 +$I$11/(1+D1884)^7
 + ( $I$11*(1+F1884)/(D1884-F1884) )/(1+D1884)^7</f>
        <v>327.13078945169923</v>
      </c>
      <c r="H1884" s="7">
        <f ca="1">(G1884-$C$8)/$C$9</f>
        <v>1.7846041918345728</v>
      </c>
    </row>
    <row r="1885" spans="3:8" x14ac:dyDescent="0.35">
      <c r="C1885" s="8">
        <f t="shared" ca="1" si="116"/>
        <v>0.48382046739192541</v>
      </c>
      <c r="D1885" s="7">
        <f t="shared" ca="1" si="117"/>
        <v>8.991815210458487E-2</v>
      </c>
      <c r="E1885" s="7">
        <f t="shared" ca="1" si="118"/>
        <v>0.85425074563985992</v>
      </c>
      <c r="F1885" s="7">
        <f t="shared" ca="1" si="119"/>
        <v>2.4600939815854244E-2</v>
      </c>
      <c r="G1885" s="7">
        <f ca="1">$C$11/(1+D1885)^1
 +$D$11/(1+D1885)^2
 +$E$11/(1+D1885)^3
 +$F$11/(1+D1885)^4
 +$G$11/(1+D1885)^5
 +$H$11/(1+D1885)^6
 +$I$11/(1+D1885)^7
 + ( $I$11*(1+F1885)/(D1885-F1885) )/(1+D1885)^7</f>
        <v>400.42516294375639</v>
      </c>
      <c r="H1885" s="7">
        <f ca="1">(G1885-$C$8)/$C$9</f>
        <v>2.1989776285829734</v>
      </c>
    </row>
    <row r="1886" spans="3:8" x14ac:dyDescent="0.35">
      <c r="C1886" s="8">
        <f t="shared" ca="1" si="116"/>
        <v>0.67280075100003467</v>
      </c>
      <c r="D1886" s="7">
        <f t="shared" ca="1" si="117"/>
        <v>9.4024537120321897E-2</v>
      </c>
      <c r="E1886" s="7">
        <f t="shared" ca="1" si="118"/>
        <v>0.76306096305419069</v>
      </c>
      <c r="F1886" s="7">
        <f t="shared" ca="1" si="119"/>
        <v>2.3116119743258032E-2</v>
      </c>
      <c r="G1886" s="7">
        <f ca="1">$C$11/(1+D1886)^1
 +$D$11/(1+D1886)^2
 +$E$11/(1+D1886)^3
 +$F$11/(1+D1886)^4
 +$G$11/(1+D1886)^5
 +$H$11/(1+D1886)^6
 +$I$11/(1+D1886)^7
 + ( $I$11*(1+F1886)/(D1886-F1886) )/(1+D1886)^7</f>
        <v>370.33708198367691</v>
      </c>
      <c r="H1886" s="7">
        <f ca="1">(G1886-$C$8)/$C$9</f>
        <v>2.0288731455431757</v>
      </c>
    </row>
    <row r="1887" spans="3:8" x14ac:dyDescent="0.35">
      <c r="C1887" s="8">
        <f t="shared" ca="1" si="116"/>
        <v>0.72172222481305848</v>
      </c>
      <c r="D1887" s="7">
        <f t="shared" ca="1" si="117"/>
        <v>9.5267156939483316E-2</v>
      </c>
      <c r="E1887" s="7">
        <f t="shared" ca="1" si="118"/>
        <v>0.60208895504305993</v>
      </c>
      <c r="F1887" s="7">
        <f t="shared" ca="1" si="119"/>
        <v>2.1079113889787178E-2</v>
      </c>
      <c r="G1887" s="7">
        <f ca="1">$C$11/(1+D1887)^1
 +$D$11/(1+D1887)^2
 +$E$11/(1+D1887)^3
 +$F$11/(1+D1887)^4
 +$G$11/(1+D1887)^5
 +$H$11/(1+D1887)^6
 +$I$11/(1+D1887)^7
 + ( $I$11*(1+F1887)/(D1887-F1887) )/(1+D1887)^7</f>
        <v>356.74980111161074</v>
      </c>
      <c r="H1887" s="7">
        <f ca="1">(G1887-$C$8)/$C$9</f>
        <v>1.9520567679308611</v>
      </c>
    </row>
    <row r="1888" spans="3:8" x14ac:dyDescent="0.35">
      <c r="C1888" s="8">
        <f t="shared" ca="1" si="116"/>
        <v>0.55313708153705521</v>
      </c>
      <c r="D1888" s="7">
        <f t="shared" ca="1" si="117"/>
        <v>9.1330423775535324E-2</v>
      </c>
      <c r="E1888" s="7">
        <f t="shared" ca="1" si="118"/>
        <v>0.8535877758134901</v>
      </c>
      <c r="F1888" s="7">
        <f t="shared" ca="1" si="119"/>
        <v>2.4588674391860903E-2</v>
      </c>
      <c r="G1888" s="7">
        <f ca="1">$C$11/(1+D1888)^1
 +$D$11/(1+D1888)^2
 +$E$11/(1+D1888)^3
 +$F$11/(1+D1888)^4
 +$G$11/(1+D1888)^5
 +$H$11/(1+D1888)^6
 +$I$11/(1+D1888)^7
 + ( $I$11*(1+F1888)/(D1888-F1888) )/(1+D1888)^7</f>
        <v>391.59202414631829</v>
      </c>
      <c r="H1888" s="7">
        <f ca="1">(G1888-$C$8)/$C$9</f>
        <v>2.1490390329393843</v>
      </c>
    </row>
    <row r="1889" spans="3:8" x14ac:dyDescent="0.35">
      <c r="C1889" s="8">
        <f t="shared" ca="1" si="116"/>
        <v>0.98966354781836063</v>
      </c>
      <c r="D1889" s="7">
        <f t="shared" ca="1" si="117"/>
        <v>0.10716055767769819</v>
      </c>
      <c r="E1889" s="7">
        <f t="shared" ca="1" si="118"/>
        <v>0.12967642133411794</v>
      </c>
      <c r="F1889" s="7">
        <f t="shared" ca="1" si="119"/>
        <v>1.5092669660092199E-2</v>
      </c>
      <c r="G1889" s="7">
        <f ca="1">$C$11/(1+D1889)^1
 +$D$11/(1+D1889)^2
 +$E$11/(1+D1889)^3
 +$F$11/(1+D1889)^4
 +$G$11/(1+D1889)^5
 +$H$11/(1+D1889)^6
 +$I$11/(1+D1889)^7
 + ( $I$11*(1+F1889)/(D1889-F1889) )/(1+D1889)^7</f>
        <v>292.44683765863795</v>
      </c>
      <c r="H1889" s="7">
        <f ca="1">(G1889-$C$8)/$C$9</f>
        <v>1.5885167212722633</v>
      </c>
    </row>
    <row r="1890" spans="3:8" x14ac:dyDescent="0.35">
      <c r="C1890" s="8">
        <f t="shared" ca="1" si="116"/>
        <v>0.58968561794015306</v>
      </c>
      <c r="D1890" s="7">
        <f t="shared" ca="1" si="117"/>
        <v>9.2110192342937824E-2</v>
      </c>
      <c r="E1890" s="7">
        <f t="shared" ca="1" si="118"/>
        <v>0.14813183544806763</v>
      </c>
      <c r="F1890" s="7">
        <f t="shared" ca="1" si="119"/>
        <v>1.5443010847831697E-2</v>
      </c>
      <c r="G1890" s="7">
        <f ca="1">$C$11/(1+D1890)^1
 +$D$11/(1+D1890)^2
 +$E$11/(1+D1890)^3
 +$F$11/(1+D1890)^4
 +$G$11/(1+D1890)^5
 +$H$11/(1+D1890)^6
 +$I$11/(1+D1890)^7
 + ( $I$11*(1+F1890)/(D1890-F1890) )/(1+D1890)^7</f>
        <v>354.05081279885889</v>
      </c>
      <c r="H1890" s="7">
        <f ca="1">(G1890-$C$8)/$C$9</f>
        <v>1.9367979013956291</v>
      </c>
    </row>
    <row r="1891" spans="3:8" x14ac:dyDescent="0.35">
      <c r="C1891" s="8">
        <f t="shared" ca="1" si="116"/>
        <v>0.47613838092614758</v>
      </c>
      <c r="D1891" s="7">
        <f t="shared" ca="1" si="117"/>
        <v>8.9759389473347634E-2</v>
      </c>
      <c r="E1891" s="7">
        <f t="shared" ca="1" si="118"/>
        <v>0.29640867648820712</v>
      </c>
      <c r="F1891" s="7">
        <f t="shared" ca="1" si="119"/>
        <v>1.7699463312312192E-2</v>
      </c>
      <c r="G1891" s="7">
        <f ca="1">$C$11/(1+D1891)^1
 +$D$11/(1+D1891)^2
 +$E$11/(1+D1891)^3
 +$F$11/(1+D1891)^4
 +$G$11/(1+D1891)^5
 +$H$11/(1+D1891)^6
 +$I$11/(1+D1891)^7
 + ( $I$11*(1+F1891)/(D1891-F1891) )/(1+D1891)^7</f>
        <v>373.7482052878949</v>
      </c>
      <c r="H1891" s="7">
        <f ca="1">(G1891-$C$8)/$C$9</f>
        <v>2.0481581031653939</v>
      </c>
    </row>
    <row r="1892" spans="3:8" x14ac:dyDescent="0.35">
      <c r="C1892" s="8">
        <f t="shared" ca="1" si="116"/>
        <v>0.5162353189964326</v>
      </c>
      <c r="D1892" s="7">
        <f t="shared" ca="1" si="117"/>
        <v>9.0574850034484095E-2</v>
      </c>
      <c r="E1892" s="7">
        <f t="shared" ca="1" si="118"/>
        <v>0.62406876952499579</v>
      </c>
      <c r="F1892" s="7">
        <f t="shared" ca="1" si="119"/>
        <v>2.1328999706204547E-2</v>
      </c>
      <c r="G1892" s="7">
        <f ca="1">$C$11/(1+D1892)^1
 +$D$11/(1+D1892)^2
 +$E$11/(1+D1892)^3
 +$F$11/(1+D1892)^4
 +$G$11/(1+D1892)^5
 +$H$11/(1+D1892)^6
 +$I$11/(1+D1892)^7
 + ( $I$11*(1+F1892)/(D1892-F1892) )/(1+D1892)^7</f>
        <v>382.86378138272647</v>
      </c>
      <c r="H1892" s="7">
        <f ca="1">(G1892-$C$8)/$C$9</f>
        <v>2.099693472313017</v>
      </c>
    </row>
    <row r="1893" spans="3:8" x14ac:dyDescent="0.35">
      <c r="C1893" s="8">
        <f t="shared" ca="1" si="116"/>
        <v>0.5876522878153071</v>
      </c>
      <c r="D1893" s="7">
        <f t="shared" ca="1" si="117"/>
        <v>9.2065920277191238E-2</v>
      </c>
      <c r="E1893" s="7">
        <f t="shared" ca="1" si="118"/>
        <v>0.1081860466559692</v>
      </c>
      <c r="F1893" s="7">
        <f t="shared" ca="1" si="119"/>
        <v>1.465158137961638E-2</v>
      </c>
      <c r="G1893" s="7">
        <f ca="1">$C$11/(1+D1893)^1
 +$D$11/(1+D1893)^2
 +$E$11/(1+D1893)^3
 +$F$11/(1+D1893)^4
 +$G$11/(1+D1893)^5
 +$H$11/(1+D1893)^6
 +$I$11/(1+D1893)^7
 + ( $I$11*(1+F1893)/(D1893-F1893) )/(1+D1893)^7</f>
        <v>351.78393124699016</v>
      </c>
      <c r="H1893" s="7">
        <f ca="1">(G1893-$C$8)/$C$9</f>
        <v>1.923981972224051</v>
      </c>
    </row>
    <row r="1894" spans="3:8" x14ac:dyDescent="0.35">
      <c r="C1894" s="8">
        <f t="shared" ca="1" si="116"/>
        <v>0.88725474934351412</v>
      </c>
      <c r="D1894" s="7">
        <f t="shared" ca="1" si="117"/>
        <v>0.10062229796207733</v>
      </c>
      <c r="E1894" s="7">
        <f t="shared" ca="1" si="118"/>
        <v>0.82708650655622873</v>
      </c>
      <c r="F1894" s="7">
        <f t="shared" ca="1" si="119"/>
        <v>2.4119294371526979E-2</v>
      </c>
      <c r="G1894" s="7">
        <f ca="1">$C$11/(1+D1894)^1
 +$D$11/(1+D1894)^2
 +$E$11/(1+D1894)^3
 +$F$11/(1+D1894)^4
 +$G$11/(1+D1894)^5
 +$H$11/(1+D1894)^6
 +$I$11/(1+D1894)^7
 + ( $I$11*(1+F1894)/(D1894-F1894) )/(1+D1894)^7</f>
        <v>340.57355230278006</v>
      </c>
      <c r="H1894" s="7">
        <f ca="1">(G1894-$C$8)/$C$9</f>
        <v>1.8606035295272503</v>
      </c>
    </row>
    <row r="1895" spans="3:8" x14ac:dyDescent="0.35">
      <c r="C1895" s="8">
        <f t="shared" ca="1" si="116"/>
        <v>0.40120585758279481</v>
      </c>
      <c r="D1895" s="7">
        <f t="shared" ca="1" si="117"/>
        <v>8.8138048495301019E-2</v>
      </c>
      <c r="E1895" s="7">
        <f t="shared" ca="1" si="118"/>
        <v>4.9859659649477472E-2</v>
      </c>
      <c r="F1895" s="7">
        <f t="shared" ca="1" si="119"/>
        <v>1.3157836590119175E-2</v>
      </c>
      <c r="G1895" s="7">
        <f ca="1">$C$11/(1+D1895)^1
 +$D$11/(1+D1895)^2
 +$E$11/(1+D1895)^3
 +$F$11/(1+D1895)^4
 +$G$11/(1+D1895)^5
 +$H$11/(1+D1895)^6
 +$I$11/(1+D1895)^7
 + ( $I$11*(1+F1895)/(D1895-F1895) )/(1+D1895)^7</f>
        <v>366.40069309380146</v>
      </c>
      <c r="H1895" s="7">
        <f ca="1">(G1895-$C$8)/$C$9</f>
        <v>2.0066185724434726</v>
      </c>
    </row>
    <row r="1896" spans="3:8" x14ac:dyDescent="0.35">
      <c r="C1896" s="8">
        <f t="shared" ca="1" si="116"/>
        <v>0.36367502933283813</v>
      </c>
      <c r="D1896" s="7">
        <f t="shared" ca="1" si="117"/>
        <v>8.7268859952322489E-2</v>
      </c>
      <c r="E1896" s="7">
        <f t="shared" ca="1" si="118"/>
        <v>0.79167879121559159</v>
      </c>
      <c r="F1896" s="7">
        <f t="shared" ca="1" si="119"/>
        <v>2.3545215591758182E-2</v>
      </c>
      <c r="G1896" s="7">
        <f ca="1">$C$11/(1+D1896)^1
 +$D$11/(1+D1896)^2
 +$E$11/(1+D1896)^3
 +$F$11/(1+D1896)^4
 +$G$11/(1+D1896)^5
 +$H$11/(1+D1896)^6
 +$I$11/(1+D1896)^7
 + ( $I$11*(1+F1896)/(D1896-F1896) )/(1+D1896)^7</f>
        <v>412.92354384734602</v>
      </c>
      <c r="H1896" s="7">
        <f ca="1">(G1896-$C$8)/$C$9</f>
        <v>2.26963785531064</v>
      </c>
    </row>
    <row r="1897" spans="3:8" x14ac:dyDescent="0.35">
      <c r="C1897" s="8">
        <f t="shared" ca="1" si="116"/>
        <v>0.82215070932881595</v>
      </c>
      <c r="D1897" s="7">
        <f t="shared" ca="1" si="117"/>
        <v>9.8221950640130451E-2</v>
      </c>
      <c r="E1897" s="7">
        <f t="shared" ca="1" si="118"/>
        <v>0.47105196201034905</v>
      </c>
      <c r="F1897" s="7">
        <f t="shared" ca="1" si="119"/>
        <v>1.9706203810041793E-2</v>
      </c>
      <c r="G1897" s="7">
        <f ca="1">$C$11/(1+D1897)^1
 +$D$11/(1+D1897)^2
 +$E$11/(1+D1897)^3
 +$F$11/(1+D1897)^4
 +$G$11/(1+D1897)^5
 +$H$11/(1+D1897)^6
 +$I$11/(1+D1897)^7
 + ( $I$11*(1+F1897)/(D1897-F1897) )/(1+D1897)^7</f>
        <v>338.42233229845033</v>
      </c>
      <c r="H1897" s="7">
        <f ca="1">(G1897-$C$8)/$C$9</f>
        <v>1.8484414987474576</v>
      </c>
    </row>
    <row r="1898" spans="3:8" x14ac:dyDescent="0.35">
      <c r="C1898" s="8">
        <f t="shared" ca="1" si="116"/>
        <v>0.19722339175830528</v>
      </c>
      <c r="D1898" s="7">
        <f t="shared" ca="1" si="117"/>
        <v>8.2717042944089256E-2</v>
      </c>
      <c r="E1898" s="7">
        <f t="shared" ca="1" si="118"/>
        <v>0.87168942162485108</v>
      </c>
      <c r="F1898" s="7">
        <f t="shared" ca="1" si="119"/>
        <v>2.4934221118620575E-2</v>
      </c>
      <c r="G1898" s="7">
        <f ca="1">$C$11/(1+D1898)^1
 +$D$11/(1+D1898)^2
 +$E$11/(1+D1898)^3
 +$F$11/(1+D1898)^4
 +$G$11/(1+D1898)^5
 +$H$11/(1+D1898)^6
 +$I$11/(1+D1898)^7
 + ( $I$11*(1+F1898)/(D1898-F1898) )/(1+D1898)^7</f>
        <v>453.81898059754991</v>
      </c>
      <c r="H1898" s="7">
        <f ca="1">(G1898-$C$8)/$C$9</f>
        <v>2.5008422693212906</v>
      </c>
    </row>
    <row r="1899" spans="3:8" x14ac:dyDescent="0.35">
      <c r="C1899" s="8">
        <f t="shared" ca="1" si="116"/>
        <v>0.33266183261925208</v>
      </c>
      <c r="D1899" s="7">
        <f t="shared" ca="1" si="117"/>
        <v>8.651613461884429E-2</v>
      </c>
      <c r="E1899" s="7">
        <f t="shared" ca="1" si="118"/>
        <v>0.88359997761376241</v>
      </c>
      <c r="F1899" s="7">
        <f t="shared" ca="1" si="119"/>
        <v>2.5175064303304392E-2</v>
      </c>
      <c r="G1899" s="7">
        <f ca="1">$C$11/(1+D1899)^1
 +$D$11/(1+D1899)^2
 +$E$11/(1+D1899)^3
 +$F$11/(1+D1899)^4
 +$G$11/(1+D1899)^5
 +$H$11/(1+D1899)^6
 +$I$11/(1+D1899)^7
 + ( $I$11*(1+F1899)/(D1899-F1899) )/(1+D1899)^7</f>
        <v>426.13209890642418</v>
      </c>
      <c r="H1899" s="7">
        <f ca="1">(G1899-$C$8)/$C$9</f>
        <v>2.3443130874402089</v>
      </c>
    </row>
    <row r="1900" spans="3:8" x14ac:dyDescent="0.35">
      <c r="C1900" s="8">
        <f t="shared" ca="1" si="116"/>
        <v>2.0004170648146968E-2</v>
      </c>
      <c r="D1900" s="7">
        <f t="shared" ca="1" si="117"/>
        <v>7.405011357019535E-2</v>
      </c>
      <c r="E1900" s="7">
        <f t="shared" ca="1" si="118"/>
        <v>0.3218457677912836</v>
      </c>
      <c r="F1900" s="7">
        <f t="shared" ca="1" si="119"/>
        <v>1.8023038922893038E-2</v>
      </c>
      <c r="G1900" s="7">
        <f ca="1">$C$11/(1+D1900)^1
 +$D$11/(1+D1900)^2
 +$E$11/(1+D1900)^3
 +$F$11/(1+D1900)^4
 +$G$11/(1+D1900)^5
 +$H$11/(1+D1900)^6
 +$I$11/(1+D1900)^7
 + ( $I$11*(1+F1900)/(D1900-F1900) )/(1+D1900)^7</f>
        <v>484.97090110525585</v>
      </c>
      <c r="H1900" s="7">
        <f ca="1">(G1900-$C$8)/$C$9</f>
        <v>2.6769612228926722</v>
      </c>
    </row>
    <row r="1901" spans="3:8" x14ac:dyDescent="0.35">
      <c r="C1901" s="8">
        <f t="shared" ca="1" si="116"/>
        <v>0.77488654585131211</v>
      </c>
      <c r="D1901" s="7">
        <f t="shared" ca="1" si="117"/>
        <v>9.6749019121741345E-2</v>
      </c>
      <c r="E1901" s="7">
        <f t="shared" ca="1" si="118"/>
        <v>0.91800794380417239</v>
      </c>
      <c r="F1901" s="7">
        <f t="shared" ca="1" si="119"/>
        <v>2.5950504816749931E-2</v>
      </c>
      <c r="G1901" s="7">
        <f ca="1">$C$11/(1+D1901)^1
 +$D$11/(1+D1901)^2
 +$E$11/(1+D1901)^3
 +$F$11/(1+D1901)^4
 +$G$11/(1+D1901)^5
 +$H$11/(1+D1901)^6
 +$I$11/(1+D1901)^7
 + ( $I$11*(1+F1901)/(D1901-F1901) )/(1+D1901)^7</f>
        <v>365.94642076625257</v>
      </c>
      <c r="H1901" s="7">
        <f ca="1">(G1901-$C$8)/$C$9</f>
        <v>2.0040503209308715</v>
      </c>
    </row>
    <row r="1902" spans="3:8" x14ac:dyDescent="0.35">
      <c r="C1902" s="8">
        <f t="shared" ca="1" si="116"/>
        <v>0.1649513987672997</v>
      </c>
      <c r="D1902" s="7">
        <f t="shared" ca="1" si="117"/>
        <v>8.1630139594570036E-2</v>
      </c>
      <c r="E1902" s="7">
        <f t="shared" ca="1" si="118"/>
        <v>0.35432299804213696</v>
      </c>
      <c r="F1902" s="7">
        <f t="shared" ca="1" si="119"/>
        <v>1.8418111403897396E-2</v>
      </c>
      <c r="G1902" s="7">
        <f ca="1">$C$11/(1+D1902)^1
 +$D$11/(1+D1902)^2
 +$E$11/(1+D1902)^3
 +$F$11/(1+D1902)^4
 +$G$11/(1+D1902)^5
 +$H$11/(1+D1902)^6
 +$I$11/(1+D1902)^7
 + ( $I$11*(1+F1902)/(D1902-F1902) )/(1+D1902)^7</f>
        <v>426.98275088343678</v>
      </c>
      <c r="H1902" s="7">
        <f ca="1">(G1902-$C$8)/$C$9</f>
        <v>2.3491222912903482</v>
      </c>
    </row>
    <row r="1903" spans="3:8" x14ac:dyDescent="0.35">
      <c r="C1903" s="8">
        <f t="shared" ca="1" si="116"/>
        <v>0.28011219696283984</v>
      </c>
      <c r="D1903" s="7">
        <f t="shared" ca="1" si="117"/>
        <v>8.515559307679936E-2</v>
      </c>
      <c r="E1903" s="7">
        <f t="shared" ca="1" si="118"/>
        <v>0.18241117089361347</v>
      </c>
      <c r="F1903" s="7">
        <f t="shared" ca="1" si="119"/>
        <v>1.6040052498010486E-2</v>
      </c>
      <c r="G1903" s="7">
        <f ca="1">$C$11/(1+D1903)^1
 +$D$11/(1+D1903)^2
 +$E$11/(1+D1903)^3
 +$F$11/(1+D1903)^4
 +$G$11/(1+D1903)^5
 +$H$11/(1+D1903)^6
 +$I$11/(1+D1903)^7
 + ( $I$11*(1+F1903)/(D1903-F1903) )/(1+D1903)^7</f>
        <v>393.55324562821056</v>
      </c>
      <c r="H1903" s="7">
        <f ca="1">(G1903-$C$8)/$C$9</f>
        <v>2.1601268974910139</v>
      </c>
    </row>
    <row r="1904" spans="3:8" x14ac:dyDescent="0.35">
      <c r="C1904" s="8">
        <f t="shared" ca="1" si="116"/>
        <v>0.99481552851297239</v>
      </c>
      <c r="D1904" s="7">
        <f t="shared" ca="1" si="117"/>
        <v>0.10798905799191486</v>
      </c>
      <c r="E1904" s="7">
        <f t="shared" ca="1" si="118"/>
        <v>0.78707063200097438</v>
      </c>
      <c r="F1904" s="7">
        <f t="shared" ca="1" si="119"/>
        <v>2.3474214713936327E-2</v>
      </c>
      <c r="G1904" s="7">
        <f ca="1">$C$11/(1+D1904)^1
 +$D$11/(1+D1904)^2
 +$E$11/(1+D1904)^3
 +$F$11/(1+D1904)^4
 +$G$11/(1+D1904)^5
 +$H$11/(1+D1904)^6
 +$I$11/(1+D1904)^7
 + ( $I$11*(1+F1904)/(D1904-F1904) )/(1+D1904)^7</f>
        <v>307.89562810294291</v>
      </c>
      <c r="H1904" s="7">
        <f ca="1">(G1904-$C$8)/$C$9</f>
        <v>1.6758572371265428</v>
      </c>
    </row>
    <row r="1905" spans="3:8" x14ac:dyDescent="0.35">
      <c r="C1905" s="8">
        <f t="shared" ca="1" si="116"/>
        <v>0.92453415000350381</v>
      </c>
      <c r="D1905" s="7">
        <f t="shared" ca="1" si="117"/>
        <v>0.10232775371893818</v>
      </c>
      <c r="E1905" s="7">
        <f t="shared" ca="1" si="118"/>
        <v>0.99938607357644427</v>
      </c>
      <c r="F1905" s="7">
        <f t="shared" ca="1" si="119"/>
        <v>2.9649592687417705E-2</v>
      </c>
      <c r="G1905" s="7">
        <f ca="1">$C$11/(1+D1905)^1
 +$D$11/(1+D1905)^2
 +$E$11/(1+D1905)^3
 +$F$11/(1+D1905)^4
 +$G$11/(1+D1905)^5
 +$H$11/(1+D1905)^6
 +$I$11/(1+D1905)^7
 + ( $I$11*(1+F1905)/(D1905-F1905) )/(1+D1905)^7</f>
        <v>349.95123500721951</v>
      </c>
      <c r="H1905" s="7">
        <f ca="1">(G1905-$C$8)/$C$9</f>
        <v>1.9136207316102414</v>
      </c>
    </row>
    <row r="1906" spans="3:8" x14ac:dyDescent="0.35">
      <c r="C1906" s="8">
        <f t="shared" ca="1" si="116"/>
        <v>0.87375479196724581</v>
      </c>
      <c r="D1906" s="7">
        <f t="shared" ca="1" si="117"/>
        <v>0.10007673127112097</v>
      </c>
      <c r="E1906" s="7">
        <f t="shared" ca="1" si="118"/>
        <v>0.26539942404478956</v>
      </c>
      <c r="F1906" s="7">
        <f t="shared" ca="1" si="119"/>
        <v>1.7285594334641337E-2</v>
      </c>
      <c r="G1906" s="7">
        <f ca="1">$C$11/(1+D1906)^1
 +$D$11/(1+D1906)^2
 +$E$11/(1+D1906)^3
 +$F$11/(1+D1906)^4
 +$G$11/(1+D1906)^5
 +$H$11/(1+D1906)^6
 +$I$11/(1+D1906)^7
 + ( $I$11*(1+F1906)/(D1906-F1906) )/(1+D1906)^7</f>
        <v>323.77582845812844</v>
      </c>
      <c r="H1906" s="7">
        <f ca="1">(G1906-$C$8)/$C$9</f>
        <v>1.765636750667845</v>
      </c>
    </row>
    <row r="1907" spans="3:8" x14ac:dyDescent="0.35">
      <c r="C1907" s="8">
        <f t="shared" ca="1" si="116"/>
        <v>0.35127950635761318</v>
      </c>
      <c r="D1907" s="7">
        <f t="shared" ca="1" si="117"/>
        <v>8.6972012114456043E-2</v>
      </c>
      <c r="E1907" s="7">
        <f t="shared" ca="1" si="118"/>
        <v>0.84957437780254452</v>
      </c>
      <c r="F1907" s="7">
        <f t="shared" ca="1" si="119"/>
        <v>2.4515009166872645E-2</v>
      </c>
      <c r="G1907" s="7">
        <f ca="1">$C$11/(1+D1907)^1
 +$D$11/(1+D1907)^2
 +$E$11/(1+D1907)^3
 +$F$11/(1+D1907)^4
 +$G$11/(1+D1907)^5
 +$H$11/(1+D1907)^6
 +$I$11/(1+D1907)^7
 + ( $I$11*(1+F1907)/(D1907-F1907) )/(1+D1907)^7</f>
        <v>419.6097776346603</v>
      </c>
      <c r="H1907" s="7">
        <f ca="1">(G1907-$C$8)/$C$9</f>
        <v>2.3074388152117837</v>
      </c>
    </row>
    <row r="1908" spans="3:8" x14ac:dyDescent="0.35">
      <c r="C1908" s="8">
        <f t="shared" ca="1" si="116"/>
        <v>0.3193017662452321</v>
      </c>
      <c r="D1908" s="7">
        <f t="shared" ca="1" si="117"/>
        <v>8.6181083039187784E-2</v>
      </c>
      <c r="E1908" s="7">
        <f t="shared" ca="1" si="118"/>
        <v>0.95513812599747583</v>
      </c>
      <c r="F1908" s="7">
        <f t="shared" ca="1" si="119"/>
        <v>2.7004607738458142E-2</v>
      </c>
      <c r="G1908" s="7">
        <f ca="1">$C$11/(1+D1908)^1
 +$D$11/(1+D1908)^2
 +$E$11/(1+D1908)^3
 +$F$11/(1+D1908)^4
 +$G$11/(1+D1908)^5
 +$H$11/(1+D1908)^6
 +$I$11/(1+D1908)^7
 + ( $I$11*(1+F1908)/(D1908-F1908) )/(1+D1908)^7</f>
        <v>438.28917778308215</v>
      </c>
      <c r="H1908" s="7">
        <f ca="1">(G1908-$C$8)/$C$9</f>
        <v>2.4130437459468688</v>
      </c>
    </row>
    <row r="1909" spans="3:8" x14ac:dyDescent="0.35">
      <c r="C1909" s="8">
        <f t="shared" ca="1" si="116"/>
        <v>0.76793731632388973</v>
      </c>
      <c r="D1909" s="7">
        <f t="shared" ca="1" si="117"/>
        <v>9.6546045441307377E-2</v>
      </c>
      <c r="E1909" s="7">
        <f t="shared" ca="1" si="118"/>
        <v>0.33748127190315058</v>
      </c>
      <c r="F1909" s="7">
        <f t="shared" ca="1" si="119"/>
        <v>1.821561040827948E-2</v>
      </c>
      <c r="G1909" s="7">
        <f ca="1">$C$11/(1+D1909)^1
 +$D$11/(1+D1909)^2
 +$E$11/(1+D1909)^3
 +$F$11/(1+D1909)^4
 +$G$11/(1+D1909)^5
 +$H$11/(1+D1909)^6
 +$I$11/(1+D1909)^7
 + ( $I$11*(1+F1909)/(D1909-F1909) )/(1+D1909)^7</f>
        <v>341.65237955481359</v>
      </c>
      <c r="H1909" s="7">
        <f ca="1">(G1909-$C$8)/$C$9</f>
        <v>1.8667027338015241</v>
      </c>
    </row>
    <row r="1910" spans="3:8" x14ac:dyDescent="0.35">
      <c r="C1910" s="8">
        <f t="shared" ca="1" si="116"/>
        <v>0.55385853539203822</v>
      </c>
      <c r="D1910" s="7">
        <f t="shared" ca="1" si="117"/>
        <v>9.1345500746623884E-2</v>
      </c>
      <c r="E1910" s="7">
        <f t="shared" ca="1" si="118"/>
        <v>0.69533535870236374</v>
      </c>
      <c r="F1910" s="7">
        <f t="shared" ca="1" si="119"/>
        <v>2.2194045333239036E-2</v>
      </c>
      <c r="G1910" s="7">
        <f ca="1">$C$11/(1+D1910)^1
 +$D$11/(1+D1910)^2
 +$E$11/(1+D1910)^3
 +$F$11/(1+D1910)^4
 +$G$11/(1+D1910)^5
 +$H$11/(1+D1910)^6
 +$I$11/(1+D1910)^7
 + ( $I$11*(1+F1910)/(D1910-F1910) )/(1+D1910)^7</f>
        <v>381.81381318496722</v>
      </c>
      <c r="H1910" s="7">
        <f ca="1">(G1910-$C$8)/$C$9</f>
        <v>2.0937574241574355</v>
      </c>
    </row>
    <row r="1911" spans="3:8" x14ac:dyDescent="0.35">
      <c r="C1911" s="8">
        <f t="shared" ca="1" si="116"/>
        <v>0.33663173502798371</v>
      </c>
      <c r="D1911" s="7">
        <f t="shared" ca="1" si="117"/>
        <v>8.661439203591112E-2</v>
      </c>
      <c r="E1911" s="7">
        <f t="shared" ca="1" si="118"/>
        <v>0.74412860912464485</v>
      </c>
      <c r="F1911" s="7">
        <f t="shared" ca="1" si="119"/>
        <v>2.2846380064955152E-2</v>
      </c>
      <c r="G1911" s="7">
        <f ca="1">$C$11/(1+D1911)^1
 +$D$11/(1+D1911)^2
 +$E$11/(1+D1911)^3
 +$F$11/(1+D1911)^4
 +$G$11/(1+D1911)^5
 +$H$11/(1+D1911)^6
 +$I$11/(1+D1911)^7
 + ( $I$11*(1+F1911)/(D1911-F1911) )/(1+D1911)^7</f>
        <v>414.03508630882658</v>
      </c>
      <c r="H1911" s="7">
        <f ca="1">(G1911-$C$8)/$C$9</f>
        <v>2.2759220166713399</v>
      </c>
    </row>
    <row r="1912" spans="3:8" x14ac:dyDescent="0.35">
      <c r="C1912" s="8">
        <f t="shared" ca="1" si="116"/>
        <v>0.16540820712953586</v>
      </c>
      <c r="D1912" s="7">
        <f t="shared" ca="1" si="117"/>
        <v>8.1646232431401136E-2</v>
      </c>
      <c r="E1912" s="7">
        <f t="shared" ca="1" si="118"/>
        <v>0.69031434454076979</v>
      </c>
      <c r="F1912" s="7">
        <f t="shared" ca="1" si="119"/>
        <v>2.2129985318193744E-2</v>
      </c>
      <c r="G1912" s="7">
        <f ca="1">$C$11/(1+D1912)^1
 +$D$11/(1+D1912)^2
 +$E$11/(1+D1912)^3
 +$F$11/(1+D1912)^4
 +$G$11/(1+D1912)^5
 +$H$11/(1+D1912)^6
 +$I$11/(1+D1912)^7
 + ( $I$11*(1+F1912)/(D1912-F1912) )/(1+D1912)^7</f>
        <v>446.30244010337583</v>
      </c>
      <c r="H1912" s="7">
        <f ca="1">(G1912-$C$8)/$C$9</f>
        <v>2.4583471285808223</v>
      </c>
    </row>
    <row r="1913" spans="3:8" x14ac:dyDescent="0.35">
      <c r="C1913" s="8">
        <f t="shared" ca="1" si="116"/>
        <v>0.14446243788328705</v>
      </c>
      <c r="D1913" s="7">
        <f t="shared" ca="1" si="117"/>
        <v>8.0883896318152584E-2</v>
      </c>
      <c r="E1913" s="7">
        <f t="shared" ca="1" si="118"/>
        <v>0.45618396429490904</v>
      </c>
      <c r="F1913" s="7">
        <f t="shared" ca="1" si="119"/>
        <v>1.9551795268900073E-2</v>
      </c>
      <c r="G1913" s="7">
        <f ca="1">$C$11/(1+D1913)^1
 +$D$11/(1+D1913)^2
 +$E$11/(1+D1913)^3
 +$F$11/(1+D1913)^4
 +$G$11/(1+D1913)^5
 +$H$11/(1+D1913)^6
 +$I$11/(1+D1913)^7
 + ( $I$11*(1+F1913)/(D1913-F1913) )/(1+D1913)^7</f>
        <v>438.14653120039054</v>
      </c>
      <c r="H1913" s="7">
        <f ca="1">(G1913-$C$8)/$C$9</f>
        <v>2.4122372862980015</v>
      </c>
    </row>
    <row r="1914" spans="3:8" x14ac:dyDescent="0.35">
      <c r="C1914" s="8">
        <f t="shared" ca="1" si="116"/>
        <v>0.60014115724393879</v>
      </c>
      <c r="D1914" s="7">
        <f t="shared" ca="1" si="117"/>
        <v>9.2339595209913E-2</v>
      </c>
      <c r="E1914" s="7">
        <f t="shared" ca="1" si="118"/>
        <v>0.52962982081467025</v>
      </c>
      <c r="F1914" s="7">
        <f t="shared" ca="1" si="119"/>
        <v>2.0300822929904518E-2</v>
      </c>
      <c r="G1914" s="7">
        <f ca="1">$C$11/(1+D1914)^1
 +$D$11/(1+D1914)^2
 +$E$11/(1+D1914)^3
 +$F$11/(1+D1914)^4
 +$G$11/(1+D1914)^5
 +$H$11/(1+D1914)^6
 +$I$11/(1+D1914)^7
 + ( $I$11*(1+F1914)/(D1914-F1914) )/(1+D1914)^7</f>
        <v>369.2282458062565</v>
      </c>
      <c r="H1914" s="7">
        <f ca="1">(G1914-$C$8)/$C$9</f>
        <v>2.0226042842958871</v>
      </c>
    </row>
    <row r="1915" spans="3:8" x14ac:dyDescent="0.35">
      <c r="C1915" s="8">
        <f t="shared" ca="1" si="116"/>
        <v>0.44740412556401965</v>
      </c>
      <c r="D1915" s="7">
        <f t="shared" ca="1" si="117"/>
        <v>8.9153886889153752E-2</v>
      </c>
      <c r="E1915" s="7">
        <f t="shared" ca="1" si="118"/>
        <v>0.77413912070227597</v>
      </c>
      <c r="F1915" s="7">
        <f t="shared" ca="1" si="119"/>
        <v>2.3278975088608524E-2</v>
      </c>
      <c r="G1915" s="7">
        <f ca="1">$C$11/(1+D1915)^1
 +$D$11/(1+D1915)^2
 +$E$11/(1+D1915)^3
 +$F$11/(1+D1915)^4
 +$G$11/(1+D1915)^5
 +$H$11/(1+D1915)^6
 +$I$11/(1+D1915)^7
 + ( $I$11*(1+F1915)/(D1915-F1915) )/(1+D1915)^7</f>
        <v>399.46303082435384</v>
      </c>
      <c r="H1915" s="7">
        <f ca="1">(G1915-$C$8)/$C$9</f>
        <v>2.1935381661259261</v>
      </c>
    </row>
    <row r="1916" spans="3:8" x14ac:dyDescent="0.35">
      <c r="C1916" s="8">
        <f t="shared" ca="1" si="116"/>
        <v>0.82804864099420927</v>
      </c>
      <c r="D1916" s="7">
        <f t="shared" ca="1" si="117"/>
        <v>9.8418892107206807E-2</v>
      </c>
      <c r="E1916" s="7">
        <f t="shared" ca="1" si="118"/>
        <v>0.52713804124731334</v>
      </c>
      <c r="F1916" s="7">
        <f t="shared" ca="1" si="119"/>
        <v>2.0275166235326318E-2</v>
      </c>
      <c r="G1916" s="7">
        <f ca="1">$C$11/(1+D1916)^1
 +$D$11/(1+D1916)^2
 +$E$11/(1+D1916)^3
 +$F$11/(1+D1916)^4
 +$G$11/(1+D1916)^5
 +$H$11/(1+D1916)^6
 +$I$11/(1+D1916)^7
 + ( $I$11*(1+F1916)/(D1916-F1916) )/(1+D1916)^7</f>
        <v>339.19799880366014</v>
      </c>
      <c r="H1916" s="7">
        <f ca="1">(G1916-$C$8)/$C$9</f>
        <v>1.8528267684512671</v>
      </c>
    </row>
    <row r="1917" spans="3:8" x14ac:dyDescent="0.35">
      <c r="C1917" s="8">
        <f t="shared" ca="1" si="116"/>
        <v>0.3994660499750875</v>
      </c>
      <c r="D1917" s="7">
        <f t="shared" ca="1" si="117"/>
        <v>8.8098678431851637E-2</v>
      </c>
      <c r="E1917" s="7">
        <f t="shared" ca="1" si="118"/>
        <v>0.39694756259698583</v>
      </c>
      <c r="F1917" s="7">
        <f t="shared" ca="1" si="119"/>
        <v>1.8910079265606852E-2</v>
      </c>
      <c r="G1917" s="7">
        <f ca="1">$C$11/(1+D1917)^1
 +$D$11/(1+D1917)^2
 +$E$11/(1+D1917)^3
 +$F$11/(1+D1917)^4
 +$G$11/(1+D1917)^5
 +$H$11/(1+D1917)^6
 +$I$11/(1+D1917)^7
 + ( $I$11*(1+F1917)/(D1917-F1917) )/(1+D1917)^7</f>
        <v>387.69291137533514</v>
      </c>
      <c r="H1917" s="7">
        <f ca="1">(G1917-$C$8)/$C$9</f>
        <v>2.1269952022576613</v>
      </c>
    </row>
    <row r="1918" spans="3:8" x14ac:dyDescent="0.35">
      <c r="C1918" s="8">
        <f t="shared" ca="1" si="116"/>
        <v>0.46083825897364283</v>
      </c>
      <c r="D1918" s="7">
        <f t="shared" ca="1" si="117"/>
        <v>8.9439325409035861E-2</v>
      </c>
      <c r="E1918" s="7">
        <f t="shared" ca="1" si="118"/>
        <v>0.8065923211943552</v>
      </c>
      <c r="F1918" s="7">
        <f t="shared" ca="1" si="119"/>
        <v>2.3780551812167823E-2</v>
      </c>
      <c r="G1918" s="7">
        <f ca="1">$C$11/(1+D1918)^1
 +$D$11/(1+D1918)^2
 +$E$11/(1+D1918)^3
 +$F$11/(1+D1918)^4
 +$G$11/(1+D1918)^5
 +$H$11/(1+D1918)^6
 +$I$11/(1+D1918)^7
 + ( $I$11*(1+F1918)/(D1918-F1918) )/(1+D1918)^7</f>
        <v>399.85345107246309</v>
      </c>
      <c r="H1918" s="7">
        <f ca="1">(G1918-$C$8)/$C$9</f>
        <v>2.1957454266873762</v>
      </c>
    </row>
    <row r="1919" spans="3:8" x14ac:dyDescent="0.35">
      <c r="C1919" s="8">
        <f t="shared" ca="1" si="116"/>
        <v>0.31693604552206467</v>
      </c>
      <c r="D1919" s="7">
        <f t="shared" ca="1" si="117"/>
        <v>8.6121028420299159E-2</v>
      </c>
      <c r="E1919" s="7">
        <f t="shared" ca="1" si="118"/>
        <v>0.77537616032021461</v>
      </c>
      <c r="F1919" s="7">
        <f t="shared" ca="1" si="119"/>
        <v>2.3297405880112008E-2</v>
      </c>
      <c r="G1919" s="7">
        <f ca="1">$C$11/(1+D1919)^1
 +$D$11/(1+D1919)^2
 +$E$11/(1+D1919)^3
 +$F$11/(1+D1919)^4
 +$G$11/(1+D1919)^5
 +$H$11/(1+D1919)^6
 +$I$11/(1+D1919)^7
 + ( $I$11*(1+F1919)/(D1919-F1919) )/(1+D1919)^7</f>
        <v>419.56431907362582</v>
      </c>
      <c r="H1919" s="7">
        <f ca="1">(G1919-$C$8)/$C$9</f>
        <v>2.3071818129445152</v>
      </c>
    </row>
    <row r="1920" spans="3:8" x14ac:dyDescent="0.35">
      <c r="C1920" s="8">
        <f t="shared" ca="1" si="116"/>
        <v>0.62517439937112207</v>
      </c>
      <c r="D1920" s="7">
        <f t="shared" ca="1" si="117"/>
        <v>9.2901346003543883E-2</v>
      </c>
      <c r="E1920" s="7">
        <f t="shared" ca="1" si="118"/>
        <v>0.16977834626791311</v>
      </c>
      <c r="F1920" s="7">
        <f t="shared" ca="1" si="119"/>
        <v>1.5827149324805622E-2</v>
      </c>
      <c r="G1920" s="7">
        <f ca="1">$C$11/(1+D1920)^1
 +$D$11/(1+D1920)^2
 +$E$11/(1+D1920)^3
 +$F$11/(1+D1920)^4
 +$G$11/(1+D1920)^5
 +$H$11/(1+D1920)^6
 +$I$11/(1+D1920)^7
 + ( $I$11*(1+F1920)/(D1920-F1920) )/(1+D1920)^7</f>
        <v>351.44610859779522</v>
      </c>
      <c r="H1920" s="7">
        <f ca="1">(G1920-$C$8)/$C$9</f>
        <v>1.9220720748405427</v>
      </c>
    </row>
    <row r="1921" spans="3:8" x14ac:dyDescent="0.35">
      <c r="C1921" s="8">
        <f t="shared" ca="1" si="116"/>
        <v>0.18774047773250724</v>
      </c>
      <c r="D1921" s="7">
        <f t="shared" ca="1" si="117"/>
        <v>8.2407545758152817E-2</v>
      </c>
      <c r="E1921" s="7">
        <f t="shared" ca="1" si="118"/>
        <v>0.96094805238885772</v>
      </c>
      <c r="F1921" s="7">
        <f t="shared" ca="1" si="119"/>
        <v>2.7205292587366529E-2</v>
      </c>
      <c r="G1921" s="7">
        <f ca="1">$C$11/(1+D1921)^1
 +$D$11/(1+D1921)^2
 +$E$11/(1+D1921)^3
 +$F$11/(1+D1921)^4
 +$G$11/(1+D1921)^5
 +$H$11/(1+D1921)^6
 +$I$11/(1+D1921)^7
 + ( $I$11*(1+F1921)/(D1921-F1921) )/(1+D1921)^7</f>
        <v>470.38632672438854</v>
      </c>
      <c r="H1921" s="7">
        <f ca="1">(G1921-$C$8)/$C$9</f>
        <v>2.5945065961351679</v>
      </c>
    </row>
    <row r="1922" spans="3:8" x14ac:dyDescent="0.35">
      <c r="C1922" s="8">
        <f t="shared" ca="1" si="116"/>
        <v>0.38205458985389495</v>
      </c>
      <c r="D1922" s="7">
        <f t="shared" ca="1" si="117"/>
        <v>8.7699852080743324E-2</v>
      </c>
      <c r="E1922" s="7">
        <f t="shared" ca="1" si="118"/>
        <v>0.81762971958574726</v>
      </c>
      <c r="F1922" s="7">
        <f t="shared" ca="1" si="119"/>
        <v>2.396062452874053E-2</v>
      </c>
      <c r="G1922" s="7">
        <f ca="1">$C$11/(1+D1922)^1
 +$D$11/(1+D1922)^2
 +$E$11/(1+D1922)^3
 +$F$11/(1+D1922)^4
 +$G$11/(1+D1922)^5
 +$H$11/(1+D1922)^6
 +$I$11/(1+D1922)^7
 + ( $I$11*(1+F1922)/(D1922-F1922) )/(1+D1922)^7</f>
        <v>411.98354437119451</v>
      </c>
      <c r="H1922" s="7">
        <f ca="1">(G1922-$C$8)/$C$9</f>
        <v>2.2643235208683543</v>
      </c>
    </row>
    <row r="1923" spans="3:8" x14ac:dyDescent="0.35">
      <c r="C1923" s="8">
        <f t="shared" ca="1" si="116"/>
        <v>0.11290549001313022</v>
      </c>
      <c r="D1923" s="7">
        <f t="shared" ca="1" si="117"/>
        <v>7.9621980139803178E-2</v>
      </c>
      <c r="E1923" s="7">
        <f t="shared" ca="1" si="118"/>
        <v>9.0730174989163803E-2</v>
      </c>
      <c r="F1923" s="7">
        <f t="shared" ca="1" si="119"/>
        <v>1.4259816310339304E-2</v>
      </c>
      <c r="G1923" s="7">
        <f ca="1">$C$11/(1+D1923)^1
 +$D$11/(1+D1923)^2
 +$E$11/(1+D1923)^3
 +$F$11/(1+D1923)^4
 +$G$11/(1+D1923)^5
 +$H$11/(1+D1923)^6
 +$I$11/(1+D1923)^7
 + ( $I$11*(1+F1923)/(D1923-F1923) )/(1+D1923)^7</f>
        <v>420.85659056810425</v>
      </c>
      <c r="H1923" s="7">
        <f ca="1">(G1923-$C$8)/$C$9</f>
        <v>2.3144877350073734</v>
      </c>
    </row>
    <row r="1924" spans="3:8" x14ac:dyDescent="0.35">
      <c r="C1924" s="8">
        <f t="shared" ca="1" si="116"/>
        <v>0.20832888491707646</v>
      </c>
      <c r="D1924" s="7">
        <f t="shared" ca="1" si="117"/>
        <v>8.3070183075688073E-2</v>
      </c>
      <c r="E1924" s="7">
        <f t="shared" ca="1" si="118"/>
        <v>0.49236546609611509</v>
      </c>
      <c r="F1924" s="7">
        <f t="shared" ca="1" si="119"/>
        <v>1.9923360984022649E-2</v>
      </c>
      <c r="G1924" s="7">
        <f ca="1">$C$11/(1+D1924)^1
 +$D$11/(1+D1924)^2
 +$E$11/(1+D1924)^3
 +$F$11/(1+D1924)^4
 +$G$11/(1+D1924)^5
 +$H$11/(1+D1924)^6
 +$I$11/(1+D1924)^7
 + ( $I$11*(1+F1924)/(D1924-F1924) )/(1+D1924)^7</f>
        <v>424.29234583356015</v>
      </c>
      <c r="H1924" s="7">
        <f ca="1">(G1924-$C$8)/$C$9</f>
        <v>2.333911950664632</v>
      </c>
    </row>
    <row r="1925" spans="3:8" x14ac:dyDescent="0.35">
      <c r="C1925" s="8">
        <f t="shared" ca="1" si="116"/>
        <v>5.9804285977471672E-3</v>
      </c>
      <c r="D1925" s="7">
        <f t="shared" ca="1" si="117"/>
        <v>7.2214486723860119E-2</v>
      </c>
      <c r="E1925" s="7">
        <f t="shared" ca="1" si="118"/>
        <v>0.61554438200137807</v>
      </c>
      <c r="F1925" s="7">
        <f t="shared" ca="1" si="119"/>
        <v>2.1231241615842958E-2</v>
      </c>
      <c r="G1925" s="7">
        <f ca="1">$C$11/(1+D1925)^1
 +$D$11/(1+D1925)^2
 +$E$11/(1+D1925)^3
 +$F$11/(1+D1925)^4
 +$G$11/(1+D1925)^5
 +$H$11/(1+D1925)^6
 +$I$11/(1+D1925)^7
 + ( $I$11*(1+F1925)/(D1925-F1925) )/(1+D1925)^7</f>
        <v>526.12831979893531</v>
      </c>
      <c r="H1925" s="7">
        <f ca="1">(G1925-$C$8)/$C$9</f>
        <v>2.9096467650324249</v>
      </c>
    </row>
    <row r="1926" spans="3:8" x14ac:dyDescent="0.35">
      <c r="C1926" s="8">
        <f t="shared" ca="1" si="116"/>
        <v>0.32092326010749173</v>
      </c>
      <c r="D1926" s="7">
        <f t="shared" ca="1" si="117"/>
        <v>8.6222116794307191E-2</v>
      </c>
      <c r="E1926" s="7">
        <f t="shared" ca="1" si="118"/>
        <v>1.4124878492183468E-2</v>
      </c>
      <c r="F1926" s="7">
        <f t="shared" ca="1" si="119"/>
        <v>1.1680766402102534E-2</v>
      </c>
      <c r="G1926" s="7">
        <f ca="1">$C$11/(1+D1926)^1
 +$D$11/(1+D1926)^2
 +$E$11/(1+D1926)^3
 +$F$11/(1+D1926)^4
 +$G$11/(1+D1926)^5
 +$H$11/(1+D1926)^6
 +$I$11/(1+D1926)^7
 + ( $I$11*(1+F1926)/(D1926-F1926) )/(1+D1926)^7</f>
        <v>371.29394564518918</v>
      </c>
      <c r="H1926" s="7">
        <f ca="1">(G1926-$C$8)/$C$9</f>
        <v>2.0342828225078535</v>
      </c>
    </row>
    <row r="1927" spans="3:8" x14ac:dyDescent="0.35">
      <c r="C1927" s="8">
        <f t="shared" ca="1" si="116"/>
        <v>0.91077407811642175</v>
      </c>
      <c r="D1927" s="7">
        <f t="shared" ca="1" si="117"/>
        <v>0.10165756515942791</v>
      </c>
      <c r="E1927" s="7">
        <f t="shared" ca="1" si="118"/>
        <v>0.62283037936269237</v>
      </c>
      <c r="F1927" s="7">
        <f t="shared" ca="1" si="119"/>
        <v>2.1314729472983497E-2</v>
      </c>
      <c r="G1927" s="7">
        <f ca="1">$C$11/(1+D1927)^1
 +$D$11/(1+D1927)^2
 +$E$11/(1+D1927)^3
 +$F$11/(1+D1927)^4
 +$G$11/(1+D1927)^5
 +$H$11/(1+D1927)^6
 +$I$11/(1+D1927)^7
 + ( $I$11*(1+F1927)/(D1927-F1927) )/(1+D1927)^7</f>
        <v>327.89400317771208</v>
      </c>
      <c r="H1927" s="7">
        <f ca="1">(G1927-$C$8)/$C$9</f>
        <v>1.7889190591232025</v>
      </c>
    </row>
    <row r="1928" spans="3:8" x14ac:dyDescent="0.35">
      <c r="C1928" s="8">
        <f t="shared" ca="1" si="116"/>
        <v>8.931634299868485E-2</v>
      </c>
      <c r="D1928" s="7">
        <f t="shared" ca="1" si="117"/>
        <v>7.8558002176847219E-2</v>
      </c>
      <c r="E1928" s="7">
        <f t="shared" ca="1" si="118"/>
        <v>0.29589608744447848</v>
      </c>
      <c r="F1928" s="7">
        <f t="shared" ca="1" si="119"/>
        <v>1.7692802966987761E-2</v>
      </c>
      <c r="G1928" s="7">
        <f ca="1">$C$11/(1+D1928)^1
 +$D$11/(1+D1928)^2
 +$E$11/(1+D1928)^3
 +$F$11/(1+D1928)^4
 +$G$11/(1+D1928)^5
 +$H$11/(1+D1928)^6
 +$I$11/(1+D1928)^7
 + ( $I$11*(1+F1928)/(D1928-F1928) )/(1+D1928)^7</f>
        <v>445.71911803998353</v>
      </c>
      <c r="H1928" s="7">
        <f ca="1">(G1928-$C$8)/$C$9</f>
        <v>2.4550492878786945</v>
      </c>
    </row>
    <row r="1929" spans="3:8" x14ac:dyDescent="0.35">
      <c r="C1929" s="8">
        <f t="shared" ca="1" si="116"/>
        <v>0.33895909413977465</v>
      </c>
      <c r="D1929" s="7">
        <f t="shared" ca="1" si="117"/>
        <v>8.6671726281180819E-2</v>
      </c>
      <c r="E1929" s="7">
        <f t="shared" ca="1" si="118"/>
        <v>0.92754282126380283</v>
      </c>
      <c r="F1929" s="7">
        <f t="shared" ca="1" si="119"/>
        <v>2.6193238154646466E-2</v>
      </c>
      <c r="G1929" s="7">
        <f ca="1">$C$11/(1+D1929)^1
 +$D$11/(1+D1929)^2
 +$E$11/(1+D1929)^3
 +$F$11/(1+D1929)^4
 +$G$11/(1+D1929)^5
 +$H$11/(1+D1929)^6
 +$I$11/(1+D1929)^7
 + ( $I$11*(1+F1929)/(D1929-F1929) )/(1+D1929)^7</f>
        <v>430.2624794364267</v>
      </c>
      <c r="H1929" s="7">
        <f ca="1">(G1929-$C$8)/$C$9</f>
        <v>2.3676644020603046</v>
      </c>
    </row>
    <row r="1930" spans="3:8" x14ac:dyDescent="0.35">
      <c r="C1930" s="8">
        <f t="shared" ca="1" si="116"/>
        <v>0.11064806579731112</v>
      </c>
      <c r="D1930" s="7">
        <f t="shared" ca="1" si="117"/>
        <v>7.9525303877241674E-2</v>
      </c>
      <c r="E1930" s="7">
        <f t="shared" ca="1" si="118"/>
        <v>0.31174761237518034</v>
      </c>
      <c r="F1930" s="7">
        <f t="shared" ca="1" si="119"/>
        <v>1.7896171380804501E-2</v>
      </c>
      <c r="G1930" s="7">
        <f ca="1">$C$11/(1+D1930)^1
 +$D$11/(1+D1930)^2
 +$E$11/(1+D1930)^3
 +$F$11/(1+D1930)^4
 +$G$11/(1+D1930)^5
 +$H$11/(1+D1930)^6
 +$I$11/(1+D1930)^7
 + ( $I$11*(1+F1930)/(D1930-F1930) )/(1+D1930)^7</f>
        <v>439.53018128171163</v>
      </c>
      <c r="H1930" s="7">
        <f ca="1">(G1930-$C$8)/$C$9</f>
        <v>2.4200598218097671</v>
      </c>
    </row>
    <row r="1931" spans="3:8" x14ac:dyDescent="0.35">
      <c r="C1931" s="8">
        <f t="shared" ca="1" si="116"/>
        <v>0.52861958626168326</v>
      </c>
      <c r="D1931" s="7">
        <f t="shared" ca="1" si="117"/>
        <v>9.0825101754744897E-2</v>
      </c>
      <c r="E1931" s="7">
        <f t="shared" ca="1" si="118"/>
        <v>0.33020940470269</v>
      </c>
      <c r="F1931" s="7">
        <f t="shared" ca="1" si="119"/>
        <v>1.8126615589563591E-2</v>
      </c>
      <c r="G1931" s="7">
        <f ca="1">$C$11/(1+D1931)^1
 +$D$11/(1+D1931)^2
 +$E$11/(1+D1931)^3
 +$F$11/(1+D1931)^4
 +$G$11/(1+D1931)^5
 +$H$11/(1+D1931)^6
 +$I$11/(1+D1931)^7
 + ( $I$11*(1+F1931)/(D1931-F1931) )/(1+D1931)^7</f>
        <v>369.55855911665577</v>
      </c>
      <c r="H1931" s="7">
        <f ca="1">(G1931-$C$8)/$C$9</f>
        <v>2.0244717272538204</v>
      </c>
    </row>
    <row r="1932" spans="3:8" x14ac:dyDescent="0.35">
      <c r="C1932" s="8">
        <f t="shared" ca="1" si="116"/>
        <v>0.69187808249207039</v>
      </c>
      <c r="D1932" s="7">
        <f t="shared" ca="1" si="117"/>
        <v>9.449725522185877E-2</v>
      </c>
      <c r="E1932" s="7">
        <f t="shared" ca="1" si="118"/>
        <v>0.57279342215920237</v>
      </c>
      <c r="F1932" s="7">
        <f t="shared" ca="1" si="119"/>
        <v>2.0756552830888279E-2</v>
      </c>
      <c r="G1932" s="7">
        <f ca="1">$C$11/(1+D1932)^1
 +$D$11/(1+D1932)^2
 +$E$11/(1+D1932)^3
 +$F$11/(1+D1932)^4
 +$G$11/(1+D1932)^5
 +$H$11/(1+D1932)^6
 +$I$11/(1+D1932)^7
 + ( $I$11*(1+F1932)/(D1932-F1932) )/(1+D1932)^7</f>
        <v>359.55941041949319</v>
      </c>
      <c r="H1932" s="7">
        <f ca="1">(G1932-$C$8)/$C$9</f>
        <v>1.9679410358406444</v>
      </c>
    </row>
    <row r="1933" spans="3:8" x14ac:dyDescent="0.35">
      <c r="C1933" s="8">
        <f t="shared" ca="1" si="116"/>
        <v>8.0809215495090791E-2</v>
      </c>
      <c r="D1933" s="7">
        <f t="shared" ca="1" si="117"/>
        <v>7.8140243037279317E-2</v>
      </c>
      <c r="E1933" s="7">
        <f t="shared" ca="1" si="118"/>
        <v>0.12084461539725344</v>
      </c>
      <c r="F1933" s="7">
        <f t="shared" ca="1" si="119"/>
        <v>1.4916189894567814E-2</v>
      </c>
      <c r="G1933" s="7">
        <f ca="1">$C$11/(1+D1933)^1
 +$D$11/(1+D1933)^2
 +$E$11/(1+D1933)^3
 +$F$11/(1+D1933)^4
 +$G$11/(1+D1933)^5
 +$H$11/(1+D1933)^6
 +$I$11/(1+D1933)^7
 + ( $I$11*(1+F1933)/(D1933-F1933) )/(1+D1933)^7</f>
        <v>434.32867663192872</v>
      </c>
      <c r="H1933" s="7">
        <f ca="1">(G1933-$C$8)/$C$9</f>
        <v>2.3906528529620572</v>
      </c>
    </row>
    <row r="1934" spans="3:8" x14ac:dyDescent="0.35">
      <c r="C1934" s="8">
        <f t="shared" ca="1" si="116"/>
        <v>0.37716110437220962</v>
      </c>
      <c r="D1934" s="7">
        <f t="shared" ca="1" si="117"/>
        <v>8.7586133901037255E-2</v>
      </c>
      <c r="E1934" s="7">
        <f t="shared" ca="1" si="118"/>
        <v>0.55910564081711212</v>
      </c>
      <c r="F1934" s="7">
        <f t="shared" ca="1" si="119"/>
        <v>2.0609639419246054E-2</v>
      </c>
      <c r="G1934" s="7">
        <f ca="1">$C$11/(1+D1934)^1
 +$D$11/(1+D1934)^2
 +$E$11/(1+D1934)^3
 +$F$11/(1+D1934)^4
 +$G$11/(1+D1934)^5
 +$H$11/(1+D1934)^6
 +$I$11/(1+D1934)^7
 + ( $I$11*(1+F1934)/(D1934-F1934) )/(1+D1934)^7</f>
        <v>397.7553918380832</v>
      </c>
      <c r="H1934" s="7">
        <f ca="1">(G1934-$C$8)/$C$9</f>
        <v>2.183883943001375</v>
      </c>
    </row>
    <row r="1935" spans="3:8" x14ac:dyDescent="0.35">
      <c r="C1935" s="8">
        <f t="shared" ca="1" si="116"/>
        <v>0.62249079870839796</v>
      </c>
      <c r="D1935" s="7">
        <f t="shared" ca="1" si="117"/>
        <v>9.2840245426945939E-2</v>
      </c>
      <c r="E1935" s="7">
        <f t="shared" ca="1" si="118"/>
        <v>1.0571848656193428E-4</v>
      </c>
      <c r="F1935" s="7">
        <f t="shared" ca="1" si="119"/>
        <v>1.0145408725021531E-2</v>
      </c>
      <c r="G1935" s="7">
        <f ca="1">$C$11/(1+D1935)^1
 +$D$11/(1+D1935)^2
 +$E$11/(1+D1935)^3
 +$F$11/(1+D1935)^4
 +$G$11/(1+D1935)^5
 +$H$11/(1+D1935)^6
 +$I$11/(1+D1935)^7
 + ( $I$11*(1+F1935)/(D1935-F1935) )/(1+D1935)^7</f>
        <v>335.21543656285291</v>
      </c>
      <c r="H1935" s="7">
        <f ca="1">(G1935-$C$8)/$C$9</f>
        <v>1.8303111519835646</v>
      </c>
    </row>
    <row r="1936" spans="3:8" x14ac:dyDescent="0.35">
      <c r="C1936" s="8">
        <f t="shared" ca="1" si="116"/>
        <v>0.41390509202020742</v>
      </c>
      <c r="D1936" s="7">
        <f t="shared" ca="1" si="117"/>
        <v>8.8422870988436361E-2</v>
      </c>
      <c r="E1936" s="7">
        <f t="shared" ca="1" si="118"/>
        <v>0.67822904933331984</v>
      </c>
      <c r="F1936" s="7">
        <f t="shared" ca="1" si="119"/>
        <v>2.1977893659808789E-2</v>
      </c>
      <c r="G1936" s="7">
        <f ca="1">$C$11/(1+D1936)^1
 +$D$11/(1+D1936)^2
 +$E$11/(1+D1936)^3
 +$F$11/(1+D1936)^4
 +$G$11/(1+D1936)^5
 +$H$11/(1+D1936)^6
 +$I$11/(1+D1936)^7
 + ( $I$11*(1+F1936)/(D1936-F1936) )/(1+D1936)^7</f>
        <v>398.41108627207524</v>
      </c>
      <c r="H1936" s="7">
        <f ca="1">(G1936-$C$8)/$C$9</f>
        <v>2.1875909445504025</v>
      </c>
    </row>
    <row r="1937" spans="3:8" x14ac:dyDescent="0.35">
      <c r="C1937" s="8">
        <f t="shared" ref="C1937:C2000" ca="1" si="120">RAND()</f>
        <v>0.88691345036862135</v>
      </c>
      <c r="D1937" s="7">
        <f t="shared" ref="D1937:D2000" ca="1" si="121">IF(C1937&lt;(0.0905-0.07)/(0.11-0.07),
 0.07+SQRT(C1937*(0.11-0.07)*(0.0905-0.07)),
 0.11-SQRT((1-C1937)*(0.11-0.07)*(0.11-0.0905))
)</f>
        <v>0.1006081147413059</v>
      </c>
      <c r="E1937" s="7">
        <f t="shared" ref="E1937:E2000" ca="1" si="122">RAND()</f>
        <v>0.51687167922146837</v>
      </c>
      <c r="F1937" s="7">
        <f t="shared" ref="F1937:F2000" ca="1" si="123">MIN(
 IF(E1937&lt;(0.02-0.01)/(0.03-0.01),
   0.01+SQRT(E1937*(0.03-0.01)*(0.02-0.01)),
   0.03-SQRT((1-E1937)*(0.03-0.01)*(0.03-0.02))
 ),
 D1937-0.005
)</f>
        <v>2.0170164591626863E-2</v>
      </c>
      <c r="G1937" s="7">
        <f ca="1">$C$11/(1+D1937)^1
 +$D$11/(1+D1937)^2
 +$E$11/(1+D1937)^3
 +$F$11/(1+D1937)^4
 +$G$11/(1+D1937)^5
 +$H$11/(1+D1937)^6
 +$I$11/(1+D1937)^7
 + ( $I$11*(1+F1937)/(D1937-F1937) )/(1+D1937)^7</f>
        <v>329.2461094456433</v>
      </c>
      <c r="H1937" s="7">
        <f ca="1">(G1937-$C$8)/$C$9</f>
        <v>1.7965632600952244</v>
      </c>
    </row>
    <row r="1938" spans="3:8" x14ac:dyDescent="0.35">
      <c r="C1938" s="8">
        <f t="shared" ca="1" si="120"/>
        <v>0.87595030307079569</v>
      </c>
      <c r="D1938" s="7">
        <f t="shared" ca="1" si="121"/>
        <v>0.1001633967445678</v>
      </c>
      <c r="E1938" s="7">
        <f t="shared" ca="1" si="122"/>
        <v>3.3588536454027262E-2</v>
      </c>
      <c r="F1938" s="7">
        <f t="shared" ca="1" si="123"/>
        <v>1.259185402575173E-2</v>
      </c>
      <c r="G1938" s="7">
        <f ca="1">$C$11/(1+D1938)^1
 +$D$11/(1+D1938)^2
 +$E$11/(1+D1938)^3
 +$F$11/(1+D1938)^4
 +$G$11/(1+D1938)^5
 +$H$11/(1+D1938)^6
 +$I$11/(1+D1938)^7
 + ( $I$11*(1+F1938)/(D1938-F1938) )/(1+D1938)^7</f>
        <v>311.91282169114362</v>
      </c>
      <c r="H1938" s="7">
        <f ca="1">(G1938-$C$8)/$C$9</f>
        <v>1.6985686436631817</v>
      </c>
    </row>
    <row r="1939" spans="3:8" x14ac:dyDescent="0.35">
      <c r="C1939" s="8">
        <f t="shared" ca="1" si="120"/>
        <v>9.1028446256361972E-2</v>
      </c>
      <c r="D1939" s="7">
        <f t="shared" ca="1" si="121"/>
        <v>7.8639636909628607E-2</v>
      </c>
      <c r="E1939" s="7">
        <f t="shared" ca="1" si="122"/>
        <v>0.66449484526676172</v>
      </c>
      <c r="F1939" s="7">
        <f t="shared" ca="1" si="123"/>
        <v>2.1808478105586993E-2</v>
      </c>
      <c r="G1939" s="7">
        <f ca="1">$C$11/(1+D1939)^1
 +$D$11/(1+D1939)^2
 +$E$11/(1+D1939)^3
 +$F$11/(1+D1939)^4
 +$G$11/(1+D1939)^5
 +$H$11/(1+D1939)^6
 +$I$11/(1+D1939)^7
 + ( $I$11*(1+F1939)/(D1939-F1939) )/(1+D1939)^7</f>
        <v>468.90178275043064</v>
      </c>
      <c r="H1939" s="7">
        <f ca="1">(G1939-$C$8)/$C$9</f>
        <v>2.5861136519133345</v>
      </c>
    </row>
    <row r="1940" spans="3:8" x14ac:dyDescent="0.35">
      <c r="C1940" s="8">
        <f t="shared" ca="1" si="120"/>
        <v>0.40544607439797131</v>
      </c>
      <c r="D1940" s="7">
        <f t="shared" ca="1" si="121"/>
        <v>8.8233644205323758E-2</v>
      </c>
      <c r="E1940" s="7">
        <f t="shared" ca="1" si="122"/>
        <v>0.17977362020818133</v>
      </c>
      <c r="F1940" s="7">
        <f t="shared" ca="1" si="123"/>
        <v>1.5996225816431221E-2</v>
      </c>
      <c r="G1940" s="7">
        <f ca="1">$C$11/(1+D1940)^1
 +$D$11/(1+D1940)^2
 +$E$11/(1+D1940)^3
 +$F$11/(1+D1940)^4
 +$G$11/(1+D1940)^5
 +$H$11/(1+D1940)^6
 +$I$11/(1+D1940)^7
 + ( $I$11*(1+F1940)/(D1940-F1940) )/(1+D1940)^7</f>
        <v>375.85229462901304</v>
      </c>
      <c r="H1940" s="7">
        <f ca="1">(G1940-$C$8)/$C$9</f>
        <v>2.060053678363936</v>
      </c>
    </row>
    <row r="1941" spans="3:8" x14ac:dyDescent="0.35">
      <c r="C1941" s="8">
        <f t="shared" ca="1" si="120"/>
        <v>0.13532390754571699</v>
      </c>
      <c r="D1941" s="7">
        <f t="shared" ca="1" si="121"/>
        <v>8.0534021273354628E-2</v>
      </c>
      <c r="E1941" s="7">
        <f t="shared" ca="1" si="122"/>
        <v>0.15085305994518472</v>
      </c>
      <c r="F1941" s="7">
        <f t="shared" ca="1" si="123"/>
        <v>1.549277816674194E-2</v>
      </c>
      <c r="G1941" s="7">
        <f ca="1">$C$11/(1+D1941)^1
 +$D$11/(1+D1941)^2
 +$E$11/(1+D1941)^3
 +$F$11/(1+D1941)^4
 +$G$11/(1+D1941)^5
 +$H$11/(1+D1941)^6
 +$I$11/(1+D1941)^7
 + ( $I$11*(1+F1941)/(D1941-F1941) )/(1+D1941)^7</f>
        <v>420.47219457309848</v>
      </c>
      <c r="H1941" s="7">
        <f ca="1">(G1941-$C$8)/$C$9</f>
        <v>2.3123145328646455</v>
      </c>
    </row>
    <row r="1942" spans="3:8" x14ac:dyDescent="0.35">
      <c r="C1942" s="8">
        <f t="shared" ca="1" si="120"/>
        <v>0.78739755724376992</v>
      </c>
      <c r="D1942" s="7">
        <f t="shared" ca="1" si="121"/>
        <v>9.7122503917691935E-2</v>
      </c>
      <c r="E1942" s="7">
        <f t="shared" ca="1" si="122"/>
        <v>0.93629613570394843</v>
      </c>
      <c r="F1942" s="7">
        <f t="shared" ca="1" si="123"/>
        <v>2.6430578077725985E-2</v>
      </c>
      <c r="G1942" s="7">
        <f ca="1">$C$11/(1+D1942)^1
 +$D$11/(1+D1942)^2
 +$E$11/(1+D1942)^3
 +$F$11/(1+D1942)^4
 +$G$11/(1+D1942)^5
 +$H$11/(1+D1942)^6
 +$I$11/(1+D1942)^7
 + ( $I$11*(1+F1942)/(D1942-F1942) )/(1+D1942)^7</f>
        <v>365.68075820918563</v>
      </c>
      <c r="H1942" s="7">
        <f ca="1">(G1942-$C$8)/$C$9</f>
        <v>2.0025483842672185</v>
      </c>
    </row>
    <row r="1943" spans="3:8" x14ac:dyDescent="0.35">
      <c r="C1943" s="8">
        <f t="shared" ca="1" si="120"/>
        <v>0.1635932136142616</v>
      </c>
      <c r="D1943" s="7">
        <f t="shared" ca="1" si="121"/>
        <v>8.1582160211449956E-2</v>
      </c>
      <c r="E1943" s="7">
        <f t="shared" ca="1" si="122"/>
        <v>9.1265281251310393E-2</v>
      </c>
      <c r="F1943" s="7">
        <f t="shared" ca="1" si="123"/>
        <v>1.427235956472089E-2</v>
      </c>
      <c r="G1943" s="7">
        <f ca="1">$C$11/(1+D1943)^1
 +$D$11/(1+D1943)^2
 +$E$11/(1+D1943)^3
 +$F$11/(1+D1943)^4
 +$G$11/(1+D1943)^5
 +$H$11/(1+D1943)^6
 +$I$11/(1+D1943)^7
 + ( $I$11*(1+F1943)/(D1943-F1943) )/(1+D1943)^7</f>
        <v>408.10279727938541</v>
      </c>
      <c r="H1943" s="7">
        <f ca="1">(G1943-$C$8)/$C$9</f>
        <v>2.2423835214800167</v>
      </c>
    </row>
    <row r="1944" spans="3:8" x14ac:dyDescent="0.35">
      <c r="C1944" s="8">
        <f t="shared" ca="1" si="120"/>
        <v>0.57483593651600162</v>
      </c>
      <c r="D1944" s="7">
        <f t="shared" ca="1" si="121"/>
        <v>9.1789344615925583E-2</v>
      </c>
      <c r="E1944" s="7">
        <f t="shared" ca="1" si="122"/>
        <v>0.20394114127848695</v>
      </c>
      <c r="F1944" s="7">
        <f t="shared" ca="1" si="123"/>
        <v>1.6386566233563805E-2</v>
      </c>
      <c r="G1944" s="7">
        <f ca="1">$C$11/(1+D1944)^1
 +$D$11/(1+D1944)^2
 +$E$11/(1+D1944)^3
 +$F$11/(1+D1944)^4
 +$G$11/(1+D1944)^5
 +$H$11/(1+D1944)^6
 +$I$11/(1+D1944)^7
 + ( $I$11*(1+F1944)/(D1944-F1944) )/(1+D1944)^7</f>
        <v>358.66609672273455</v>
      </c>
      <c r="H1944" s="7">
        <f ca="1">(G1944-$C$8)/$C$9</f>
        <v>1.9628906418065046</v>
      </c>
    </row>
    <row r="1945" spans="3:8" x14ac:dyDescent="0.35">
      <c r="C1945" s="8">
        <f t="shared" ca="1" si="120"/>
        <v>0.93540750461821431</v>
      </c>
      <c r="D1945" s="7">
        <f t="shared" ca="1" si="121"/>
        <v>0.10290196179231241</v>
      </c>
      <c r="E1945" s="7">
        <f t="shared" ca="1" si="122"/>
        <v>0.5442238706119471</v>
      </c>
      <c r="F1945" s="7">
        <f t="shared" ca="1" si="123"/>
        <v>2.0452475405760374E-2</v>
      </c>
      <c r="G1945" s="7">
        <f ca="1">$C$11/(1+D1945)^1
 +$D$11/(1+D1945)^2
 +$E$11/(1+D1945)^3
 +$F$11/(1+D1945)^4
 +$G$11/(1+D1945)^5
 +$H$11/(1+D1945)^6
 +$I$11/(1+D1945)^7
 + ( $I$11*(1+F1945)/(D1945-F1945) )/(1+D1945)^7</f>
        <v>320.41921999835267</v>
      </c>
      <c r="H1945" s="7">
        <f ca="1">(G1945-$C$8)/$C$9</f>
        <v>1.7466599954678463</v>
      </c>
    </row>
    <row r="1946" spans="3:8" x14ac:dyDescent="0.35">
      <c r="C1946" s="8">
        <f t="shared" ca="1" si="120"/>
        <v>0.85979389407345974</v>
      </c>
      <c r="D1946" s="7">
        <f t="shared" ca="1" si="121"/>
        <v>9.9542430367303245E-2</v>
      </c>
      <c r="E1946" s="7">
        <f t="shared" ca="1" si="122"/>
        <v>0.60764449984255164</v>
      </c>
      <c r="F1946" s="7">
        <f t="shared" ca="1" si="123"/>
        <v>2.1141608496375336E-2</v>
      </c>
      <c r="G1946" s="7">
        <f ca="1">$C$11/(1+D1946)^1
 +$D$11/(1+D1946)^2
 +$E$11/(1+D1946)^3
 +$F$11/(1+D1946)^4
 +$G$11/(1+D1946)^5
 +$H$11/(1+D1946)^6
 +$I$11/(1+D1946)^7
 + ( $I$11*(1+F1946)/(D1946-F1946) )/(1+D1946)^7</f>
        <v>336.66053630314286</v>
      </c>
      <c r="H1946" s="7">
        <f ca="1">(G1946-$C$8)/$C$9</f>
        <v>1.8384810962411966</v>
      </c>
    </row>
    <row r="1947" spans="3:8" x14ac:dyDescent="0.35">
      <c r="C1947" s="8">
        <f t="shared" ca="1" si="120"/>
        <v>4.2197285252062566E-2</v>
      </c>
      <c r="D1947" s="7">
        <f t="shared" ca="1" si="121"/>
        <v>7.5882327252600912E-2</v>
      </c>
      <c r="E1947" s="7">
        <f t="shared" ca="1" si="122"/>
        <v>0.6939762709434677</v>
      </c>
      <c r="F1947" s="7">
        <f t="shared" ca="1" si="123"/>
        <v>2.2176653797043974E-2</v>
      </c>
      <c r="G1947" s="7">
        <f ca="1">$C$11/(1+D1947)^1
 +$D$11/(1+D1947)^2
 +$E$11/(1+D1947)^3
 +$F$11/(1+D1947)^4
 +$G$11/(1+D1947)^5
 +$H$11/(1+D1947)^6
 +$I$11/(1+D1947)^7
 + ( $I$11*(1+F1947)/(D1947-F1947) )/(1+D1947)^7</f>
        <v>496.23182677752339</v>
      </c>
      <c r="H1947" s="7">
        <f ca="1">(G1947-$C$8)/$C$9</f>
        <v>2.7406254340656004</v>
      </c>
    </row>
    <row r="1948" spans="3:8" x14ac:dyDescent="0.35">
      <c r="C1948" s="8">
        <f t="shared" ca="1" si="120"/>
        <v>0.76121280893976229</v>
      </c>
      <c r="D1948" s="7">
        <f t="shared" ca="1" si="121"/>
        <v>9.6352509057449964E-2</v>
      </c>
      <c r="E1948" s="7">
        <f t="shared" ca="1" si="122"/>
        <v>0.6616189395300377</v>
      </c>
      <c r="F1948" s="7">
        <f t="shared" ca="1" si="123"/>
        <v>2.1773444700605701E-2</v>
      </c>
      <c r="G1948" s="7">
        <f ca="1">$C$11/(1+D1948)^1
 +$D$11/(1+D1948)^2
 +$E$11/(1+D1948)^3
 +$F$11/(1+D1948)^4
 +$G$11/(1+D1948)^5
 +$H$11/(1+D1948)^6
 +$I$11/(1+D1948)^7
 + ( $I$11*(1+F1948)/(D1948-F1948) )/(1+D1948)^7</f>
        <v>353.63107559744901</v>
      </c>
      <c r="H1948" s="7">
        <f ca="1">(G1948-$C$8)/$C$9</f>
        <v>1.9344248959602499</v>
      </c>
    </row>
    <row r="1949" spans="3:8" x14ac:dyDescent="0.35">
      <c r="C1949" s="8">
        <f t="shared" ca="1" si="120"/>
        <v>1.1597263724915097E-3</v>
      </c>
      <c r="D1949" s="7">
        <f t="shared" ca="1" si="121"/>
        <v>7.097517979134263E-2</v>
      </c>
      <c r="E1949" s="7">
        <f t="shared" ca="1" si="122"/>
        <v>0.49377371906404754</v>
      </c>
      <c r="F1949" s="7">
        <f t="shared" ca="1" si="123"/>
        <v>1.9937542141435654E-2</v>
      </c>
      <c r="G1949" s="7">
        <f ca="1">$C$11/(1+D1949)^1
 +$D$11/(1+D1949)^2
 +$E$11/(1+D1949)^3
 +$F$11/(1+D1949)^4
 +$G$11/(1+D1949)^5
 +$H$11/(1+D1949)^6
 +$I$11/(1+D1949)^7
 + ( $I$11*(1+F1949)/(D1949-F1949) )/(1+D1949)^7</f>
        <v>529.00942222769936</v>
      </c>
      <c r="H1949" s="7">
        <f ca="1">(G1949-$C$8)/$C$9</f>
        <v>2.9259352229064866</v>
      </c>
    </row>
    <row r="1950" spans="3:8" x14ac:dyDescent="0.35">
      <c r="C1950" s="8">
        <f t="shared" ca="1" si="120"/>
        <v>0.68400029926190309</v>
      </c>
      <c r="D1950" s="7">
        <f t="shared" ca="1" si="121"/>
        <v>9.4300325908614674E-2</v>
      </c>
      <c r="E1950" s="7">
        <f t="shared" ca="1" si="122"/>
        <v>0.13959273966342967</v>
      </c>
      <c r="F1950" s="7">
        <f t="shared" ca="1" si="123"/>
        <v>1.5283800519766614E-2</v>
      </c>
      <c r="G1950" s="7">
        <f ca="1">$C$11/(1+D1950)^1
 +$D$11/(1+D1950)^2
 +$E$11/(1+D1950)^3
 +$F$11/(1+D1950)^4
 +$G$11/(1+D1950)^5
 +$H$11/(1+D1950)^6
 +$I$11/(1+D1950)^7
 + ( $I$11*(1+F1950)/(D1950-F1950) )/(1+D1950)^7</f>
        <v>343.26094403563616</v>
      </c>
      <c r="H1950" s="7">
        <f ca="1">(G1950-$C$8)/$C$9</f>
        <v>1.8757968342132301</v>
      </c>
    </row>
    <row r="1951" spans="3:8" x14ac:dyDescent="0.35">
      <c r="C1951" s="8">
        <f t="shared" ca="1" si="120"/>
        <v>0.90591419159399111</v>
      </c>
      <c r="D1951" s="7">
        <f t="shared" ca="1" si="121"/>
        <v>0.10143338278217785</v>
      </c>
      <c r="E1951" s="7">
        <f t="shared" ca="1" si="122"/>
        <v>0.47652598343360708</v>
      </c>
      <c r="F1951" s="7">
        <f t="shared" ca="1" si="123"/>
        <v>1.9762438050339753E-2</v>
      </c>
      <c r="G1951" s="7">
        <f ca="1">$C$11/(1+D1951)^1
 +$D$11/(1+D1951)^2
 +$E$11/(1+D1951)^3
 +$F$11/(1+D1951)^4
 +$G$11/(1+D1951)^5
 +$H$11/(1+D1951)^6
 +$I$11/(1+D1951)^7
 + ( $I$11*(1+F1951)/(D1951-F1951) )/(1+D1951)^7</f>
        <v>324.6612018130449</v>
      </c>
      <c r="H1951" s="7">
        <f ca="1">(G1951-$C$8)/$C$9</f>
        <v>1.7706422535789512</v>
      </c>
    </row>
    <row r="1952" spans="3:8" x14ac:dyDescent="0.35">
      <c r="C1952" s="8">
        <f t="shared" ca="1" si="120"/>
        <v>0.8946276490180205</v>
      </c>
      <c r="D1952" s="7">
        <f t="shared" ca="1" si="121"/>
        <v>0.1009341060139695</v>
      </c>
      <c r="E1952" s="7">
        <f t="shared" ca="1" si="122"/>
        <v>0.53476758544645575</v>
      </c>
      <c r="F1952" s="7">
        <f t="shared" ca="1" si="123"/>
        <v>2.0353939513422653E-2</v>
      </c>
      <c r="G1952" s="7">
        <f ca="1">$C$11/(1+D1952)^1
 +$D$11/(1+D1952)^2
 +$E$11/(1+D1952)^3
 +$F$11/(1+D1952)^4
 +$G$11/(1+D1952)^5
 +$H$11/(1+D1952)^6
 +$I$11/(1+D1952)^7
 + ( $I$11*(1+F1952)/(D1952-F1952) )/(1+D1952)^7</f>
        <v>328.35555875700152</v>
      </c>
      <c r="H1952" s="7">
        <f ca="1">(G1952-$C$8)/$C$9</f>
        <v>1.7915284868668109</v>
      </c>
    </row>
    <row r="1953" spans="3:8" x14ac:dyDescent="0.35">
      <c r="C1953" s="8">
        <f t="shared" ca="1" si="120"/>
        <v>0.20579193744906965</v>
      </c>
      <c r="D1953" s="7">
        <f t="shared" ca="1" si="121"/>
        <v>8.2990357528114345E-2</v>
      </c>
      <c r="E1953" s="7">
        <f t="shared" ca="1" si="122"/>
        <v>0.79564699891304635</v>
      </c>
      <c r="F1953" s="7">
        <f t="shared" ca="1" si="123"/>
        <v>2.3606988173216732E-2</v>
      </c>
      <c r="G1953" s="7">
        <f ca="1">$C$11/(1+D1953)^1
 +$D$11/(1+D1953)^2
 +$E$11/(1+D1953)^3
 +$F$11/(1+D1953)^4
 +$G$11/(1+D1953)^5
 +$H$11/(1+D1953)^6
 +$I$11/(1+D1953)^7
 + ( $I$11*(1+F1953)/(D1953-F1953) )/(1+D1953)^7</f>
        <v>444.08417712785553</v>
      </c>
      <c r="H1953" s="7">
        <f ca="1">(G1953-$C$8)/$C$9</f>
        <v>2.4458060669824486</v>
      </c>
    </row>
    <row r="1954" spans="3:8" x14ac:dyDescent="0.35">
      <c r="C1954" s="8">
        <f t="shared" ca="1" si="120"/>
        <v>0.26910559150440005</v>
      </c>
      <c r="D1954" s="7">
        <f t="shared" ca="1" si="121"/>
        <v>8.4854850555748054E-2</v>
      </c>
      <c r="E1954" s="7">
        <f t="shared" ca="1" si="122"/>
        <v>0.46364918977511427</v>
      </c>
      <c r="F1954" s="7">
        <f t="shared" ca="1" si="123"/>
        <v>1.9629633324017216E-2</v>
      </c>
      <c r="G1954" s="7">
        <f ca="1">$C$11/(1+D1954)^1
 +$D$11/(1+D1954)^2
 +$E$11/(1+D1954)^3
 +$F$11/(1+D1954)^4
 +$G$11/(1+D1954)^5
 +$H$11/(1+D1954)^6
 +$I$11/(1+D1954)^7
 + ( $I$11*(1+F1954)/(D1954-F1954) )/(1+D1954)^7</f>
        <v>410.82993507469536</v>
      </c>
      <c r="H1954" s="7">
        <f ca="1">(G1954-$C$8)/$C$9</f>
        <v>2.2578015325344603</v>
      </c>
    </row>
    <row r="1955" spans="3:8" x14ac:dyDescent="0.35">
      <c r="C1955" s="8">
        <f t="shared" ca="1" si="120"/>
        <v>0.76269331091867032</v>
      </c>
      <c r="D1955" s="7">
        <f t="shared" ca="1" si="121"/>
        <v>9.6394882672926438E-2</v>
      </c>
      <c r="E1955" s="7">
        <f t="shared" ca="1" si="122"/>
        <v>0.99376199440078206</v>
      </c>
      <c r="F1955" s="7">
        <f t="shared" ca="1" si="123"/>
        <v>2.8883039338273908E-2</v>
      </c>
      <c r="G1955" s="7">
        <f ca="1">$C$11/(1+D1955)^1
 +$D$11/(1+D1955)^2
 +$E$11/(1+D1955)^3
 +$F$11/(1+D1955)^4
 +$G$11/(1+D1955)^5
 +$H$11/(1+D1955)^6
 +$I$11/(1+D1955)^7
 + ( $I$11*(1+F1955)/(D1955-F1955) )/(1+D1955)^7</f>
        <v>379.05464097938324</v>
      </c>
      <c r="H1955" s="7">
        <f ca="1">(G1955-$C$8)/$C$9</f>
        <v>2.0781583049490231</v>
      </c>
    </row>
    <row r="1956" spans="3:8" x14ac:dyDescent="0.35">
      <c r="C1956" s="8">
        <f t="shared" ca="1" si="120"/>
        <v>0.63886753037821431</v>
      </c>
      <c r="D1956" s="7">
        <f t="shared" ca="1" si="121"/>
        <v>9.3216575846836472E-2</v>
      </c>
      <c r="E1956" s="7">
        <f t="shared" ca="1" si="122"/>
        <v>0.59703740490497381</v>
      </c>
      <c r="F1956" s="7">
        <f t="shared" ca="1" si="123"/>
        <v>2.1022666374752176E-2</v>
      </c>
      <c r="G1956" s="7">
        <f ca="1">$C$11/(1+D1956)^1
 +$D$11/(1+D1956)^2
 +$E$11/(1+D1956)^3
 +$F$11/(1+D1956)^4
 +$G$11/(1+D1956)^5
 +$H$11/(1+D1956)^6
 +$I$11/(1+D1956)^7
 + ( $I$11*(1+F1956)/(D1956-F1956) )/(1+D1956)^7</f>
        <v>367.13094858911063</v>
      </c>
      <c r="H1956" s="7">
        <f ca="1">(G1956-$C$8)/$C$9</f>
        <v>2.0107471087127466</v>
      </c>
    </row>
    <row r="1957" spans="3:8" x14ac:dyDescent="0.35">
      <c r="C1957" s="8">
        <f t="shared" ca="1" si="120"/>
        <v>8.5159549294608894E-3</v>
      </c>
      <c r="D1957" s="7">
        <f t="shared" ca="1" si="121"/>
        <v>7.2642552372642402E-2</v>
      </c>
      <c r="E1957" s="7">
        <f t="shared" ca="1" si="122"/>
        <v>0.70164838633831583</v>
      </c>
      <c r="F1957" s="7">
        <f t="shared" ca="1" si="123"/>
        <v>2.2275343196469059E-2</v>
      </c>
      <c r="G1957" s="7">
        <f ca="1">$C$11/(1+D1957)^1
 +$D$11/(1+D1957)^2
 +$E$11/(1+D1957)^3
 +$F$11/(1+D1957)^4
 +$G$11/(1+D1957)^5
 +$H$11/(1+D1957)^6
 +$I$11/(1+D1957)^7
 + ( $I$11*(1+F1957)/(D1957-F1957) )/(1+D1957)^7</f>
        <v>529.95756479532088</v>
      </c>
      <c r="H1957" s="7">
        <f ca="1">(G1957-$C$8)/$C$9</f>
        <v>2.9312955947270516</v>
      </c>
    </row>
    <row r="1958" spans="3:8" x14ac:dyDescent="0.35">
      <c r="C1958" s="8">
        <f t="shared" ca="1" si="120"/>
        <v>0.17745161063901826</v>
      </c>
      <c r="D1958" s="7">
        <f t="shared" ca="1" si="121"/>
        <v>8.2062765882002148E-2</v>
      </c>
      <c r="E1958" s="7">
        <f t="shared" ca="1" si="122"/>
        <v>0.36991709643519977</v>
      </c>
      <c r="F1958" s="7">
        <f t="shared" ca="1" si="123"/>
        <v>1.8601361478686962E-2</v>
      </c>
      <c r="G1958" s="7">
        <f ca="1">$C$11/(1+D1958)^1
 +$D$11/(1+D1958)^2
 +$E$11/(1+D1958)^3
 +$F$11/(1+D1958)^4
 +$G$11/(1+D1958)^5
 +$H$11/(1+D1958)^6
 +$I$11/(1+D1958)^7
 + ( $I$11*(1+F1958)/(D1958-F1958) )/(1+D1958)^7</f>
        <v>424.85385154680523</v>
      </c>
      <c r="H1958" s="7">
        <f ca="1">(G1958-$C$8)/$C$9</f>
        <v>2.337086451531011</v>
      </c>
    </row>
    <row r="1959" spans="3:8" x14ac:dyDescent="0.35">
      <c r="C1959" s="8">
        <f t="shared" ca="1" si="120"/>
        <v>0.26577801656994271</v>
      </c>
      <c r="D1959" s="7">
        <f t="shared" ca="1" si="121"/>
        <v>8.4762722431426837E-2</v>
      </c>
      <c r="E1959" s="7">
        <f t="shared" ca="1" si="122"/>
        <v>0.4092126201500027</v>
      </c>
      <c r="F1959" s="7">
        <f t="shared" ca="1" si="123"/>
        <v>1.9046685803652104E-2</v>
      </c>
      <c r="G1959" s="7">
        <f ca="1">$C$11/(1+D1959)^1
 +$D$11/(1+D1959)^2
 +$E$11/(1+D1959)^3
 +$F$11/(1+D1959)^4
 +$G$11/(1+D1959)^5
 +$H$11/(1+D1959)^6
 +$I$11/(1+D1959)^7
 + ( $I$11*(1+F1959)/(D1959-F1959) )/(1+D1959)^7</f>
        <v>408.79745499575154</v>
      </c>
      <c r="H1959" s="7">
        <f ca="1">(G1959-$C$8)/$C$9</f>
        <v>2.2463108039108519</v>
      </c>
    </row>
    <row r="1960" spans="3:8" x14ac:dyDescent="0.35">
      <c r="C1960" s="8">
        <f t="shared" ca="1" si="120"/>
        <v>0.61139889849020057</v>
      </c>
      <c r="D1960" s="7">
        <f t="shared" ca="1" si="121"/>
        <v>9.2589978197094538E-2</v>
      </c>
      <c r="E1960" s="7">
        <f t="shared" ca="1" si="122"/>
        <v>0.57888302630937194</v>
      </c>
      <c r="F1960" s="7">
        <f t="shared" ca="1" si="123"/>
        <v>2.0822669520055105E-2</v>
      </c>
      <c r="G1960" s="7">
        <f ca="1">$C$11/(1+D1960)^1
 +$D$11/(1+D1960)^2
 +$E$11/(1+D1960)^3
 +$F$11/(1+D1960)^4
 +$G$11/(1+D1960)^5
 +$H$11/(1+D1960)^6
 +$I$11/(1+D1960)^7
 + ( $I$11*(1+F1960)/(D1960-F1960) )/(1+D1960)^7</f>
        <v>369.75983125361057</v>
      </c>
      <c r="H1960" s="7">
        <f ca="1">(G1960-$C$8)/$C$9</f>
        <v>2.025609629430182</v>
      </c>
    </row>
    <row r="1961" spans="3:8" x14ac:dyDescent="0.35">
      <c r="C1961" s="8">
        <f t="shared" ca="1" si="120"/>
        <v>0.80721807943733026</v>
      </c>
      <c r="D1961" s="7">
        <f t="shared" ca="1" si="121"/>
        <v>9.7737459560153034E-2</v>
      </c>
      <c r="E1961" s="7">
        <f t="shared" ca="1" si="122"/>
        <v>0.60125739579562587</v>
      </c>
      <c r="F1961" s="7">
        <f t="shared" ca="1" si="123"/>
        <v>2.106979726764981E-2</v>
      </c>
      <c r="G1961" s="7">
        <f ca="1">$C$11/(1+D1961)^1
 +$D$11/(1+D1961)^2
 +$E$11/(1+D1961)^3
 +$F$11/(1+D1961)^4
 +$G$11/(1+D1961)^5
 +$H$11/(1+D1961)^6
 +$I$11/(1+D1961)^7
 + ( $I$11*(1+F1961)/(D1961-F1961) )/(1+D1961)^7</f>
        <v>344.73079576745459</v>
      </c>
      <c r="H1961" s="7">
        <f ca="1">(G1961-$C$8)/$C$9</f>
        <v>1.8841067151032032</v>
      </c>
    </row>
    <row r="1962" spans="3:8" x14ac:dyDescent="0.35">
      <c r="C1962" s="8">
        <f t="shared" ca="1" si="120"/>
        <v>0.97874063588411486</v>
      </c>
      <c r="D1962" s="7">
        <f t="shared" ca="1" si="121"/>
        <v>0.1059278624764885</v>
      </c>
      <c r="E1962" s="7">
        <f t="shared" ca="1" si="122"/>
        <v>0.66700595293136367</v>
      </c>
      <c r="F1962" s="7">
        <f t="shared" ca="1" si="123"/>
        <v>2.1839190639787787E-2</v>
      </c>
      <c r="G1962" s="7">
        <f ca="1">$C$11/(1+D1962)^1
 +$D$11/(1+D1962)^2
 +$E$11/(1+D1962)^3
 +$F$11/(1+D1962)^4
 +$G$11/(1+D1962)^5
 +$H$11/(1+D1962)^6
 +$I$11/(1+D1962)^7
 + ( $I$11*(1+F1962)/(D1962-F1962) )/(1+D1962)^7</f>
        <v>311.87199438598554</v>
      </c>
      <c r="H1962" s="7">
        <f ca="1">(G1962-$C$8)/$C$9</f>
        <v>1.698337824434563</v>
      </c>
    </row>
    <row r="1963" spans="3:8" x14ac:dyDescent="0.35">
      <c r="C1963" s="8">
        <f t="shared" ca="1" si="120"/>
        <v>0.94774509326894019</v>
      </c>
      <c r="D1963" s="7">
        <f t="shared" ca="1" si="121"/>
        <v>0.10361573596643853</v>
      </c>
      <c r="E1963" s="7">
        <f t="shared" ca="1" si="122"/>
        <v>0.34970464166884319</v>
      </c>
      <c r="F1963" s="7">
        <f t="shared" ca="1" si="123"/>
        <v>1.8363069312983638E-2</v>
      </c>
      <c r="G1963" s="7">
        <f ca="1">$C$11/(1+D1963)^1
 +$D$11/(1+D1963)^2
 +$E$11/(1+D1963)^3
 +$F$11/(1+D1963)^4
 +$G$11/(1+D1963)^5
 +$H$11/(1+D1963)^6
 +$I$11/(1+D1963)^7
 + ( $I$11*(1+F1963)/(D1963-F1963) )/(1+D1963)^7</f>
        <v>312.39362430536301</v>
      </c>
      <c r="H1963" s="7">
        <f ca="1">(G1963-$C$8)/$C$9</f>
        <v>1.7012868854893881</v>
      </c>
    </row>
    <row r="1964" spans="3:8" x14ac:dyDescent="0.35">
      <c r="C1964" s="8">
        <f t="shared" ca="1" si="120"/>
        <v>0.10595113285173763</v>
      </c>
      <c r="D1964" s="7">
        <f t="shared" ca="1" si="121"/>
        <v>7.9320940346253963E-2</v>
      </c>
      <c r="E1964" s="7">
        <f t="shared" ca="1" si="122"/>
        <v>0.93592884505026464</v>
      </c>
      <c r="F1964" s="7">
        <f t="shared" ca="1" si="123"/>
        <v>2.642030294718295E-2</v>
      </c>
      <c r="G1964" s="7">
        <f ca="1">$C$11/(1+D1964)^1
 +$D$11/(1+D1964)^2
 +$E$11/(1+D1964)^3
 +$F$11/(1+D1964)^4
 +$G$11/(1+D1964)^5
 +$H$11/(1+D1964)^6
 +$I$11/(1+D1964)^7
 + ( $I$11*(1+F1964)/(D1964-F1964) )/(1+D1964)^7</f>
        <v>493.40469744149186</v>
      </c>
      <c r="H1964" s="7">
        <f ca="1">(G1964-$C$8)/$C$9</f>
        <v>2.7246421157931469</v>
      </c>
    </row>
    <row r="1965" spans="3:8" x14ac:dyDescent="0.35">
      <c r="C1965" s="8">
        <f t="shared" ca="1" si="120"/>
        <v>0.40960865051522444</v>
      </c>
      <c r="D1965" s="7">
        <f t="shared" ca="1" si="121"/>
        <v>8.8327004485798652E-2</v>
      </c>
      <c r="E1965" s="7">
        <f t="shared" ca="1" si="122"/>
        <v>0.39880096520940767</v>
      </c>
      <c r="F1965" s="7">
        <f t="shared" ca="1" si="123"/>
        <v>1.8930856232292709E-2</v>
      </c>
      <c r="G1965" s="7">
        <f ca="1">$C$11/(1+D1965)^1
 +$D$11/(1+D1965)^2
 +$E$11/(1+D1965)^3
 +$F$11/(1+D1965)^4
 +$G$11/(1+D1965)^5
 +$H$11/(1+D1965)^6
 +$I$11/(1+D1965)^7
 + ( $I$11*(1+F1965)/(D1965-F1965) )/(1+D1965)^7</f>
        <v>386.44463561499464</v>
      </c>
      <c r="H1965" s="7">
        <f ca="1">(G1965-$C$8)/$C$9</f>
        <v>2.119938012296442</v>
      </c>
    </row>
    <row r="1966" spans="3:8" x14ac:dyDescent="0.35">
      <c r="C1966" s="8">
        <f t="shared" ca="1" si="120"/>
        <v>0.64518273786930425</v>
      </c>
      <c r="D1966" s="7">
        <f t="shared" ca="1" si="121"/>
        <v>9.3363970892609532E-2</v>
      </c>
      <c r="E1966" s="7">
        <f t="shared" ca="1" si="122"/>
        <v>0.57526101427218101</v>
      </c>
      <c r="F1966" s="7">
        <f t="shared" ca="1" si="123"/>
        <v>2.0783287074799185E-2</v>
      </c>
      <c r="G1966" s="7">
        <f ca="1">$C$11/(1+D1966)^1
 +$D$11/(1+D1966)^2
 +$E$11/(1+D1966)^3
 +$F$11/(1+D1966)^4
 +$G$11/(1+D1966)^5
 +$H$11/(1+D1966)^6
 +$I$11/(1+D1966)^7
 + ( $I$11*(1+F1966)/(D1966-F1966) )/(1+D1966)^7</f>
        <v>365.5092117415183</v>
      </c>
      <c r="H1966" s="7">
        <f ca="1">(G1966-$C$8)/$C$9</f>
        <v>2.0015785376612296</v>
      </c>
    </row>
    <row r="1967" spans="3:8" x14ac:dyDescent="0.35">
      <c r="C1967" s="8">
        <f t="shared" ca="1" si="120"/>
        <v>0.84431663743589325</v>
      </c>
      <c r="D1967" s="7">
        <f t="shared" ca="1" si="121"/>
        <v>9.8980334723776625E-2</v>
      </c>
      <c r="E1967" s="7">
        <f t="shared" ca="1" si="122"/>
        <v>0.89749167171333089</v>
      </c>
      <c r="F1967" s="7">
        <f t="shared" ca="1" si="123"/>
        <v>2.5472123493586223E-2</v>
      </c>
      <c r="G1967" s="7">
        <f ca="1">$C$11/(1+D1967)^1
 +$D$11/(1+D1967)^2
 +$E$11/(1+D1967)^3
 +$F$11/(1+D1967)^4
 +$G$11/(1+D1967)^5
 +$H$11/(1+D1967)^6
 +$I$11/(1+D1967)^7
 + ( $I$11*(1+F1967)/(D1967-F1967) )/(1+D1967)^7</f>
        <v>352.75487649397445</v>
      </c>
      <c r="H1967" s="7">
        <f ca="1">(G1967-$C$8)/$C$9</f>
        <v>1.929471260142325</v>
      </c>
    </row>
    <row r="1968" spans="3:8" x14ac:dyDescent="0.35">
      <c r="C1968" s="8">
        <f t="shared" ca="1" si="120"/>
        <v>0.75595233776979098</v>
      </c>
      <c r="D1968" s="7">
        <f t="shared" ca="1" si="121"/>
        <v>9.6203001176358577E-2</v>
      </c>
      <c r="E1968" s="7">
        <f t="shared" ca="1" si="122"/>
        <v>0.42767882693305526</v>
      </c>
      <c r="F1968" s="7">
        <f t="shared" ca="1" si="123"/>
        <v>1.9248554772861057E-2</v>
      </c>
      <c r="G1968" s="7">
        <f ca="1">$C$11/(1+D1968)^1
 +$D$11/(1+D1968)^2
 +$E$11/(1+D1968)^3
 +$F$11/(1+D1968)^4
 +$G$11/(1+D1968)^5
 +$H$11/(1+D1968)^6
 +$I$11/(1+D1968)^7
 + ( $I$11*(1+F1968)/(D1968-F1968) )/(1+D1968)^7</f>
        <v>346.35653362477672</v>
      </c>
      <c r="H1968" s="7">
        <f ca="1">(G1968-$C$8)/$C$9</f>
        <v>1.8932979060649973</v>
      </c>
    </row>
    <row r="1969" spans="3:8" x14ac:dyDescent="0.35">
      <c r="C1969" s="8">
        <f t="shared" ca="1" si="120"/>
        <v>0.61638297996178382</v>
      </c>
      <c r="D1969" s="7">
        <f t="shared" ca="1" si="121"/>
        <v>9.2701986367510036E-2</v>
      </c>
      <c r="E1969" s="7">
        <f t="shared" ca="1" si="122"/>
        <v>0.61084614127875947</v>
      </c>
      <c r="F1969" s="7">
        <f t="shared" ca="1" si="123"/>
        <v>2.1177824999227907E-2</v>
      </c>
      <c r="G1969" s="7">
        <f ca="1">$C$11/(1+D1969)^1
 +$D$11/(1+D1969)^2
 +$E$11/(1+D1969)^3
 +$F$11/(1+D1969)^4
 +$G$11/(1+D1969)^5
 +$H$11/(1+D1969)^6
 +$I$11/(1+D1969)^7
 + ( $I$11*(1+F1969)/(D1969-F1969) )/(1+D1969)^7</f>
        <v>370.43959099850372</v>
      </c>
      <c r="H1969" s="7">
        <f ca="1">(G1969-$C$8)/$C$9</f>
        <v>2.0294526854279948</v>
      </c>
    </row>
    <row r="1970" spans="3:8" x14ac:dyDescent="0.35">
      <c r="C1970" s="8">
        <f t="shared" ca="1" si="120"/>
        <v>0.20458817384785677</v>
      </c>
      <c r="D1970" s="7">
        <f t="shared" ca="1" si="121"/>
        <v>8.2952308773158651E-2</v>
      </c>
      <c r="E1970" s="7">
        <f t="shared" ca="1" si="122"/>
        <v>0.19408495443698792</v>
      </c>
      <c r="F1970" s="7">
        <f t="shared" ca="1" si="123"/>
        <v>1.6230328312970159E-2</v>
      </c>
      <c r="G1970" s="7">
        <f ca="1">$C$11/(1+D1970)^1
 +$D$11/(1+D1970)^2
 +$E$11/(1+D1970)^3
 +$F$11/(1+D1970)^4
 +$G$11/(1+D1970)^5
 +$H$11/(1+D1970)^6
 +$I$11/(1+D1970)^7
 + ( $I$11*(1+F1970)/(D1970-F1970) )/(1+D1970)^7</f>
        <v>407.94134009335482</v>
      </c>
      <c r="H1970" s="7">
        <f ca="1">(G1970-$C$8)/$C$9</f>
        <v>2.2414707151365603</v>
      </c>
    </row>
    <row r="1971" spans="3:8" x14ac:dyDescent="0.35">
      <c r="C1971" s="8">
        <f t="shared" ca="1" si="120"/>
        <v>0.82506276285379465</v>
      </c>
      <c r="D1971" s="7">
        <f t="shared" ca="1" si="121"/>
        <v>9.8318773824035421E-2</v>
      </c>
      <c r="E1971" s="7">
        <f t="shared" ca="1" si="122"/>
        <v>7.9630474401089835E-2</v>
      </c>
      <c r="F1971" s="7">
        <f t="shared" ca="1" si="123"/>
        <v>1.3990751167414221E-2</v>
      </c>
      <c r="G1971" s="7">
        <f ca="1">$C$11/(1+D1971)^1
 +$D$11/(1+D1971)^2
 +$E$11/(1+D1971)^3
 +$F$11/(1+D1971)^4
 +$G$11/(1+D1971)^5
 +$H$11/(1+D1971)^6
 +$I$11/(1+D1971)^7
 + ( $I$11*(1+F1971)/(D1971-F1971) )/(1+D1971)^7</f>
        <v>322.49034127922499</v>
      </c>
      <c r="H1971" s="7">
        <f ca="1">(G1971-$C$8)/$C$9</f>
        <v>1.7583691840752202</v>
      </c>
    </row>
    <row r="1972" spans="3:8" x14ac:dyDescent="0.35">
      <c r="C1972" s="8">
        <f t="shared" ca="1" si="120"/>
        <v>0.3900446164326784</v>
      </c>
      <c r="D1972" s="7">
        <f t="shared" ca="1" si="121"/>
        <v>8.7883975661882247E-2</v>
      </c>
      <c r="E1972" s="7">
        <f t="shared" ca="1" si="122"/>
        <v>0.91572698747498271</v>
      </c>
      <c r="F1972" s="7">
        <f t="shared" ca="1" si="123"/>
        <v>2.5894564273429253E-2</v>
      </c>
      <c r="G1972" s="7">
        <f ca="1">$C$11/(1+D1972)^1
 +$D$11/(1+D1972)^2
 +$E$11/(1+D1972)^3
 +$F$11/(1+D1972)^4
 +$G$11/(1+D1972)^5
 +$H$11/(1+D1972)^6
 +$I$11/(1+D1972)^7
 + ( $I$11*(1+F1972)/(D1972-F1972) )/(1+D1972)^7</f>
        <v>420.04289183297828</v>
      </c>
      <c r="H1972" s="7">
        <f ca="1">(G1972-$C$8)/$C$9</f>
        <v>2.3098874481737806</v>
      </c>
    </row>
    <row r="1973" spans="3:8" x14ac:dyDescent="0.35">
      <c r="C1973" s="8">
        <f t="shared" ca="1" si="120"/>
        <v>0.66738046938051498</v>
      </c>
      <c r="D1973" s="7">
        <f t="shared" ca="1" si="121"/>
        <v>9.3892758340324123E-2</v>
      </c>
      <c r="E1973" s="7">
        <f t="shared" ca="1" si="122"/>
        <v>0.22969613970743097</v>
      </c>
      <c r="F1973" s="7">
        <f t="shared" ca="1" si="123"/>
        <v>1.677784832682808E-2</v>
      </c>
      <c r="G1973" s="7">
        <f ca="1">$C$11/(1+D1973)^1
 +$D$11/(1+D1973)^2
 +$E$11/(1+D1973)^3
 +$F$11/(1+D1973)^4
 +$G$11/(1+D1973)^5
 +$H$11/(1+D1973)^6
 +$I$11/(1+D1973)^7
 + ( $I$11*(1+F1973)/(D1973-F1973) )/(1+D1973)^7</f>
        <v>349.66995816374526</v>
      </c>
      <c r="H1973" s="7">
        <f ca="1">(G1973-$C$8)/$C$9</f>
        <v>1.9120305187909614</v>
      </c>
    </row>
    <row r="1974" spans="3:8" x14ac:dyDescent="0.35">
      <c r="C1974" s="8">
        <f t="shared" ca="1" si="120"/>
        <v>0.8011957642861337</v>
      </c>
      <c r="D1974" s="7">
        <f t="shared" ca="1" si="121"/>
        <v>9.7547397707434175E-2</v>
      </c>
      <c r="E1974" s="7">
        <f t="shared" ca="1" si="122"/>
        <v>0.87136880848972209</v>
      </c>
      <c r="F1974" s="7">
        <f t="shared" ca="1" si="123"/>
        <v>2.4927896067502599E-2</v>
      </c>
      <c r="G1974" s="7">
        <f ca="1">$C$11/(1+D1974)^1
 +$D$11/(1+D1974)^2
 +$E$11/(1+D1974)^3
 +$F$11/(1+D1974)^4
 +$G$11/(1+D1974)^5
 +$H$11/(1+D1974)^6
 +$I$11/(1+D1974)^7
 + ( $I$11*(1+F1974)/(D1974-F1974) )/(1+D1974)^7</f>
        <v>358.16394046879219</v>
      </c>
      <c r="H1974" s="7">
        <f ca="1">(G1974-$C$8)/$C$9</f>
        <v>1.9600516761012674</v>
      </c>
    </row>
    <row r="1975" spans="3:8" x14ac:dyDescent="0.35">
      <c r="C1975" s="8">
        <f t="shared" ca="1" si="120"/>
        <v>0.89339578612232118</v>
      </c>
      <c r="D1975" s="7">
        <f t="shared" ca="1" si="121"/>
        <v>0.1008812672577496</v>
      </c>
      <c r="E1975" s="7">
        <f t="shared" ca="1" si="122"/>
        <v>0.26728110931946292</v>
      </c>
      <c r="F1975" s="7">
        <f t="shared" ca="1" si="123"/>
        <v>1.7311376194937077E-2</v>
      </c>
      <c r="G1975" s="7">
        <f ca="1">$C$11/(1+D1975)^1
 +$D$11/(1+D1975)^2
 +$E$11/(1+D1975)^3
 +$F$11/(1+D1975)^4
 +$G$11/(1+D1975)^5
 +$H$11/(1+D1975)^6
 +$I$11/(1+D1975)^7
 + ( $I$11*(1+F1975)/(D1975-F1975) )/(1+D1975)^7</f>
        <v>320.56789114943973</v>
      </c>
      <c r="H1975" s="7">
        <f ca="1">(G1975-$C$8)/$C$9</f>
        <v>1.7475005153179541</v>
      </c>
    </row>
    <row r="1976" spans="3:8" x14ac:dyDescent="0.35">
      <c r="C1976" s="8">
        <f t="shared" ca="1" si="120"/>
        <v>0.18793197517460669</v>
      </c>
      <c r="D1976" s="7">
        <f t="shared" ca="1" si="121"/>
        <v>8.2413872064878768E-2</v>
      </c>
      <c r="E1976" s="7">
        <f t="shared" ca="1" si="122"/>
        <v>0.14860020411890695</v>
      </c>
      <c r="F1976" s="7">
        <f t="shared" ca="1" si="123"/>
        <v>1.545160901237253E-2</v>
      </c>
      <c r="G1976" s="7">
        <f ca="1">$C$11/(1+D1976)^1
 +$D$11/(1+D1976)^2
 +$E$11/(1+D1976)^3
 +$F$11/(1+D1976)^4
 +$G$11/(1+D1976)^5
 +$H$11/(1+D1976)^6
 +$I$11/(1+D1976)^7
 + ( $I$11*(1+F1976)/(D1976-F1976) )/(1+D1976)^7</f>
        <v>407.96069079800793</v>
      </c>
      <c r="H1976" s="7">
        <f ca="1">(G1976-$C$8)/$C$9</f>
        <v>2.2415801153211663</v>
      </c>
    </row>
    <row r="1977" spans="3:8" x14ac:dyDescent="0.35">
      <c r="C1977" s="8">
        <f t="shared" ca="1" si="120"/>
        <v>8.2699833052968574E-2</v>
      </c>
      <c r="D1977" s="7">
        <f t="shared" ca="1" si="121"/>
        <v>7.8234917310054441E-2</v>
      </c>
      <c r="E1977" s="7">
        <f t="shared" ca="1" si="122"/>
        <v>0.55765765164245984</v>
      </c>
      <c r="F1977" s="7">
        <f t="shared" ca="1" si="123"/>
        <v>2.0594232106228218E-2</v>
      </c>
      <c r="G1977" s="7">
        <f ca="1">$C$11/(1+D1977)^1
 +$D$11/(1+D1977)^2
 +$E$11/(1+D1977)^3
 +$F$11/(1+D1977)^4
 +$G$11/(1+D1977)^5
 +$H$11/(1+D1977)^6
 +$I$11/(1+D1977)^7
 + ( $I$11*(1+F1977)/(D1977-F1977) )/(1+D1977)^7</f>
        <v>464.88689884403357</v>
      </c>
      <c r="H1977" s="7">
        <f ca="1">(G1977-$C$8)/$C$9</f>
        <v>2.5634153032792488</v>
      </c>
    </row>
    <row r="1978" spans="3:8" x14ac:dyDescent="0.35">
      <c r="C1978" s="8">
        <f t="shared" ca="1" si="120"/>
        <v>0.7864375552478805</v>
      </c>
      <c r="D1978" s="7">
        <f t="shared" ca="1" si="121"/>
        <v>9.7093462629091673E-2</v>
      </c>
      <c r="E1978" s="7">
        <f t="shared" ca="1" si="122"/>
        <v>0.76389066146269047</v>
      </c>
      <c r="F1978" s="7">
        <f t="shared" ca="1" si="123"/>
        <v>2.3128183085423339E-2</v>
      </c>
      <c r="G1978" s="7">
        <f ca="1">$C$11/(1+D1978)^1
 +$D$11/(1+D1978)^2
 +$E$11/(1+D1978)^3
 +$F$11/(1+D1978)^4
 +$G$11/(1+D1978)^5
 +$H$11/(1+D1978)^6
 +$I$11/(1+D1978)^7
 + ( $I$11*(1+F1978)/(D1978-F1978) )/(1+D1978)^7</f>
        <v>354.40391544609133</v>
      </c>
      <c r="H1978" s="7">
        <f ca="1">(G1978-$C$8)/$C$9</f>
        <v>1.9387941850186077</v>
      </c>
    </row>
    <row r="1979" spans="3:8" x14ac:dyDescent="0.35">
      <c r="C1979" s="8">
        <f t="shared" ca="1" si="120"/>
        <v>0.70326448199893576</v>
      </c>
      <c r="D1979" s="7">
        <f t="shared" ca="1" si="121"/>
        <v>9.4786397400982561E-2</v>
      </c>
      <c r="E1979" s="7">
        <f t="shared" ca="1" si="122"/>
        <v>0.8310300396207938</v>
      </c>
      <c r="F1979" s="7">
        <f t="shared" ca="1" si="123"/>
        <v>2.4186739978648706E-2</v>
      </c>
      <c r="G1979" s="7">
        <f ca="1">$C$11/(1+D1979)^1
 +$D$11/(1+D1979)^2
 +$E$11/(1+D1979)^3
 +$F$11/(1+D1979)^4
 +$G$11/(1+D1979)^5
 +$H$11/(1+D1979)^6
 +$I$11/(1+D1979)^7
 + ( $I$11*(1+F1979)/(D1979-F1979) )/(1+D1979)^7</f>
        <v>370.12049144109437</v>
      </c>
      <c r="H1979" s="7">
        <f ca="1">(G1979-$C$8)/$C$9</f>
        <v>2.0276486399880955</v>
      </c>
    </row>
    <row r="1980" spans="3:8" x14ac:dyDescent="0.35">
      <c r="C1980" s="8">
        <f t="shared" ca="1" si="120"/>
        <v>0.84516714637161439</v>
      </c>
      <c r="D1980" s="7">
        <f t="shared" ca="1" si="121"/>
        <v>9.9010476542172501E-2</v>
      </c>
      <c r="E1980" s="7">
        <f t="shared" ca="1" si="122"/>
        <v>0.64217227944408684</v>
      </c>
      <c r="F1980" s="7">
        <f t="shared" ca="1" si="123"/>
        <v>2.1540357920622019E-2</v>
      </c>
      <c r="G1980" s="7">
        <f ca="1">$C$11/(1+D1980)^1
 +$D$11/(1+D1980)^2
 +$E$11/(1+D1980)^3
 +$F$11/(1+D1980)^4
 +$G$11/(1+D1980)^5
 +$H$11/(1+D1980)^6
 +$I$11/(1+D1980)^7
 + ( $I$11*(1+F1980)/(D1980-F1980) )/(1+D1980)^7</f>
        <v>340.24726613332558</v>
      </c>
      <c r="H1980" s="7">
        <f ca="1">(G1980-$C$8)/$C$9</f>
        <v>1.8587588542137357</v>
      </c>
    </row>
    <row r="1981" spans="3:8" x14ac:dyDescent="0.35">
      <c r="C1981" s="8">
        <f t="shared" ca="1" si="120"/>
        <v>0.54598170751298614</v>
      </c>
      <c r="D1981" s="7">
        <f t="shared" ca="1" si="121"/>
        <v>9.1181544480487486E-2</v>
      </c>
      <c r="E1981" s="7">
        <f t="shared" ca="1" si="122"/>
        <v>0.89676810230215609</v>
      </c>
      <c r="F1981" s="7">
        <f t="shared" ca="1" si="123"/>
        <v>2.5456171268680036E-2</v>
      </c>
      <c r="G1981" s="7">
        <f ca="1">$C$11/(1+D1981)^1
 +$D$11/(1+D1981)^2
 +$E$11/(1+D1981)^3
 +$F$11/(1+D1981)^4
 +$G$11/(1+D1981)^5
 +$H$11/(1+D1981)^6
 +$I$11/(1+D1981)^7
 + ( $I$11*(1+F1981)/(D1981-F1981) )/(1+D1981)^7</f>
        <v>396.20429959418448</v>
      </c>
      <c r="H1981" s="7">
        <f ca="1">(G1981-$C$8)/$C$9</f>
        <v>2.1751147647794236</v>
      </c>
    </row>
    <row r="1982" spans="3:8" x14ac:dyDescent="0.35">
      <c r="C1982" s="8">
        <f t="shared" ca="1" si="120"/>
        <v>0.61010622875947329</v>
      </c>
      <c r="D1982" s="7">
        <f t="shared" ca="1" si="121"/>
        <v>9.2561045284547283E-2</v>
      </c>
      <c r="E1982" s="7">
        <f t="shared" ca="1" si="122"/>
        <v>5.3932315450826995E-2</v>
      </c>
      <c r="F1982" s="7">
        <f t="shared" ca="1" si="123"/>
        <v>1.3284275124006118E-2</v>
      </c>
      <c r="G1982" s="7">
        <f ca="1">$C$11/(1+D1982)^1
 +$D$11/(1+D1982)^2
 +$E$11/(1+D1982)^3
 +$F$11/(1+D1982)^4
 +$G$11/(1+D1982)^5
 +$H$11/(1+D1982)^6
 +$I$11/(1+D1982)^7
 + ( $I$11*(1+F1982)/(D1982-F1982) )/(1+D1982)^7</f>
        <v>345.32824184696045</v>
      </c>
      <c r="H1982" s="7">
        <f ca="1">(G1982-$C$8)/$C$9</f>
        <v>1.8874844066426981</v>
      </c>
    </row>
    <row r="1983" spans="3:8" x14ac:dyDescent="0.35">
      <c r="C1983" s="8">
        <f t="shared" ca="1" si="120"/>
        <v>0.74997148710451911</v>
      </c>
      <c r="D1983" s="7">
        <f t="shared" ca="1" si="121"/>
        <v>9.6034963657101527E-2</v>
      </c>
      <c r="E1983" s="7">
        <f t="shared" ca="1" si="122"/>
        <v>1.1216798751886081E-2</v>
      </c>
      <c r="F1983" s="7">
        <f t="shared" ca="1" si="123"/>
        <v>1.1497784947973913E-2</v>
      </c>
      <c r="G1983" s="7">
        <f ca="1">$C$11/(1+D1983)^1
 +$D$11/(1+D1983)^2
 +$E$11/(1+D1983)^3
 +$F$11/(1+D1983)^4
 +$G$11/(1+D1983)^5
 +$H$11/(1+D1983)^6
 +$I$11/(1+D1983)^7
 + ( $I$11*(1+F1983)/(D1983-F1983) )/(1+D1983)^7</f>
        <v>325.41919925400049</v>
      </c>
      <c r="H1983" s="7">
        <f ca="1">(G1983-$C$8)/$C$9</f>
        <v>1.7749276303369543</v>
      </c>
    </row>
    <row r="1984" spans="3:8" x14ac:dyDescent="0.35">
      <c r="C1984" s="8">
        <f t="shared" ca="1" si="120"/>
        <v>0.31709926176301917</v>
      </c>
      <c r="D1984" s="7">
        <f t="shared" ca="1" si="121"/>
        <v>8.6125178902749441E-2</v>
      </c>
      <c r="E1984" s="7">
        <f t="shared" ca="1" si="122"/>
        <v>0.9483046496990436</v>
      </c>
      <c r="F1984" s="7">
        <f t="shared" ca="1" si="123"/>
        <v>2.678455756385046E-2</v>
      </c>
      <c r="G1984" s="7">
        <f ca="1">$C$11/(1+D1984)^1
 +$D$11/(1+D1984)^2
 +$E$11/(1+D1984)^3
 +$F$11/(1+D1984)^4
 +$G$11/(1+D1984)^5
 +$H$11/(1+D1984)^6
 +$I$11/(1+D1984)^7
 + ( $I$11*(1+F1984)/(D1984-F1984) )/(1+D1984)^7</f>
        <v>437.51134806103641</v>
      </c>
      <c r="H1984" s="7">
        <f ca="1">(G1984-$C$8)/$C$9</f>
        <v>2.4086462463875868</v>
      </c>
    </row>
    <row r="1985" spans="3:8" x14ac:dyDescent="0.35">
      <c r="C1985" s="8">
        <f t="shared" ca="1" si="120"/>
        <v>0.13171878634978906</v>
      </c>
      <c r="D1985" s="7">
        <f t="shared" ca="1" si="121"/>
        <v>8.0392757324542277E-2</v>
      </c>
      <c r="E1985" s="7">
        <f t="shared" ca="1" si="122"/>
        <v>0.92394510466874458</v>
      </c>
      <c r="F1985" s="7">
        <f t="shared" ca="1" si="123"/>
        <v>2.6099874480705641E-2</v>
      </c>
      <c r="G1985" s="7">
        <f ca="1">$C$11/(1+D1985)^1
 +$D$11/(1+D1985)^2
 +$E$11/(1+D1985)^3
 +$F$11/(1+D1985)^4
 +$G$11/(1+D1985)^5
 +$H$11/(1+D1985)^6
 +$I$11/(1+D1985)^7
 + ( $I$11*(1+F1985)/(D1985-F1985) )/(1+D1985)^7</f>
        <v>481.14770664563082</v>
      </c>
      <c r="H1985" s="7">
        <f ca="1">(G1985-$C$8)/$C$9</f>
        <v>2.6553466002127477</v>
      </c>
    </row>
    <row r="1986" spans="3:8" x14ac:dyDescent="0.35">
      <c r="C1986" s="8">
        <f t="shared" ca="1" si="120"/>
        <v>2.2383879472553381E-2</v>
      </c>
      <c r="D1986" s="7">
        <f t="shared" ca="1" si="121"/>
        <v>7.4284248028241809E-2</v>
      </c>
      <c r="E1986" s="7">
        <f t="shared" ca="1" si="122"/>
        <v>0.21255043223514158</v>
      </c>
      <c r="F1986" s="7">
        <f t="shared" ca="1" si="123"/>
        <v>1.6519975954482371E-2</v>
      </c>
      <c r="G1986" s="7">
        <f ca="1">$C$11/(1+D1986)^1
 +$D$11/(1+D1986)^2
 +$E$11/(1+D1986)^3
 +$F$11/(1+D1986)^4
 +$G$11/(1+D1986)^5
 +$H$11/(1+D1986)^6
 +$I$11/(1+D1986)^7
 + ( $I$11*(1+F1986)/(D1986-F1986) )/(1+D1986)^7</f>
        <v>473.38420341783626</v>
      </c>
      <c r="H1986" s="7">
        <f ca="1">(G1986-$C$8)/$C$9</f>
        <v>2.6114552432035065</v>
      </c>
    </row>
    <row r="1987" spans="3:8" x14ac:dyDescent="0.35">
      <c r="C1987" s="8">
        <f t="shared" ca="1" si="120"/>
        <v>0.1716319539599489</v>
      </c>
      <c r="D1987" s="7">
        <f t="shared" ca="1" si="121"/>
        <v>8.1863313291284101E-2</v>
      </c>
      <c r="E1987" s="7">
        <f t="shared" ca="1" si="122"/>
        <v>0.84165785117801095</v>
      </c>
      <c r="F1987" s="7">
        <f t="shared" ca="1" si="123"/>
        <v>2.4372529008124713E-2</v>
      </c>
      <c r="G1987" s="7">
        <f ca="1">$C$11/(1+D1987)^1
 +$D$11/(1+D1987)^2
 +$E$11/(1+D1987)^3
 +$F$11/(1+D1987)^4
 +$G$11/(1+D1987)^5
 +$H$11/(1+D1987)^6
 +$I$11/(1+D1987)^7
 + ( $I$11*(1+F1987)/(D1987-F1987) )/(1+D1987)^7</f>
        <v>457.47188753323917</v>
      </c>
      <c r="H1987" s="7">
        <f ca="1">(G1987-$C$8)/$C$9</f>
        <v>2.5214941628971004</v>
      </c>
    </row>
    <row r="1988" spans="3:8" x14ac:dyDescent="0.35">
      <c r="C1988" s="8">
        <f t="shared" ca="1" si="120"/>
        <v>0.17562124004576818</v>
      </c>
      <c r="D1988" s="7">
        <f t="shared" ca="1" si="121"/>
        <v>8.200039236181593E-2</v>
      </c>
      <c r="E1988" s="7">
        <f t="shared" ca="1" si="122"/>
        <v>0.33243128726710547</v>
      </c>
      <c r="F1988" s="7">
        <f t="shared" ca="1" si="123"/>
        <v>1.8153910562019988E-2</v>
      </c>
      <c r="G1988" s="7">
        <f ca="1">$C$11/(1+D1988)^1
 +$D$11/(1+D1988)^2
 +$E$11/(1+D1988)^3
 +$F$11/(1+D1988)^4
 +$G$11/(1+D1988)^5
 +$H$11/(1+D1988)^6
 +$I$11/(1+D1988)^7
 + ( $I$11*(1+F1988)/(D1988-F1988) )/(1+D1988)^7</f>
        <v>423.1153614216114</v>
      </c>
      <c r="H1988" s="7">
        <f ca="1">(G1988-$C$8)/$C$9</f>
        <v>2.3272578099367447</v>
      </c>
    </row>
    <row r="1989" spans="3:8" x14ac:dyDescent="0.35">
      <c r="C1989" s="8">
        <f t="shared" ca="1" si="120"/>
        <v>3.5617572602908432E-2</v>
      </c>
      <c r="D1989" s="7">
        <f t="shared" ca="1" si="121"/>
        <v>7.5404295470677465E-2</v>
      </c>
      <c r="E1989" s="7">
        <f t="shared" ca="1" si="122"/>
        <v>0.77563950781263991</v>
      </c>
      <c r="F1989" s="7">
        <f t="shared" ca="1" si="123"/>
        <v>2.3301336070717382E-2</v>
      </c>
      <c r="G1989" s="7">
        <f ca="1">$C$11/(1+D1989)^1
 +$D$11/(1+D1989)^2
 +$E$11/(1+D1989)^3
 +$F$11/(1+D1989)^4
 +$G$11/(1+D1989)^5
 +$H$11/(1+D1989)^6
 +$I$11/(1+D1989)^7
 + ( $I$11*(1+F1989)/(D1989-F1989) )/(1+D1989)^7</f>
        <v>509.1081966144821</v>
      </c>
      <c r="H1989" s="7">
        <f ca="1">(G1989-$C$8)/$C$9</f>
        <v>2.8134226402899261</v>
      </c>
    </row>
    <row r="1990" spans="3:8" x14ac:dyDescent="0.35">
      <c r="C1990" s="8">
        <f t="shared" ca="1" si="120"/>
        <v>0.16726950102947602</v>
      </c>
      <c r="D1990" s="7">
        <f t="shared" ca="1" si="121"/>
        <v>8.1711575079559978E-2</v>
      </c>
      <c r="E1990" s="7">
        <f t="shared" ca="1" si="122"/>
        <v>0.34092878119407066</v>
      </c>
      <c r="F1990" s="7">
        <f t="shared" ca="1" si="123"/>
        <v>1.8257466696197697E-2</v>
      </c>
      <c r="G1990" s="7">
        <f ca="1">$C$11/(1+D1990)^1
 +$D$11/(1+D1990)^2
 +$E$11/(1+D1990)^3
 +$F$11/(1+D1990)^4
 +$G$11/(1+D1990)^5
 +$H$11/(1+D1990)^6
 +$I$11/(1+D1990)^7
 + ( $I$11*(1+F1990)/(D1990-F1990) )/(1+D1990)^7</f>
        <v>425.62324795830165</v>
      </c>
      <c r="H1990" s="7">
        <f ca="1">(G1990-$C$8)/$C$9</f>
        <v>2.3414362729438127</v>
      </c>
    </row>
    <row r="1991" spans="3:8" x14ac:dyDescent="0.35">
      <c r="C1991" s="8">
        <f t="shared" ca="1" si="120"/>
        <v>0.23593527121850943</v>
      </c>
      <c r="D1991" s="7">
        <f t="shared" ca="1" si="121"/>
        <v>8.3909238742619158E-2</v>
      </c>
      <c r="E1991" s="7">
        <f t="shared" ca="1" si="122"/>
        <v>0.97300465782186596</v>
      </c>
      <c r="F1991" s="7">
        <f t="shared" ca="1" si="123"/>
        <v>2.7676410441659971E-2</v>
      </c>
      <c r="G1991" s="7">
        <f ca="1">$C$11/(1+D1991)^1
 +$D$11/(1+D1991)^2
 +$E$11/(1+D1991)^3
 +$F$11/(1+D1991)^4
 +$G$11/(1+D1991)^5
 +$H$11/(1+D1991)^6
 +$I$11/(1+D1991)^7
 + ( $I$11*(1+F1991)/(D1991-F1991) )/(1+D1991)^7</f>
        <v>460.43125413759418</v>
      </c>
      <c r="H1991" s="7">
        <f ca="1">(G1991-$C$8)/$C$9</f>
        <v>2.5382250912347026</v>
      </c>
    </row>
    <row r="1992" spans="3:8" x14ac:dyDescent="0.35">
      <c r="C1992" s="8">
        <f t="shared" ca="1" si="120"/>
        <v>0.68053164532428012</v>
      </c>
      <c r="D1992" s="7">
        <f t="shared" ca="1" si="121"/>
        <v>9.421439527141702E-2</v>
      </c>
      <c r="E1992" s="7">
        <f t="shared" ca="1" si="122"/>
        <v>0.72918301581164857</v>
      </c>
      <c r="F1992" s="7">
        <f t="shared" ca="1" si="123"/>
        <v>2.2640421422549368E-2</v>
      </c>
      <c r="G1992" s="7">
        <f ca="1">$C$11/(1+D1992)^1
 +$D$11/(1+D1992)^2
 +$E$11/(1+D1992)^3
 +$F$11/(1+D1992)^4
 +$G$11/(1+D1992)^5
 +$H$11/(1+D1992)^6
 +$I$11/(1+D1992)^7
 + ( $I$11*(1+F1992)/(D1992-F1992) )/(1+D1992)^7</f>
        <v>367.59032658341232</v>
      </c>
      <c r="H1992" s="7">
        <f ca="1">(G1992-$C$8)/$C$9</f>
        <v>2.0133442253698117</v>
      </c>
    </row>
    <row r="1993" spans="3:8" x14ac:dyDescent="0.35">
      <c r="C1993" s="8">
        <f t="shared" ca="1" si="120"/>
        <v>0.68792040228266405</v>
      </c>
      <c r="D1993" s="7">
        <f t="shared" ca="1" si="121"/>
        <v>9.4398010183969414E-2</v>
      </c>
      <c r="E1993" s="7">
        <f t="shared" ca="1" si="122"/>
        <v>0.9299983397770426</v>
      </c>
      <c r="F1993" s="7">
        <f t="shared" ca="1" si="123"/>
        <v>2.6258298242164205E-2</v>
      </c>
      <c r="G1993" s="7">
        <f ca="1">$C$11/(1+D1993)^1
 +$D$11/(1+D1993)^2
 +$E$11/(1+D1993)^3
 +$F$11/(1+D1993)^4
 +$G$11/(1+D1993)^5
 +$H$11/(1+D1993)^6
 +$I$11/(1+D1993)^7
 + ( $I$11*(1+F1993)/(D1993-F1993) )/(1+D1993)^7</f>
        <v>380.1987811338592</v>
      </c>
      <c r="H1993" s="7">
        <f ca="1">(G1993-$C$8)/$C$9</f>
        <v>2.0846267590109631</v>
      </c>
    </row>
    <row r="1994" spans="3:8" x14ac:dyDescent="0.35">
      <c r="C1994" s="8">
        <f t="shared" ca="1" si="120"/>
        <v>0.87666435169964962</v>
      </c>
      <c r="D1994" s="7">
        <f t="shared" ca="1" si="121"/>
        <v>0.10019174808264626</v>
      </c>
      <c r="E1994" s="7">
        <f t="shared" ca="1" si="122"/>
        <v>0.88673896586922518</v>
      </c>
      <c r="F1994" s="7">
        <f t="shared" ca="1" si="123"/>
        <v>2.5240566543573179E-2</v>
      </c>
      <c r="G1994" s="7">
        <f ca="1">$C$11/(1+D1994)^1
 +$D$11/(1+D1994)^2
 +$E$11/(1+D1994)^3
 +$F$11/(1+D1994)^4
 +$G$11/(1+D1994)^5
 +$H$11/(1+D1994)^6
 +$I$11/(1+D1994)^7
 + ( $I$11*(1+F1994)/(D1994-F1994) )/(1+D1994)^7</f>
        <v>346.07915647232926</v>
      </c>
      <c r="H1994" s="7">
        <f ca="1">(G1994-$C$8)/$C$9</f>
        <v>1.8917297403455973</v>
      </c>
    </row>
    <row r="1995" spans="3:8" x14ac:dyDescent="0.35">
      <c r="C1995" s="8">
        <f t="shared" ca="1" si="120"/>
        <v>0.42115324845107294</v>
      </c>
      <c r="D1995" s="7">
        <f t="shared" ca="1" si="121"/>
        <v>8.8583478246277797E-2</v>
      </c>
      <c r="E1995" s="7">
        <f t="shared" ca="1" si="122"/>
        <v>0.26114969401427224</v>
      </c>
      <c r="F1995" s="7">
        <f t="shared" ca="1" si="123"/>
        <v>1.7227028352155154E-2</v>
      </c>
      <c r="G1995" s="7">
        <f ca="1">$C$11/(1+D1995)^1
 +$D$11/(1+D1995)^2
 +$E$11/(1+D1995)^3
 +$F$11/(1+D1995)^4
 +$G$11/(1+D1995)^5
 +$H$11/(1+D1995)^6
 +$I$11/(1+D1995)^7
 + ( $I$11*(1+F1995)/(D1995-F1995) )/(1+D1995)^7</f>
        <v>378.46067944253303</v>
      </c>
      <c r="H1995" s="7">
        <f ca="1">(G1995-$C$8)/$C$9</f>
        <v>2.0748003134471564</v>
      </c>
    </row>
    <row r="1996" spans="3:8" x14ac:dyDescent="0.35">
      <c r="C1996" s="8">
        <f t="shared" ca="1" si="120"/>
        <v>0.51045519889703761</v>
      </c>
      <c r="D1996" s="7">
        <f t="shared" ca="1" si="121"/>
        <v>9.0459063104051732E-2</v>
      </c>
      <c r="E1996" s="7">
        <f t="shared" ca="1" si="122"/>
        <v>0.55289512125370577</v>
      </c>
      <c r="F1996" s="7">
        <f t="shared" ca="1" si="123"/>
        <v>2.0543733519551237E-2</v>
      </c>
      <c r="G1996" s="7">
        <f ca="1">$C$11/(1+D1996)^1
 +$D$11/(1+D1996)^2
 +$E$11/(1+D1996)^3
 +$F$11/(1+D1996)^4
 +$G$11/(1+D1996)^5
 +$H$11/(1+D1996)^6
 +$I$11/(1+D1996)^7
 + ( $I$11*(1+F1996)/(D1996-F1996) )/(1+D1996)^7</f>
        <v>380.48255866884824</v>
      </c>
      <c r="H1996" s="7">
        <f ca="1">(G1996-$C$8)/$C$9</f>
        <v>2.0862311096158312</v>
      </c>
    </row>
    <row r="1997" spans="3:8" x14ac:dyDescent="0.35">
      <c r="C1997" s="8">
        <f t="shared" ca="1" si="120"/>
        <v>0.6610744246090805</v>
      </c>
      <c r="D1997" s="7">
        <f t="shared" ca="1" si="121"/>
        <v>9.3740788801269681E-2</v>
      </c>
      <c r="E1997" s="7">
        <f t="shared" ca="1" si="122"/>
        <v>8.2452905383597841E-2</v>
      </c>
      <c r="F1997" s="7">
        <f t="shared" ca="1" si="123"/>
        <v>1.4060859647503169E-2</v>
      </c>
      <c r="G1997" s="7">
        <f ca="1">$C$11/(1+D1997)^1
 +$D$11/(1+D1997)^2
 +$E$11/(1+D1997)^3
 +$F$11/(1+D1997)^4
 +$G$11/(1+D1997)^5
 +$H$11/(1+D1997)^6
 +$I$11/(1+D1997)^7
 + ( $I$11*(1+F1997)/(D1997-F1997) )/(1+D1997)^7</f>
        <v>342.22876971439064</v>
      </c>
      <c r="H1997" s="7">
        <f ca="1">(G1997-$C$8)/$C$9</f>
        <v>1.8699613846358583</v>
      </c>
    </row>
    <row r="1998" spans="3:8" x14ac:dyDescent="0.35">
      <c r="C1998" s="8">
        <f t="shared" ca="1" si="120"/>
        <v>0.96177394340953848</v>
      </c>
      <c r="D1998" s="7">
        <f t="shared" ca="1" si="121"/>
        <v>0.10453956740353294</v>
      </c>
      <c r="E1998" s="7">
        <f t="shared" ca="1" si="122"/>
        <v>0.57220219703632214</v>
      </c>
      <c r="F1998" s="7">
        <f t="shared" ca="1" si="123"/>
        <v>2.0750158888243778E-2</v>
      </c>
      <c r="G1998" s="7">
        <f ca="1">$C$11/(1+D1998)^1
 +$D$11/(1+D1998)^2
 +$E$11/(1+D1998)^3
 +$F$11/(1+D1998)^4
 +$G$11/(1+D1998)^5
 +$H$11/(1+D1998)^6
 +$I$11/(1+D1998)^7
 + ( $I$11*(1+F1998)/(D1998-F1998) )/(1+D1998)^7</f>
        <v>314.62002822431907</v>
      </c>
      <c r="H1998" s="7">
        <f ca="1">(G1998-$C$8)/$C$9</f>
        <v>1.7138739723220209</v>
      </c>
    </row>
    <row r="1999" spans="3:8" x14ac:dyDescent="0.35">
      <c r="C1999" s="8">
        <f t="shared" ca="1" si="120"/>
        <v>0.65766831593888231</v>
      </c>
      <c r="D1999" s="7">
        <f t="shared" ca="1" si="121"/>
        <v>9.3659292745793654E-2</v>
      </c>
      <c r="E1999" s="7">
        <f t="shared" ca="1" si="122"/>
        <v>0.10389760592318953</v>
      </c>
      <c r="F1999" s="7">
        <f t="shared" ca="1" si="123"/>
        <v>1.4558456008851891E-2</v>
      </c>
      <c r="G1999" s="7">
        <f ca="1">$C$11/(1+D1999)^1
 +$D$11/(1+D1999)^2
 +$E$11/(1+D1999)^3
 +$F$11/(1+D1999)^4
 +$G$11/(1+D1999)^5
 +$H$11/(1+D1999)^6
 +$I$11/(1+D1999)^7
 + ( $I$11*(1+F1999)/(D1999-F1999) )/(1+D1999)^7</f>
        <v>344.05470279854387</v>
      </c>
      <c r="H1999" s="7">
        <f ca="1">(G1999-$C$8)/$C$9</f>
        <v>1.8802843894083212</v>
      </c>
    </row>
    <row r="2000" spans="3:8" x14ac:dyDescent="0.35">
      <c r="C2000" s="8">
        <f t="shared" ca="1" si="120"/>
        <v>0.93531746245577452</v>
      </c>
      <c r="D2000" s="7">
        <f t="shared" ca="1" si="121"/>
        <v>0.10289701617033406</v>
      </c>
      <c r="E2000" s="7">
        <f t="shared" ca="1" si="122"/>
        <v>0.29951398046106137</v>
      </c>
      <c r="F2000" s="7">
        <f t="shared" ca="1" si="123"/>
        <v>1.7739689663818069E-2</v>
      </c>
      <c r="G2000" s="7">
        <f ca="1">$C$11/(1+D2000)^1
 +$D$11/(1+D2000)^2
 +$E$11/(1+D2000)^3
 +$F$11/(1+D2000)^4
 +$G$11/(1+D2000)^5
 +$H$11/(1+D2000)^6
 +$I$11/(1+D2000)^7
 + ( $I$11*(1+F2000)/(D2000-F2000) )/(1+D2000)^7</f>
        <v>313.66572193267319</v>
      </c>
      <c r="H2000" s="7">
        <f ca="1">(G2000-$C$8)/$C$9</f>
        <v>1.7084787535768498</v>
      </c>
    </row>
    <row r="2001" spans="3:8" x14ac:dyDescent="0.35">
      <c r="C2001" s="8">
        <f t="shared" ref="C2001:C2064" ca="1" si="124">RAND()</f>
        <v>0.72405421149596338</v>
      </c>
      <c r="D2001" s="7">
        <f t="shared" ref="D2001:D2064" ca="1" si="125">IF(C2001&lt;(0.0905-0.07)/(0.11-0.07),
 0.07+SQRT(C2001*(0.11-0.07)*(0.0905-0.07)),
 0.11-SQRT((1-C2001)*(0.11-0.07)*(0.11-0.0905))
)</f>
        <v>9.5329017925402937E-2</v>
      </c>
      <c r="E2001" s="7">
        <f t="shared" ref="E2001:E2064" ca="1" si="126">RAND()</f>
        <v>0.34968204137266601</v>
      </c>
      <c r="F2001" s="7">
        <f t="shared" ref="F2001:F2064" ca="1" si="127">MIN(
 IF(E2001&lt;(0.02-0.01)/(0.03-0.01),
   0.01+SQRT(E2001*(0.03-0.01)*(0.02-0.01)),
   0.03-SQRT((1-E2001)*(0.03-0.01)*(0.03-0.02))
 ),
 D2001-0.005
)</f>
        <v>1.8362799069362674E-2</v>
      </c>
      <c r="G2001" s="7">
        <f ca="1">$C$11/(1+D2001)^1
 +$D$11/(1+D2001)^2
 +$E$11/(1+D2001)^3
 +$F$11/(1+D2001)^4
 +$G$11/(1+D2001)^5
 +$H$11/(1+D2001)^6
 +$I$11/(1+D2001)^7
 + ( $I$11*(1+F2001)/(D2001-F2001) )/(1+D2001)^7</f>
        <v>347.75580743670594</v>
      </c>
      <c r="H2001" s="7">
        <f ca="1">(G2001-$C$8)/$C$9</f>
        <v>1.9012087711256553</v>
      </c>
    </row>
    <row r="2002" spans="3:8" x14ac:dyDescent="0.35">
      <c r="C2002" s="8">
        <f t="shared" ca="1" si="124"/>
        <v>0.52137096498517843</v>
      </c>
      <c r="D2002" s="7">
        <f t="shared" ca="1" si="125"/>
        <v>9.0678233845955983E-2</v>
      </c>
      <c r="E2002" s="7">
        <f t="shared" ca="1" si="126"/>
        <v>0.2428616060362554</v>
      </c>
      <c r="F2002" s="7">
        <f t="shared" ca="1" si="127"/>
        <v>1.6969384564454099E-2</v>
      </c>
      <c r="G2002" s="7">
        <f ca="1">$C$11/(1+D2002)^1
 +$D$11/(1+D2002)^2
 +$E$11/(1+D2002)^3
 +$F$11/(1+D2002)^4
 +$G$11/(1+D2002)^5
 +$H$11/(1+D2002)^6
 +$I$11/(1+D2002)^7
 + ( $I$11*(1+F2002)/(D2002-F2002) )/(1+D2002)^7</f>
        <v>366.28489416654037</v>
      </c>
      <c r="H2002" s="7">
        <f ca="1">(G2002-$C$8)/$C$9</f>
        <v>2.0059638973685003</v>
      </c>
    </row>
    <row r="2003" spans="3:8" x14ac:dyDescent="0.35">
      <c r="C2003" s="8">
        <f t="shared" ca="1" si="124"/>
        <v>0.70150571450299415</v>
      </c>
      <c r="D2003" s="7">
        <f t="shared" ca="1" si="125"/>
        <v>9.4741378086876105E-2</v>
      </c>
      <c r="E2003" s="7">
        <f t="shared" ca="1" si="126"/>
        <v>0.30404953447087946</v>
      </c>
      <c r="F2003" s="7">
        <f t="shared" ca="1" si="127"/>
        <v>1.7798070716156394E-2</v>
      </c>
      <c r="G2003" s="7">
        <f ca="1">$C$11/(1+D2003)^1
 +$D$11/(1+D2003)^2
 +$E$11/(1+D2003)^3
 +$F$11/(1+D2003)^4
 +$G$11/(1+D2003)^5
 +$H$11/(1+D2003)^6
 +$I$11/(1+D2003)^7
 + ( $I$11*(1+F2003)/(D2003-F2003) )/(1+D2003)^7</f>
        <v>348.79613002180753</v>
      </c>
      <c r="H2003" s="7">
        <f ca="1">(G2003-$C$8)/$C$9</f>
        <v>1.9070902873236517</v>
      </c>
    </row>
    <row r="2004" spans="3:8" x14ac:dyDescent="0.35">
      <c r="C2004" s="8">
        <f t="shared" ca="1" si="124"/>
        <v>0.18457066005453227</v>
      </c>
      <c r="D2004" s="7">
        <f t="shared" ca="1" si="125"/>
        <v>8.230235510968191E-2</v>
      </c>
      <c r="E2004" s="7">
        <f t="shared" ca="1" si="126"/>
        <v>0.10924164189861774</v>
      </c>
      <c r="F2004" s="7">
        <f t="shared" ca="1" si="127"/>
        <v>1.4674219547659646E-2</v>
      </c>
      <c r="G2004" s="7">
        <f ca="1">$C$11/(1+D2004)^1
 +$D$11/(1+D2004)^2
 +$E$11/(1+D2004)^3
 +$F$11/(1+D2004)^4
 +$G$11/(1+D2004)^5
 +$H$11/(1+D2004)^6
 +$I$11/(1+D2004)^7
 + ( $I$11*(1+F2004)/(D2004-F2004) )/(1+D2004)^7</f>
        <v>405.29670313156856</v>
      </c>
      <c r="H2004" s="7">
        <f ca="1">(G2004-$C$8)/$C$9</f>
        <v>2.2265191267049329</v>
      </c>
    </row>
    <row r="2005" spans="3:8" x14ac:dyDescent="0.35">
      <c r="C2005" s="8">
        <f t="shared" ca="1" si="124"/>
        <v>0.91651063860542425</v>
      </c>
      <c r="D2005" s="7">
        <f t="shared" ca="1" si="125"/>
        <v>0.10193019815065023</v>
      </c>
      <c r="E2005" s="7">
        <f t="shared" ca="1" si="126"/>
        <v>0.16114251192328066</v>
      </c>
      <c r="F2005" s="7">
        <f t="shared" ca="1" si="127"/>
        <v>1.5677015270778839E-2</v>
      </c>
      <c r="G2005" s="7">
        <f ca="1">$C$11/(1+D2005)^1
 +$D$11/(1+D2005)^2
 +$E$11/(1+D2005)^3
 +$F$11/(1+D2005)^4
 +$G$11/(1+D2005)^5
 +$H$11/(1+D2005)^6
 +$I$11/(1+D2005)^7
 + ( $I$11*(1+F2005)/(D2005-F2005) )/(1+D2005)^7</f>
        <v>312.4463123889434</v>
      </c>
      <c r="H2005" s="7">
        <f ca="1">(G2005-$C$8)/$C$9</f>
        <v>1.7015847602269527</v>
      </c>
    </row>
    <row r="2006" spans="3:8" x14ac:dyDescent="0.35">
      <c r="C2006" s="8">
        <f t="shared" ca="1" si="124"/>
        <v>0.65816255915904698</v>
      </c>
      <c r="D2006" s="7">
        <f t="shared" ca="1" si="125"/>
        <v>9.367109299873555E-2</v>
      </c>
      <c r="E2006" s="7">
        <f t="shared" ca="1" si="126"/>
        <v>0.44947778067812627</v>
      </c>
      <c r="F2006" s="7">
        <f t="shared" ca="1" si="127"/>
        <v>1.9481326707567102E-2</v>
      </c>
      <c r="G2006" s="7">
        <f ca="1">$C$11/(1+D2006)^1
 +$D$11/(1+D2006)^2
 +$E$11/(1+D2006)^3
 +$F$11/(1+D2006)^4
 +$G$11/(1+D2006)^5
 +$H$11/(1+D2006)^6
 +$I$11/(1+D2006)^7
 + ( $I$11*(1+F2006)/(D2006-F2006) )/(1+D2006)^7</f>
        <v>359.46421761100925</v>
      </c>
      <c r="H2006" s="7">
        <f ca="1">(G2006-$C$8)/$C$9</f>
        <v>1.9674028584973384</v>
      </c>
    </row>
    <row r="2007" spans="3:8" x14ac:dyDescent="0.35">
      <c r="C2007" s="8">
        <f t="shared" ca="1" si="124"/>
        <v>0.32040656742841966</v>
      </c>
      <c r="D2007" s="7">
        <f t="shared" ca="1" si="125"/>
        <v>8.6209052572291334E-2</v>
      </c>
      <c r="E2007" s="7">
        <f t="shared" ca="1" si="126"/>
        <v>0.89655263258171658</v>
      </c>
      <c r="F2007" s="7">
        <f t="shared" ca="1" si="127"/>
        <v>2.5451431710564666E-2</v>
      </c>
      <c r="G2007" s="7">
        <f ca="1">$C$11/(1+D2007)^1
 +$D$11/(1+D2007)^2
 +$E$11/(1+D2007)^3
 +$F$11/(1+D2007)^4
 +$G$11/(1+D2007)^5
 +$H$11/(1+D2007)^6
 +$I$11/(1+D2007)^7
 + ( $I$11*(1+F2007)/(D2007-F2007) )/(1+D2007)^7</f>
        <v>429.78114560788799</v>
      </c>
      <c r="H2007" s="7">
        <f ca="1">(G2007-$C$8)/$C$9</f>
        <v>2.3649431569871551</v>
      </c>
    </row>
    <row r="2008" spans="3:8" x14ac:dyDescent="0.35">
      <c r="C2008" s="8">
        <f t="shared" ca="1" si="124"/>
        <v>0.45314152747212155</v>
      </c>
      <c r="D2008" s="7">
        <f t="shared" ca="1" si="125"/>
        <v>8.9276308062674753E-2</v>
      </c>
      <c r="E2008" s="7">
        <f t="shared" ca="1" si="126"/>
        <v>3.0166293614579009E-2</v>
      </c>
      <c r="F2008" s="7">
        <f t="shared" ca="1" si="127"/>
        <v>1.2456269269220254E-2</v>
      </c>
      <c r="G2008" s="7">
        <f ca="1">$C$11/(1+D2008)^1
 +$D$11/(1+D2008)^2
 +$E$11/(1+D2008)^3
 +$F$11/(1+D2008)^4
 +$G$11/(1+D2008)^5
 +$H$11/(1+D2008)^6
 +$I$11/(1+D2008)^7
 + ( $I$11*(1+F2008)/(D2008-F2008) )/(1+D2008)^7</f>
        <v>358.37544009882555</v>
      </c>
      <c r="H2008" s="7">
        <f ca="1">(G2008-$C$8)/$C$9</f>
        <v>1.9612473999255176</v>
      </c>
    </row>
    <row r="2009" spans="3:8" x14ac:dyDescent="0.35">
      <c r="C2009" s="8">
        <f t="shared" ca="1" si="124"/>
        <v>0.27905215330555866</v>
      </c>
      <c r="D2009" s="7">
        <f t="shared" ca="1" si="125"/>
        <v>8.5126888831169423E-2</v>
      </c>
      <c r="E2009" s="7">
        <f t="shared" ca="1" si="126"/>
        <v>0.10786714329592151</v>
      </c>
      <c r="F2009" s="7">
        <f t="shared" ca="1" si="127"/>
        <v>1.4644720514647172E-2</v>
      </c>
      <c r="G2009" s="7">
        <f ca="1">$C$11/(1+D2009)^1
 +$D$11/(1+D2009)^2
 +$E$11/(1+D2009)^3
 +$F$11/(1+D2009)^4
 +$G$11/(1+D2009)^5
 +$H$11/(1+D2009)^6
 +$I$11/(1+D2009)^7
 + ( $I$11*(1+F2009)/(D2009-F2009) )/(1+D2009)^7</f>
        <v>388.18666679016985</v>
      </c>
      <c r="H2009" s="7">
        <f ca="1">(G2009-$C$8)/$C$9</f>
        <v>2.1297866733953517</v>
      </c>
    </row>
    <row r="2010" spans="3:8" x14ac:dyDescent="0.35">
      <c r="C2010" s="8">
        <f t="shared" ca="1" si="124"/>
        <v>0.83672308796140438</v>
      </c>
      <c r="D2010" s="7">
        <f t="shared" ca="1" si="125"/>
        <v>9.871478881942812E-2</v>
      </c>
      <c r="E2010" s="7">
        <f t="shared" ca="1" si="126"/>
        <v>0.29591802692652047</v>
      </c>
      <c r="F2010" s="7">
        <f t="shared" ca="1" si="127"/>
        <v>1.7693088156605519E-2</v>
      </c>
      <c r="G2010" s="7">
        <f ca="1">$C$11/(1+D2010)^1
 +$D$11/(1+D2010)^2
 +$E$11/(1+D2010)^3
 +$F$11/(1+D2010)^4
 +$G$11/(1+D2010)^5
 +$H$11/(1+D2010)^6
 +$I$11/(1+D2010)^7
 + ( $I$11*(1+F2010)/(D2010-F2010) )/(1+D2010)^7</f>
        <v>330.57355035243063</v>
      </c>
      <c r="H2010" s="7">
        <f ca="1">(G2010-$C$8)/$C$9</f>
        <v>1.8040680142041532</v>
      </c>
    </row>
    <row r="2011" spans="3:8" x14ac:dyDescent="0.35">
      <c r="C2011" s="8">
        <f t="shared" ca="1" si="124"/>
        <v>9.5719997857049766E-2</v>
      </c>
      <c r="D2011" s="7">
        <f t="shared" ca="1" si="125"/>
        <v>7.8859480698256573E-2</v>
      </c>
      <c r="E2011" s="7">
        <f t="shared" ca="1" si="126"/>
        <v>0.27339607973081936</v>
      </c>
      <c r="F2011" s="7">
        <f t="shared" ca="1" si="127"/>
        <v>1.7394539603394106E-2</v>
      </c>
      <c r="G2011" s="7">
        <f ca="1">$C$11/(1+D2011)^1
 +$D$11/(1+D2011)^2
 +$E$11/(1+D2011)^3
 +$F$11/(1+D2011)^4
 +$G$11/(1+D2011)^5
 +$H$11/(1+D2011)^6
 +$I$11/(1+D2011)^7
 + ( $I$11*(1+F2011)/(D2011-F2011) )/(1+D2011)^7</f>
        <v>441.84656715045514</v>
      </c>
      <c r="H2011" s="7">
        <f ca="1">(G2011-$C$8)/$C$9</f>
        <v>2.4331556261332832</v>
      </c>
    </row>
    <row r="2012" spans="3:8" x14ac:dyDescent="0.35">
      <c r="C2012" s="8">
        <f t="shared" ca="1" si="124"/>
        <v>0.78313696530525456</v>
      </c>
      <c r="D2012" s="7">
        <f t="shared" ca="1" si="125"/>
        <v>9.699411029333628E-2</v>
      </c>
      <c r="E2012" s="7">
        <f t="shared" ca="1" si="126"/>
        <v>0.57828466309572446</v>
      </c>
      <c r="F2012" s="7">
        <f t="shared" ca="1" si="127"/>
        <v>2.0816151820676962E-2</v>
      </c>
      <c r="G2012" s="7">
        <f ca="1">$C$11/(1+D2012)^1
 +$D$11/(1+D2012)^2
 +$E$11/(1+D2012)^3
 +$F$11/(1+D2012)^4
 +$G$11/(1+D2012)^5
 +$H$11/(1+D2012)^6
 +$I$11/(1+D2012)^7
 + ( $I$11*(1+F2012)/(D2012-F2012) )/(1+D2012)^7</f>
        <v>347.46158702151121</v>
      </c>
      <c r="H2012" s="7">
        <f ca="1">(G2012-$C$8)/$C$9</f>
        <v>1.8995453811709135</v>
      </c>
    </row>
    <row r="2013" spans="3:8" x14ac:dyDescent="0.35">
      <c r="C2013" s="8">
        <f t="shared" ca="1" si="124"/>
        <v>0.71553135082131536</v>
      </c>
      <c r="D2013" s="7">
        <f t="shared" ca="1" si="125"/>
        <v>9.510417688211309E-2</v>
      </c>
      <c r="E2013" s="7">
        <f t="shared" ca="1" si="126"/>
        <v>0.77713150537601494</v>
      </c>
      <c r="F2013" s="7">
        <f t="shared" ca="1" si="127"/>
        <v>2.3323646285224469E-2</v>
      </c>
      <c r="G2013" s="7">
        <f ca="1">$C$11/(1+D2013)^1
 +$D$11/(1+D2013)^2
 +$E$11/(1+D2013)^3
 +$F$11/(1+D2013)^4
 +$G$11/(1+D2013)^5
 +$H$11/(1+D2013)^6
 +$I$11/(1+D2013)^7
 + ( $I$11*(1+F2013)/(D2013-F2013) )/(1+D2013)^7</f>
        <v>365.29615677144915</v>
      </c>
      <c r="H2013" s="7">
        <f ca="1">(G2013-$C$8)/$C$9</f>
        <v>2.000374020643652</v>
      </c>
    </row>
    <row r="2014" spans="3:8" x14ac:dyDescent="0.35">
      <c r="C2014" s="8">
        <f t="shared" ca="1" si="124"/>
        <v>0.94831582024058747</v>
      </c>
      <c r="D2014" s="7">
        <f t="shared" ca="1" si="125"/>
        <v>0.10365069608442455</v>
      </c>
      <c r="E2014" s="7">
        <f t="shared" ca="1" si="126"/>
        <v>0.2907743670421461</v>
      </c>
      <c r="F2014" s="7">
        <f t="shared" ca="1" si="127"/>
        <v>1.7625934264628121E-2</v>
      </c>
      <c r="G2014" s="7">
        <f ca="1">$C$11/(1+D2014)^1
 +$D$11/(1+D2014)^2
 +$E$11/(1+D2014)^3
 +$F$11/(1+D2014)^4
 +$G$11/(1+D2014)^5
 +$H$11/(1+D2014)^6
 +$I$11/(1+D2014)^7
 + ( $I$11*(1+F2014)/(D2014-F2014) )/(1+D2014)^7</f>
        <v>310.5050446921457</v>
      </c>
      <c r="H2014" s="7">
        <f ca="1">(G2014-$C$8)/$C$9</f>
        <v>1.6906097054056179</v>
      </c>
    </row>
    <row r="2015" spans="3:8" x14ac:dyDescent="0.35">
      <c r="C2015" s="8">
        <f t="shared" ca="1" si="124"/>
        <v>0.79451019947556456</v>
      </c>
      <c r="D2015" s="7">
        <f t="shared" ca="1" si="125"/>
        <v>9.7339745484033124E-2</v>
      </c>
      <c r="E2015" s="7">
        <f t="shared" ca="1" si="126"/>
        <v>0.94237374203428648</v>
      </c>
      <c r="F2015" s="7">
        <f t="shared" ca="1" si="127"/>
        <v>2.6605113905718968E-2</v>
      </c>
      <c r="G2015" s="7">
        <f ca="1">$C$11/(1+D2015)^1
 +$D$11/(1+D2015)^2
 +$E$11/(1+D2015)^3
 +$F$11/(1+D2015)^4
 +$G$11/(1+D2015)^5
 +$H$11/(1+D2015)^6
 +$I$11/(1+D2015)^7
 + ( $I$11*(1+F2015)/(D2015-F2015) )/(1+D2015)^7</f>
        <v>365.14802160860847</v>
      </c>
      <c r="H2015" s="7">
        <f ca="1">(G2015-$C$8)/$C$9</f>
        <v>1.9995365310301247</v>
      </c>
    </row>
    <row r="2016" spans="3:8" x14ac:dyDescent="0.35">
      <c r="C2016" s="8">
        <f t="shared" ca="1" si="124"/>
        <v>0.48225299754230067</v>
      </c>
      <c r="D2016" s="7">
        <f t="shared" ca="1" si="125"/>
        <v>8.9885860755438432E-2</v>
      </c>
      <c r="E2016" s="7">
        <f t="shared" ca="1" si="126"/>
        <v>0.49570469443999121</v>
      </c>
      <c r="F2016" s="7">
        <f t="shared" ca="1" si="127"/>
        <v>1.9956954297775914E-2</v>
      </c>
      <c r="G2016" s="7">
        <f ca="1">$C$11/(1+D2016)^1
 +$D$11/(1+D2016)^2
 +$E$11/(1+D2016)^3
 +$F$11/(1+D2016)^4
 +$G$11/(1+D2016)^5
 +$H$11/(1+D2016)^6
 +$I$11/(1+D2016)^7
 + ( $I$11*(1+F2016)/(D2016-F2016) )/(1+D2016)^7</f>
        <v>381.48193381685326</v>
      </c>
      <c r="H2016" s="7">
        <f ca="1">(G2016-$C$8)/$C$9</f>
        <v>2.0918811274132363</v>
      </c>
    </row>
    <row r="2017" spans="3:8" x14ac:dyDescent="0.35">
      <c r="C2017" s="8">
        <f t="shared" ca="1" si="124"/>
        <v>0.28552132675614983</v>
      </c>
      <c r="D2017" s="7">
        <f t="shared" ca="1" si="125"/>
        <v>8.5301225047036036E-2</v>
      </c>
      <c r="E2017" s="7">
        <f t="shared" ca="1" si="126"/>
        <v>0.82433622425163477</v>
      </c>
      <c r="F2017" s="7">
        <f t="shared" ca="1" si="127"/>
        <v>2.4072710978054718E-2</v>
      </c>
      <c r="G2017" s="7">
        <f ca="1">$C$11/(1+D2017)^1
 +$D$11/(1+D2017)^2
 +$E$11/(1+D2017)^3
 +$F$11/(1+D2017)^4
 +$G$11/(1+D2017)^5
 +$H$11/(1+D2017)^6
 +$I$11/(1+D2017)^7
 + ( $I$11*(1+F2017)/(D2017-F2017) )/(1+D2017)^7</f>
        <v>429.25693923418874</v>
      </c>
      <c r="H2017" s="7">
        <f ca="1">(G2017-$C$8)/$C$9</f>
        <v>2.3619795298178921</v>
      </c>
    </row>
    <row r="2018" spans="3:8" x14ac:dyDescent="0.35">
      <c r="C2018" s="8">
        <f t="shared" ca="1" si="124"/>
        <v>4.30714192208006E-2</v>
      </c>
      <c r="D2018" s="7">
        <f t="shared" ca="1" si="125"/>
        <v>7.5942942348791259E-2</v>
      </c>
      <c r="E2018" s="7">
        <f t="shared" ca="1" si="126"/>
        <v>0.20145437687403345</v>
      </c>
      <c r="F2018" s="7">
        <f t="shared" ca="1" si="127"/>
        <v>1.6347509383593431E-2</v>
      </c>
      <c r="G2018" s="7">
        <f ca="1">$C$11/(1+D2018)^1
 +$D$11/(1+D2018)^2
 +$E$11/(1+D2018)^3
 +$F$11/(1+D2018)^4
 +$G$11/(1+D2018)^5
 +$H$11/(1+D2018)^6
 +$I$11/(1+D2018)^7
 + ( $I$11*(1+F2018)/(D2018-F2018) )/(1+D2018)^7</f>
        <v>458.65860453845062</v>
      </c>
      <c r="H2018" s="7">
        <f ca="1">(G2018-$C$8)/$C$9</f>
        <v>2.5282033273318101</v>
      </c>
    </row>
    <row r="2019" spans="3:8" x14ac:dyDescent="0.35">
      <c r="C2019" s="8">
        <f t="shared" ca="1" si="124"/>
        <v>0.40845006233505576</v>
      </c>
      <c r="D2019" s="7">
        <f t="shared" ca="1" si="125"/>
        <v>8.8301066939245526E-2</v>
      </c>
      <c r="E2019" s="7">
        <f t="shared" ca="1" si="126"/>
        <v>0.32936143046143374</v>
      </c>
      <c r="F2019" s="7">
        <f t="shared" ca="1" si="127"/>
        <v>1.8116174350781701E-2</v>
      </c>
      <c r="G2019" s="7">
        <f ca="1">$C$11/(1+D2019)^1
 +$D$11/(1+D2019)^2
 +$E$11/(1+D2019)^3
 +$F$11/(1+D2019)^4
 +$G$11/(1+D2019)^5
 +$H$11/(1+D2019)^6
 +$I$11/(1+D2019)^7
 + ( $I$11*(1+F2019)/(D2019-F2019) )/(1+D2019)^7</f>
        <v>383.41793663527244</v>
      </c>
      <c r="H2019" s="7">
        <f ca="1">(G2019-$C$8)/$C$9</f>
        <v>2.102826416979152</v>
      </c>
    </row>
    <row r="2020" spans="3:8" x14ac:dyDescent="0.35">
      <c r="C2020" s="8">
        <f t="shared" ca="1" si="124"/>
        <v>0.43039171223904515</v>
      </c>
      <c r="D2020" s="7">
        <f t="shared" ca="1" si="125"/>
        <v>8.8786197168027839E-2</v>
      </c>
      <c r="E2020" s="7">
        <f t="shared" ca="1" si="126"/>
        <v>0.67129428084630471</v>
      </c>
      <c r="F2020" s="7">
        <f t="shared" ca="1" si="127"/>
        <v>2.189190874306788E-2</v>
      </c>
      <c r="G2020" s="7">
        <f ca="1">$C$11/(1+D2020)^1
 +$D$11/(1+D2020)^2
 +$E$11/(1+D2020)^3
 +$F$11/(1+D2020)^4
 +$G$11/(1+D2020)^5
 +$H$11/(1+D2020)^6
 +$I$11/(1+D2020)^7
 + ( $I$11*(1+F2020)/(D2020-F2020) )/(1+D2020)^7</f>
        <v>395.79527534424801</v>
      </c>
      <c r="H2020" s="7">
        <f ca="1">(G2020-$C$8)/$C$9</f>
        <v>2.1728023255554501</v>
      </c>
    </row>
    <row r="2021" spans="3:8" x14ac:dyDescent="0.35">
      <c r="C2021" s="8">
        <f t="shared" ca="1" si="124"/>
        <v>0.48107022360687957</v>
      </c>
      <c r="D2021" s="7">
        <f t="shared" ca="1" si="125"/>
        <v>8.9861459748911743E-2</v>
      </c>
      <c r="E2021" s="7">
        <f t="shared" ca="1" si="126"/>
        <v>0.18172124357887187</v>
      </c>
      <c r="F2021" s="7">
        <f t="shared" ca="1" si="127"/>
        <v>1.6028619138391011E-2</v>
      </c>
      <c r="G2021" s="7">
        <f ca="1">$C$11/(1+D2021)^1
 +$D$11/(1+D2021)^2
 +$E$11/(1+D2021)^3
 +$F$11/(1+D2021)^4
 +$G$11/(1+D2021)^5
 +$H$11/(1+D2021)^6
 +$I$11/(1+D2021)^7
 + ( $I$11*(1+F2021)/(D2021-F2021) )/(1+D2021)^7</f>
        <v>367.29143967295738</v>
      </c>
      <c r="H2021" s="7">
        <f ca="1">(G2021-$C$8)/$C$9</f>
        <v>2.0116544531487865</v>
      </c>
    </row>
    <row r="2022" spans="3:8" x14ac:dyDescent="0.35">
      <c r="C2022" s="8">
        <f t="shared" ca="1" si="124"/>
        <v>0.8670291915227869</v>
      </c>
      <c r="D2022" s="7">
        <f t="shared" ca="1" si="125"/>
        <v>9.9815834319286326E-2</v>
      </c>
      <c r="E2022" s="7">
        <f t="shared" ca="1" si="126"/>
        <v>0.62629519242033127</v>
      </c>
      <c r="F2022" s="7">
        <f t="shared" ca="1" si="127"/>
        <v>2.1354714491936443E-2</v>
      </c>
      <c r="G2022" s="7">
        <f ca="1">$C$11/(1+D2022)^1
 +$D$11/(1+D2022)^2
 +$E$11/(1+D2022)^3
 +$F$11/(1+D2022)^4
 +$G$11/(1+D2022)^5
 +$H$11/(1+D2022)^6
 +$I$11/(1+D2022)^7
 + ( $I$11*(1+F2022)/(D2022-F2022) )/(1+D2022)^7</f>
        <v>336.05358250144059</v>
      </c>
      <c r="H2022" s="7">
        <f ca="1">(G2022-$C$8)/$C$9</f>
        <v>1.835049652314793</v>
      </c>
    </row>
    <row r="2023" spans="3:8" x14ac:dyDescent="0.35">
      <c r="C2023" s="8">
        <f t="shared" ca="1" si="124"/>
        <v>0.18217287572135787</v>
      </c>
      <c r="D2023" s="7">
        <f t="shared" ca="1" si="125"/>
        <v>8.2222183032973836E-2</v>
      </c>
      <c r="E2023" s="7">
        <f t="shared" ca="1" si="126"/>
        <v>0.76520469885941533</v>
      </c>
      <c r="F2023" s="7">
        <f t="shared" ca="1" si="127"/>
        <v>2.3147331889831747E-2</v>
      </c>
      <c r="G2023" s="7">
        <f ca="1">$C$11/(1+D2023)^1
 +$D$11/(1+D2023)^2
 +$E$11/(1+D2023)^3
 +$F$11/(1+D2023)^4
 +$G$11/(1+D2023)^5
 +$H$11/(1+D2023)^6
 +$I$11/(1+D2023)^7
 + ( $I$11*(1+F2023)/(D2023-F2023) )/(1+D2023)^7</f>
        <v>447.49930133872942</v>
      </c>
      <c r="H2023" s="7">
        <f ca="1">(G2023-$C$8)/$C$9</f>
        <v>2.4651136439322108</v>
      </c>
    </row>
    <row r="2024" spans="3:8" x14ac:dyDescent="0.35">
      <c r="C2024" s="8">
        <f t="shared" ca="1" si="124"/>
        <v>0.29978463694172919</v>
      </c>
      <c r="D2024" s="7">
        <f t="shared" ca="1" si="125"/>
        <v>8.567875640132909E-2</v>
      </c>
      <c r="E2024" s="7">
        <f t="shared" ca="1" si="126"/>
        <v>0.80702295274790625</v>
      </c>
      <c r="F2024" s="7">
        <f t="shared" ca="1" si="127"/>
        <v>2.3787479621730102E-2</v>
      </c>
      <c r="G2024" s="7">
        <f ca="1">$C$11/(1+D2024)^1
 +$D$11/(1+D2024)^2
 +$E$11/(1+D2024)^3
 +$F$11/(1+D2024)^4
 +$G$11/(1+D2024)^5
 +$H$11/(1+D2024)^6
 +$I$11/(1+D2024)^7
 + ( $I$11*(1+F2024)/(D2024-F2024) )/(1+D2024)^7</f>
        <v>425.09293305398154</v>
      </c>
      <c r="H2024" s="7">
        <f ca="1">(G2024-$C$8)/$C$9</f>
        <v>2.3384381108886338</v>
      </c>
    </row>
    <row r="2025" spans="3:8" x14ac:dyDescent="0.35">
      <c r="C2025" s="8">
        <f t="shared" ca="1" si="124"/>
        <v>0.20611110177884506</v>
      </c>
      <c r="D2025" s="7">
        <f t="shared" ca="1" si="125"/>
        <v>8.3000427049087777E-2</v>
      </c>
      <c r="E2025" s="7">
        <f t="shared" ca="1" si="126"/>
        <v>0.74405816396853464</v>
      </c>
      <c r="F2025" s="7">
        <f t="shared" ca="1" si="127"/>
        <v>2.2845395384349106E-2</v>
      </c>
      <c r="G2025" s="7">
        <f ca="1">$C$11/(1+D2025)^1
 +$D$11/(1+D2025)^2
 +$E$11/(1+D2025)^3
 +$F$11/(1+D2025)^4
 +$G$11/(1+D2025)^5
 +$H$11/(1+D2025)^6
 +$I$11/(1+D2025)^7
 + ( $I$11*(1+F2025)/(D2025-F2025) )/(1+D2025)^7</f>
        <v>439.83815966134938</v>
      </c>
      <c r="H2025" s="7">
        <f ca="1">(G2025-$C$8)/$C$9</f>
        <v>2.4218009931102973</v>
      </c>
    </row>
    <row r="2026" spans="3:8" x14ac:dyDescent="0.35">
      <c r="C2026" s="8">
        <f t="shared" ca="1" si="124"/>
        <v>0.52591572795600117</v>
      </c>
      <c r="D2026" s="7">
        <f t="shared" ca="1" si="125"/>
        <v>9.0770186371305656E-2</v>
      </c>
      <c r="E2026" s="7">
        <f t="shared" ca="1" si="126"/>
        <v>3.5372107467757319E-2</v>
      </c>
      <c r="F2026" s="7">
        <f t="shared" ca="1" si="127"/>
        <v>1.2659778467006503E-2</v>
      </c>
      <c r="G2026" s="7">
        <f ca="1">$C$11/(1+D2026)^1
 +$D$11/(1+D2026)^2
 +$E$11/(1+D2026)^3
 +$F$11/(1+D2026)^4
 +$G$11/(1+D2026)^5
 +$H$11/(1+D2026)^6
 +$I$11/(1+D2026)^7
 + ( $I$11*(1+F2026)/(D2026-F2026) )/(1+D2026)^7</f>
        <v>351.80258932256856</v>
      </c>
      <c r="H2026" s="7">
        <f ca="1">(G2026-$C$8)/$C$9</f>
        <v>1.9240874565952542</v>
      </c>
    </row>
    <row r="2027" spans="3:8" x14ac:dyDescent="0.35">
      <c r="C2027" s="8">
        <f t="shared" ca="1" si="124"/>
        <v>0.76388375782797591</v>
      </c>
      <c r="D2027" s="7">
        <f t="shared" ca="1" si="125"/>
        <v>9.6429050552957654E-2</v>
      </c>
      <c r="E2027" s="7">
        <f t="shared" ca="1" si="126"/>
        <v>0.96696332836211274</v>
      </c>
      <c r="F2027" s="7">
        <f t="shared" ca="1" si="127"/>
        <v>2.7429526439043294E-2</v>
      </c>
      <c r="G2027" s="7">
        <f ca="1">$C$11/(1+D2027)^1
 +$D$11/(1+D2027)^2
 +$E$11/(1+D2027)^3
 +$F$11/(1+D2027)^4
 +$G$11/(1+D2027)^5
 +$H$11/(1+D2027)^6
 +$I$11/(1+D2027)^7
 + ( $I$11*(1+F2027)/(D2027-F2027) )/(1+D2027)^7</f>
        <v>373.19294048405396</v>
      </c>
      <c r="H2027" s="7">
        <f ca="1">(G2027-$C$8)/$C$9</f>
        <v>2.0450188855950584</v>
      </c>
    </row>
    <row r="2028" spans="3:8" x14ac:dyDescent="0.35">
      <c r="C2028" s="8">
        <f t="shared" ca="1" si="124"/>
        <v>0.86951629813265618</v>
      </c>
      <c r="D2028" s="7">
        <f t="shared" ca="1" si="125"/>
        <v>9.991152700075337E-2</v>
      </c>
      <c r="E2028" s="7">
        <f t="shared" ca="1" si="126"/>
        <v>0.5084165999343947</v>
      </c>
      <c r="F2028" s="7">
        <f t="shared" ca="1" si="127"/>
        <v>2.0084523207978294E-2</v>
      </c>
      <c r="G2028" s="7">
        <f ca="1">$C$11/(1+D2028)^1
 +$D$11/(1+D2028)^2
 +$E$11/(1+D2028)^3
 +$F$11/(1+D2028)^4
 +$G$11/(1+D2028)^5
 +$H$11/(1+D2028)^6
 +$I$11/(1+D2028)^7
 + ( $I$11*(1+F2028)/(D2028-F2028) )/(1+D2028)^7</f>
        <v>332.01692926077754</v>
      </c>
      <c r="H2028" s="7">
        <f ca="1">(G2028-$C$8)/$C$9</f>
        <v>1.8122282296516143</v>
      </c>
    </row>
    <row r="2029" spans="3:8" x14ac:dyDescent="0.35">
      <c r="C2029" s="8">
        <f t="shared" ca="1" si="124"/>
        <v>0.80646826133730665</v>
      </c>
      <c r="D2029" s="7">
        <f t="shared" ca="1" si="125"/>
        <v>9.771363535634317E-2</v>
      </c>
      <c r="E2029" s="7">
        <f t="shared" ca="1" si="126"/>
        <v>0.21480175844465088</v>
      </c>
      <c r="F2029" s="7">
        <f t="shared" ca="1" si="127"/>
        <v>1.6554414671725477E-2</v>
      </c>
      <c r="G2029" s="7">
        <f ca="1">$C$11/(1+D2029)^1
 +$D$11/(1+D2029)^2
 +$E$11/(1+D2029)^3
 +$F$11/(1+D2029)^4
 +$G$11/(1+D2029)^5
 +$H$11/(1+D2029)^6
 +$I$11/(1+D2029)^7
 + ( $I$11*(1+F2029)/(D2029-F2029) )/(1+D2029)^7</f>
        <v>331.75254972333727</v>
      </c>
      <c r="H2029" s="7">
        <f ca="1">(G2029-$C$8)/$C$9</f>
        <v>1.8107335466041228</v>
      </c>
    </row>
    <row r="2030" spans="3:8" x14ac:dyDescent="0.35">
      <c r="C2030" s="8">
        <f t="shared" ca="1" si="124"/>
        <v>0.99243367005313565</v>
      </c>
      <c r="D2030" s="7">
        <f t="shared" ca="1" si="125"/>
        <v>0.10757065083642672</v>
      </c>
      <c r="E2030" s="7">
        <f t="shared" ca="1" si="126"/>
        <v>0.7255619313513797</v>
      </c>
      <c r="F2030" s="7">
        <f t="shared" ca="1" si="127"/>
        <v>2.2591382468386961E-2</v>
      </c>
      <c r="G2030" s="7">
        <f ca="1">$C$11/(1+D2030)^1
 +$D$11/(1+D2030)^2
 +$E$11/(1+D2030)^3
 +$F$11/(1+D2030)^4
 +$G$11/(1+D2030)^5
 +$H$11/(1+D2030)^6
 +$I$11/(1+D2030)^7
 + ( $I$11*(1+F2030)/(D2030-F2030) )/(1+D2030)^7</f>
        <v>307.38477122147179</v>
      </c>
      <c r="H2030" s="7">
        <f ca="1">(G2030-$C$8)/$C$9</f>
        <v>1.672969081984802</v>
      </c>
    </row>
    <row r="2031" spans="3:8" x14ac:dyDescent="0.35">
      <c r="C2031" s="8">
        <f t="shared" ca="1" si="124"/>
        <v>0.28330080298470905</v>
      </c>
      <c r="D2031" s="7">
        <f t="shared" ca="1" si="125"/>
        <v>8.5241609444132255E-2</v>
      </c>
      <c r="E2031" s="7">
        <f t="shared" ca="1" si="126"/>
        <v>0.33089566891783462</v>
      </c>
      <c r="F2031" s="7">
        <f t="shared" ca="1" si="127"/>
        <v>1.8135055856204486E-2</v>
      </c>
      <c r="G2031" s="7">
        <f ca="1">$C$11/(1+D2031)^1
 +$D$11/(1+D2031)^2
 +$E$11/(1+D2031)^3
 +$F$11/(1+D2031)^4
 +$G$11/(1+D2031)^5
 +$H$11/(1+D2031)^6
 +$I$11/(1+D2031)^7
 + ( $I$11*(1+F2031)/(D2031-F2031) )/(1+D2031)^7</f>
        <v>401.75424038351218</v>
      </c>
      <c r="H2031" s="7">
        <f ca="1">(G2031-$C$8)/$C$9</f>
        <v>2.2064916349135695</v>
      </c>
    </row>
    <row r="2032" spans="3:8" x14ac:dyDescent="0.35">
      <c r="C2032" s="8">
        <f t="shared" ca="1" si="124"/>
        <v>0.84839700440520205</v>
      </c>
      <c r="D2032" s="7">
        <f t="shared" ca="1" si="125"/>
        <v>9.9125702939318674E-2</v>
      </c>
      <c r="E2032" s="7">
        <f t="shared" ca="1" si="126"/>
        <v>0.62438328363666551</v>
      </c>
      <c r="F2032" s="7">
        <f t="shared" ca="1" si="127"/>
        <v>2.1332627660434398E-2</v>
      </c>
      <c r="G2032" s="7">
        <f ca="1">$C$11/(1+D2032)^1
 +$D$11/(1+D2032)^2
 +$E$11/(1+D2032)^3
 +$F$11/(1+D2032)^4
 +$G$11/(1+D2032)^5
 +$H$11/(1+D2032)^6
 +$I$11/(1+D2032)^7
 + ( $I$11*(1+F2032)/(D2032-F2032) )/(1+D2032)^7</f>
        <v>339.10378969095814</v>
      </c>
      <c r="H2032" s="7">
        <f ca="1">(G2032-$C$8)/$C$9</f>
        <v>1.8522941524816718</v>
      </c>
    </row>
    <row r="2033" spans="3:8" x14ac:dyDescent="0.35">
      <c r="C2033" s="8">
        <f t="shared" ca="1" si="124"/>
        <v>0.29168069971400801</v>
      </c>
      <c r="D2033" s="7">
        <f t="shared" ca="1" si="125"/>
        <v>8.5465386311550276E-2</v>
      </c>
      <c r="E2033" s="7">
        <f t="shared" ca="1" si="126"/>
        <v>0.46448705892382836</v>
      </c>
      <c r="F2033" s="7">
        <f t="shared" ca="1" si="127"/>
        <v>1.9638330342168483E-2</v>
      </c>
      <c r="G2033" s="7">
        <f ca="1">$C$11/(1+D2033)^1
 +$D$11/(1+D2033)^2
 +$E$11/(1+D2033)^3
 +$F$11/(1+D2033)^4
 +$G$11/(1+D2033)^5
 +$H$11/(1+D2033)^6
 +$I$11/(1+D2033)^7
 + ( $I$11*(1+F2033)/(D2033-F2033) )/(1+D2033)^7</f>
        <v>406.90400522581194</v>
      </c>
      <c r="H2033" s="7">
        <f ca="1">(G2033-$C$8)/$C$9</f>
        <v>2.2356060901504518</v>
      </c>
    </row>
    <row r="2034" spans="3:8" x14ac:dyDescent="0.35">
      <c r="C2034" s="8">
        <f t="shared" ca="1" si="124"/>
        <v>0.86825895309860857</v>
      </c>
      <c r="D2034" s="7">
        <f t="shared" ca="1" si="125"/>
        <v>9.9863037112473713E-2</v>
      </c>
      <c r="E2034" s="7">
        <f t="shared" ca="1" si="126"/>
        <v>2.1238749550921421E-2</v>
      </c>
      <c r="F2034" s="7">
        <f t="shared" ca="1" si="127"/>
        <v>1.2061007013618412E-2</v>
      </c>
      <c r="G2034" s="7">
        <f ca="1">$C$11/(1+D2034)^1
 +$D$11/(1+D2034)^2
 +$E$11/(1+D2034)^3
 +$F$11/(1+D2034)^4
 +$G$11/(1+D2034)^5
 +$H$11/(1+D2034)^6
 +$I$11/(1+D2034)^7
 + ( $I$11*(1+F2034)/(D2034-F2034) )/(1+D2034)^7</f>
        <v>311.81346396953995</v>
      </c>
      <c r="H2034" s="7">
        <f ca="1">(G2034-$C$8)/$C$9</f>
        <v>1.6980069197735184</v>
      </c>
    </row>
    <row r="2035" spans="3:8" x14ac:dyDescent="0.35">
      <c r="C2035" s="8">
        <f t="shared" ca="1" si="124"/>
        <v>0.71027919002552797</v>
      </c>
      <c r="D2035" s="7">
        <f t="shared" ca="1" si="125"/>
        <v>9.496729459544663E-2</v>
      </c>
      <c r="E2035" s="7">
        <f t="shared" ca="1" si="126"/>
        <v>0.1289246789813917</v>
      </c>
      <c r="F2035" s="7">
        <f t="shared" ca="1" si="127"/>
        <v>1.5077886942053588E-2</v>
      </c>
      <c r="G2035" s="7">
        <f ca="1">$C$11/(1+D2035)^1
 +$D$11/(1+D2035)^2
 +$E$11/(1+D2035)^3
 +$F$11/(1+D2035)^4
 +$G$11/(1+D2035)^5
 +$H$11/(1+D2035)^6
 +$I$11/(1+D2035)^7
 + ( $I$11*(1+F2035)/(D2035-F2035) )/(1+D2035)^7</f>
        <v>339.64930302347267</v>
      </c>
      <c r="H2035" s="7">
        <f ca="1">(G2035-$C$8)/$C$9</f>
        <v>1.8553782396170999</v>
      </c>
    </row>
    <row r="2036" spans="3:8" x14ac:dyDescent="0.35">
      <c r="C2036" s="8">
        <f t="shared" ca="1" si="124"/>
        <v>0.32289146758183429</v>
      </c>
      <c r="D2036" s="7">
        <f t="shared" ca="1" si="125"/>
        <v>8.6271785501815842E-2</v>
      </c>
      <c r="E2036" s="7">
        <f t="shared" ca="1" si="126"/>
        <v>0.40922217787637694</v>
      </c>
      <c r="F2036" s="7">
        <f t="shared" ca="1" si="127"/>
        <v>1.9046791451961042E-2</v>
      </c>
      <c r="G2036" s="7">
        <f ca="1">$C$11/(1+D2036)^1
 +$D$11/(1+D2036)^2
 +$E$11/(1+D2036)^3
 +$F$11/(1+D2036)^4
 +$G$11/(1+D2036)^5
 +$H$11/(1+D2036)^6
 +$I$11/(1+D2036)^7
 + ( $I$11*(1+F2036)/(D2036-F2036) )/(1+D2036)^7</f>
        <v>399.24251196414389</v>
      </c>
      <c r="H2036" s="7">
        <f ca="1">(G2036-$C$8)/$C$9</f>
        <v>2.1922914516290359</v>
      </c>
    </row>
    <row r="2037" spans="3:8" x14ac:dyDescent="0.35">
      <c r="C2037" s="8">
        <f t="shared" ca="1" si="124"/>
        <v>0.97166292336553628</v>
      </c>
      <c r="D2037" s="7">
        <f t="shared" ca="1" si="125"/>
        <v>0.10529862575677264</v>
      </c>
      <c r="E2037" s="7">
        <f t="shared" ca="1" si="126"/>
        <v>3.5997091457454777E-3</v>
      </c>
      <c r="F2037" s="7">
        <f t="shared" ca="1" si="127"/>
        <v>1.0848493859228866E-2</v>
      </c>
      <c r="G2037" s="7">
        <f ca="1">$C$11/(1+D2037)^1
 +$D$11/(1+D2037)^2
 +$E$11/(1+D2037)^3
 +$F$11/(1+D2037)^4
 +$G$11/(1+D2037)^5
 +$H$11/(1+D2037)^6
 +$I$11/(1+D2037)^7
 + ( $I$11*(1+F2037)/(D2037-F2037) )/(1+D2037)^7</f>
        <v>290.20729290385441</v>
      </c>
      <c r="H2037" s="7">
        <f ca="1">(G2037-$C$8)/$C$9</f>
        <v>1.5758553420615919</v>
      </c>
    </row>
    <row r="2038" spans="3:8" x14ac:dyDescent="0.35">
      <c r="C2038" s="8">
        <f t="shared" ca="1" si="124"/>
        <v>0.74462155578371358</v>
      </c>
      <c r="D2038" s="7">
        <f t="shared" ca="1" si="125"/>
        <v>9.5886347514243409E-2</v>
      </c>
      <c r="E2038" s="7">
        <f t="shared" ca="1" si="126"/>
        <v>0.39630968811442047</v>
      </c>
      <c r="F2038" s="7">
        <f t="shared" ca="1" si="127"/>
        <v>1.8902917365834868E-2</v>
      </c>
      <c r="G2038" s="7">
        <f ca="1">$C$11/(1+D2038)^1
 +$D$11/(1+D2038)^2
 +$E$11/(1+D2038)^3
 +$F$11/(1+D2038)^4
 +$G$11/(1+D2038)^5
 +$H$11/(1+D2038)^6
 +$I$11/(1+D2038)^7
 + ( $I$11*(1+F2038)/(D2038-F2038) )/(1+D2038)^7</f>
        <v>346.78667398955577</v>
      </c>
      <c r="H2038" s="7">
        <f ca="1">(G2038-$C$8)/$C$9</f>
        <v>1.8957297263091122</v>
      </c>
    </row>
    <row r="2039" spans="3:8" x14ac:dyDescent="0.35">
      <c r="C2039" s="8">
        <f t="shared" ca="1" si="124"/>
        <v>0.4407215783829731</v>
      </c>
      <c r="D2039" s="7">
        <f t="shared" ca="1" si="125"/>
        <v>8.9010304949527719E-2</v>
      </c>
      <c r="E2039" s="7">
        <f t="shared" ca="1" si="126"/>
        <v>0.65972712884986062</v>
      </c>
      <c r="F2039" s="7">
        <f t="shared" ca="1" si="127"/>
        <v>2.1750480363680085E-2</v>
      </c>
      <c r="G2039" s="7">
        <f ca="1">$C$11/(1+D2039)^1
 +$D$11/(1+D2039)^2
 +$E$11/(1+D2039)^3
 +$F$11/(1+D2039)^4
 +$G$11/(1+D2039)^5
 +$H$11/(1+D2039)^6
 +$I$11/(1+D2039)^7
 + ( $I$11*(1+F2039)/(D2039-F2039) )/(1+D2039)^7</f>
        <v>393.82907646036625</v>
      </c>
      <c r="H2039" s="7">
        <f ca="1">(G2039-$C$8)/$C$9</f>
        <v>2.1616863210106638</v>
      </c>
    </row>
    <row r="2040" spans="3:8" x14ac:dyDescent="0.35">
      <c r="C2040" s="8">
        <f t="shared" ca="1" si="124"/>
        <v>0.53329718295602468</v>
      </c>
      <c r="D2040" s="7">
        <f t="shared" ca="1" si="125"/>
        <v>9.0920477016070325E-2</v>
      </c>
      <c r="E2040" s="7">
        <f t="shared" ca="1" si="126"/>
        <v>0.3284832919233015</v>
      </c>
      <c r="F2040" s="7">
        <f t="shared" ca="1" si="127"/>
        <v>1.8105347517821817E-2</v>
      </c>
      <c r="G2040" s="7">
        <f ca="1">$C$11/(1+D2040)^1
 +$D$11/(1+D2040)^2
 +$E$11/(1+D2040)^3
 +$F$11/(1+D2040)^4
 +$G$11/(1+D2040)^5
 +$H$11/(1+D2040)^6
 +$I$11/(1+D2040)^7
 + ( $I$11*(1+F2040)/(D2040-F2040) )/(1+D2040)^7</f>
        <v>368.97726747506852</v>
      </c>
      <c r="H2040" s="7">
        <f ca="1">(G2040-$C$8)/$C$9</f>
        <v>2.0211853656437615</v>
      </c>
    </row>
    <row r="2041" spans="3:8" x14ac:dyDescent="0.35">
      <c r="C2041" s="8">
        <f t="shared" ca="1" si="124"/>
        <v>0.35548517798156665</v>
      </c>
      <c r="D2041" s="7">
        <f t="shared" ca="1" si="125"/>
        <v>8.7073307996544919E-2</v>
      </c>
      <c r="E2041" s="7">
        <f t="shared" ca="1" si="126"/>
        <v>0.28372854912713186</v>
      </c>
      <c r="F2041" s="7">
        <f t="shared" ca="1" si="127"/>
        <v>1.7532974832390347E-2</v>
      </c>
      <c r="G2041" s="7">
        <f ca="1">$C$11/(1+D2041)^1
 +$D$11/(1+D2041)^2
 +$E$11/(1+D2041)^3
 +$F$11/(1+D2041)^4
 +$G$11/(1+D2041)^5
 +$H$11/(1+D2041)^6
 +$I$11/(1+D2041)^7
 + ( $I$11*(1+F2041)/(D2041-F2041) )/(1+D2041)^7</f>
        <v>388.22277618316502</v>
      </c>
      <c r="H2041" s="7">
        <f ca="1">(G2041-$C$8)/$C$9</f>
        <v>2.1299908196696347</v>
      </c>
    </row>
    <row r="2042" spans="3:8" x14ac:dyDescent="0.35">
      <c r="C2042" s="8">
        <f t="shared" ca="1" si="124"/>
        <v>0.53194047484863416</v>
      </c>
      <c r="D2042" s="7">
        <f t="shared" ca="1" si="125"/>
        <v>9.0892764992860281E-2</v>
      </c>
      <c r="E2042" s="7">
        <f t="shared" ca="1" si="126"/>
        <v>0.69033324611394364</v>
      </c>
      <c r="F2042" s="7">
        <f t="shared" ca="1" si="127"/>
        <v>2.2130225493877775E-2</v>
      </c>
      <c r="G2042" s="7">
        <f ca="1">$C$11/(1+D2042)^1
 +$D$11/(1+D2042)^2
 +$E$11/(1+D2042)^3
 +$F$11/(1+D2042)^4
 +$G$11/(1+D2042)^5
 +$H$11/(1+D2042)^6
 +$I$11/(1+D2042)^7
 + ( $I$11*(1+F2042)/(D2042-F2042) )/(1+D2042)^7</f>
        <v>384.17812388645081</v>
      </c>
      <c r="H2042" s="7">
        <f ca="1">(G2042-$C$8)/$C$9</f>
        <v>2.1071241739396811</v>
      </c>
    </row>
    <row r="2043" spans="3:8" x14ac:dyDescent="0.35">
      <c r="C2043" s="8">
        <f t="shared" ca="1" si="124"/>
        <v>0.78555795064032774</v>
      </c>
      <c r="D2043" s="7">
        <f t="shared" ca="1" si="125"/>
        <v>9.7066910713192137E-2</v>
      </c>
      <c r="E2043" s="7">
        <f t="shared" ca="1" si="126"/>
        <v>0.19487398319720561</v>
      </c>
      <c r="F2043" s="7">
        <f t="shared" ca="1" si="127"/>
        <v>1.6242979788485712E-2</v>
      </c>
      <c r="G2043" s="7">
        <f ca="1">$C$11/(1+D2043)^1
 +$D$11/(1+D2043)^2
 +$E$11/(1+D2043)^3
 +$F$11/(1+D2043)^4
 +$G$11/(1+D2043)^5
 +$H$11/(1+D2043)^6
 +$I$11/(1+D2043)^7
 + ( $I$11*(1+F2043)/(D2043-F2043) )/(1+D2043)^7</f>
        <v>333.68645169334701</v>
      </c>
      <c r="H2043" s="7">
        <f ca="1">(G2043-$C$8)/$C$9</f>
        <v>1.8216669589176107</v>
      </c>
    </row>
    <row r="2044" spans="3:8" x14ac:dyDescent="0.35">
      <c r="C2044" s="8">
        <f t="shared" ca="1" si="124"/>
        <v>9.5113536141812061E-3</v>
      </c>
      <c r="D2044" s="7">
        <f t="shared" ca="1" si="125"/>
        <v>7.2792724469694176E-2</v>
      </c>
      <c r="E2044" s="7">
        <f t="shared" ca="1" si="126"/>
        <v>0.65006289020150998</v>
      </c>
      <c r="F2044" s="7">
        <f t="shared" ca="1" si="127"/>
        <v>2.1634151450109919E-2</v>
      </c>
      <c r="G2044" s="7">
        <f ca="1">$C$11/(1+D2044)^1
 +$D$11/(1+D2044)^2
 +$E$11/(1+D2044)^3
 +$F$11/(1+D2044)^4
 +$G$11/(1+D2044)^5
 +$H$11/(1+D2044)^6
 +$I$11/(1+D2044)^7
 + ( $I$11*(1+F2044)/(D2044-F2044) )/(1+D2044)^7</f>
        <v>523.1977068403952</v>
      </c>
      <c r="H2044" s="7">
        <f ca="1">(G2044-$C$8)/$C$9</f>
        <v>2.8930783968814744</v>
      </c>
    </row>
    <row r="2045" spans="3:8" x14ac:dyDescent="0.35">
      <c r="C2045" s="8">
        <f t="shared" ca="1" si="124"/>
        <v>0.33551540917888156</v>
      </c>
      <c r="D2045" s="7">
        <f t="shared" ca="1" si="125"/>
        <v>8.6586821139889428E-2</v>
      </c>
      <c r="E2045" s="7">
        <f t="shared" ca="1" si="126"/>
        <v>4.8584844111551062E-3</v>
      </c>
      <c r="F2045" s="7">
        <f t="shared" ca="1" si="127"/>
        <v>1.0985746865189548E-2</v>
      </c>
      <c r="G2045" s="7">
        <f ca="1">$C$11/(1+D2045)^1
 +$D$11/(1+D2045)^2
 +$E$11/(1+D2045)^3
 +$F$11/(1+D2045)^4
 +$G$11/(1+D2045)^5
 +$H$11/(1+D2045)^6
 +$I$11/(1+D2045)^7
 + ( $I$11*(1+F2045)/(D2045-F2045) )/(1+D2045)^7</f>
        <v>367.03870719886925</v>
      </c>
      <c r="H2045" s="7">
        <f ca="1">(G2045-$C$8)/$C$9</f>
        <v>2.0102256173613142</v>
      </c>
    </row>
    <row r="2046" spans="3:8" x14ac:dyDescent="0.35">
      <c r="C2046" s="8">
        <f t="shared" ca="1" si="124"/>
        <v>0.18199480682709179</v>
      </c>
      <c r="D2046" s="7">
        <f t="shared" ca="1" si="125"/>
        <v>8.2216208151395229E-2</v>
      </c>
      <c r="E2046" s="7">
        <f t="shared" ca="1" si="126"/>
        <v>0.10045645908514655</v>
      </c>
      <c r="F2046" s="7">
        <f t="shared" ca="1" si="127"/>
        <v>1.4482331069547331E-2</v>
      </c>
      <c r="G2046" s="7">
        <f ca="1">$C$11/(1+D2046)^1
 +$D$11/(1+D2046)^2
 +$E$11/(1+D2046)^3
 +$F$11/(1+D2046)^4
 +$G$11/(1+D2046)^5
 +$H$11/(1+D2046)^6
 +$I$11/(1+D2046)^7
 + ( $I$11*(1+F2046)/(D2046-F2046) )/(1+D2046)^7</f>
        <v>405.01382133305447</v>
      </c>
      <c r="H2046" s="7">
        <f ca="1">(G2046-$C$8)/$C$9</f>
        <v>2.2249198401913977</v>
      </c>
    </row>
    <row r="2047" spans="3:8" x14ac:dyDescent="0.35">
      <c r="C2047" s="8">
        <f t="shared" ca="1" si="124"/>
        <v>7.1765252909950172E-2</v>
      </c>
      <c r="D2047" s="7">
        <f t="shared" ca="1" si="125"/>
        <v>7.7671212901892328E-2</v>
      </c>
      <c r="E2047" s="7">
        <f t="shared" ca="1" si="126"/>
        <v>0.75974643292192567</v>
      </c>
      <c r="F2047" s="7">
        <f t="shared" ca="1" si="127"/>
        <v>2.3068137810399368E-2</v>
      </c>
      <c r="G2047" s="7">
        <f ca="1">$C$11/(1+D2047)^1
 +$D$11/(1+D2047)^2
 +$E$11/(1+D2047)^3
 +$F$11/(1+D2047)^4
 +$G$11/(1+D2047)^5
 +$H$11/(1+D2047)^6
 +$I$11/(1+D2047)^7
 + ( $I$11*(1+F2047)/(D2047-F2047) )/(1+D2047)^7</f>
        <v>485.63282218325594</v>
      </c>
      <c r="H2047" s="7">
        <f ca="1">(G2047-$C$8)/$C$9</f>
        <v>2.6807034270876069</v>
      </c>
    </row>
    <row r="2048" spans="3:8" x14ac:dyDescent="0.35">
      <c r="C2048" s="8">
        <f t="shared" ca="1" si="124"/>
        <v>0.13306426618618672</v>
      </c>
      <c r="D2048" s="7">
        <f t="shared" ca="1" si="125"/>
        <v>8.0445702382926351E-2</v>
      </c>
      <c r="E2048" s="7">
        <f t="shared" ca="1" si="126"/>
        <v>0.5409734261443585</v>
      </c>
      <c r="F2048" s="7">
        <f t="shared" ca="1" si="127"/>
        <v>2.0418490997179604E-2</v>
      </c>
      <c r="G2048" s="7">
        <f ca="1">$C$11/(1+D2048)^1
 +$D$11/(1+D2048)^2
 +$E$11/(1+D2048)^3
 +$F$11/(1+D2048)^4
 +$G$11/(1+D2048)^5
 +$H$11/(1+D2048)^6
 +$I$11/(1+D2048)^7
 + ( $I$11*(1+F2048)/(D2048-F2048) )/(1+D2048)^7</f>
        <v>446.12476017523738</v>
      </c>
      <c r="H2048" s="7">
        <f ca="1">(G2048-$C$8)/$C$9</f>
        <v>2.4573426061467512</v>
      </c>
    </row>
    <row r="2049" spans="3:8" x14ac:dyDescent="0.35">
      <c r="C2049" s="8">
        <f t="shared" ca="1" si="124"/>
        <v>5.1888785677766558E-2</v>
      </c>
      <c r="D2049" s="7">
        <f t="shared" ca="1" si="125"/>
        <v>7.6522944446779276E-2</v>
      </c>
      <c r="E2049" s="7">
        <f t="shared" ca="1" si="126"/>
        <v>0.235397751540805</v>
      </c>
      <c r="F2049" s="7">
        <f t="shared" ca="1" si="127"/>
        <v>1.6861453950013875E-2</v>
      </c>
      <c r="G2049" s="7">
        <f ca="1">$C$11/(1+D2049)^1
 +$D$11/(1+D2049)^2
 +$E$11/(1+D2049)^3
 +$F$11/(1+D2049)^4
 +$G$11/(1+D2049)^5
 +$H$11/(1+D2049)^6
 +$I$11/(1+D2049)^7
 + ( $I$11*(1+F2049)/(D2049-F2049) )/(1+D2049)^7</f>
        <v>456.95983410364954</v>
      </c>
      <c r="H2049" s="7">
        <f ca="1">(G2049-$C$8)/$C$9</f>
        <v>2.5185992430102302</v>
      </c>
    </row>
    <row r="2050" spans="3:8" x14ac:dyDescent="0.35">
      <c r="C2050" s="8">
        <f t="shared" ca="1" si="124"/>
        <v>0.95963187520066229</v>
      </c>
      <c r="D2050" s="7">
        <f t="shared" ca="1" si="125"/>
        <v>0.10438865993335965</v>
      </c>
      <c r="E2050" s="7">
        <f t="shared" ca="1" si="126"/>
        <v>0.89867172848009802</v>
      </c>
      <c r="F2050" s="7">
        <f t="shared" ca="1" si="127"/>
        <v>2.5498260968916525E-2</v>
      </c>
      <c r="G2050" s="7">
        <f ca="1">$C$11/(1+D2050)^1
 +$D$11/(1+D2050)^2
 +$E$11/(1+D2050)^3
 +$F$11/(1+D2050)^4
 +$G$11/(1+D2050)^5
 +$H$11/(1+D2050)^6
 +$I$11/(1+D2050)^7
 + ( $I$11*(1+F2050)/(D2050-F2050) )/(1+D2050)^7</f>
        <v>327.72745755611646</v>
      </c>
      <c r="H2050" s="7">
        <f ca="1">(G2050-$C$8)/$C$9</f>
        <v>1.7879774850526711</v>
      </c>
    </row>
    <row r="2051" spans="3:8" x14ac:dyDescent="0.35">
      <c r="C2051" s="8">
        <f t="shared" ca="1" si="124"/>
        <v>0.75229516989000833</v>
      </c>
      <c r="D2051" s="7">
        <f t="shared" ca="1" si="125"/>
        <v>9.6100008363822889E-2</v>
      </c>
      <c r="E2051" s="7">
        <f t="shared" ca="1" si="126"/>
        <v>0.29232420721089369</v>
      </c>
      <c r="F2051" s="7">
        <f t="shared" ca="1" si="127"/>
        <v>1.7646230538126528E-2</v>
      </c>
      <c r="G2051" s="7">
        <f ca="1">$C$11/(1+D2051)^1
 +$D$11/(1+D2051)^2
 +$E$11/(1+D2051)^3
 +$F$11/(1+D2051)^4
 +$G$11/(1+D2051)^5
 +$H$11/(1+D2051)^6
 +$I$11/(1+D2051)^7
 + ( $I$11*(1+F2051)/(D2051-F2051) )/(1+D2051)^7</f>
        <v>342.00729076766288</v>
      </c>
      <c r="H2051" s="7">
        <f ca="1">(G2051-$C$8)/$C$9</f>
        <v>1.8687092422414229</v>
      </c>
    </row>
    <row r="2052" spans="3:8" x14ac:dyDescent="0.35">
      <c r="C2052" s="8">
        <f t="shared" ca="1" si="124"/>
        <v>0.14263966038223674</v>
      </c>
      <c r="D2052" s="7">
        <f t="shared" ca="1" si="125"/>
        <v>8.0815013708425629E-2</v>
      </c>
      <c r="E2052" s="7">
        <f t="shared" ca="1" si="126"/>
        <v>8.6458487067927803E-2</v>
      </c>
      <c r="F2052" s="7">
        <f t="shared" ca="1" si="127"/>
        <v>1.4158328680321646E-2</v>
      </c>
      <c r="G2052" s="7">
        <f ca="1">$C$11/(1+D2052)^1
 +$D$11/(1+D2052)^2
 +$E$11/(1+D2052)^3
 +$F$11/(1+D2052)^4
 +$G$11/(1+D2052)^5
 +$H$11/(1+D2052)^6
 +$I$11/(1+D2052)^7
 + ( $I$11*(1+F2052)/(D2052-F2052) )/(1+D2052)^7</f>
        <v>412.51774388499763</v>
      </c>
      <c r="H2052" s="7">
        <f ca="1">(G2052-$C$8)/$C$9</f>
        <v>2.2673436447591451</v>
      </c>
    </row>
    <row r="2053" spans="3:8" x14ac:dyDescent="0.35">
      <c r="C2053" s="8">
        <f t="shared" ca="1" si="124"/>
        <v>0.57351445007185875</v>
      </c>
      <c r="D2053" s="7">
        <f t="shared" ca="1" si="125"/>
        <v>9.1761065575424905E-2</v>
      </c>
      <c r="E2053" s="7">
        <f t="shared" ca="1" si="126"/>
        <v>0.83880543595776058</v>
      </c>
      <c r="F2053" s="7">
        <f t="shared" ca="1" si="127"/>
        <v>2.4322067910898557E-2</v>
      </c>
      <c r="G2053" s="7">
        <f ca="1">$C$11/(1+D2053)^1
 +$D$11/(1+D2053)^2
 +$E$11/(1+D2053)^3
 +$F$11/(1+D2053)^4
 +$G$11/(1+D2053)^5
 +$H$11/(1+D2053)^6
 +$I$11/(1+D2053)^7
 + ( $I$11*(1+F2053)/(D2053-F2053) )/(1+D2053)^7</f>
        <v>387.89239782197899</v>
      </c>
      <c r="H2053" s="7">
        <f ca="1">(G2053-$C$8)/$C$9</f>
        <v>2.1281230089437977</v>
      </c>
    </row>
    <row r="2054" spans="3:8" x14ac:dyDescent="0.35">
      <c r="C2054" s="8">
        <f t="shared" ca="1" si="124"/>
        <v>0.86203361530216449</v>
      </c>
      <c r="D2054" s="7">
        <f t="shared" ca="1" si="125"/>
        <v>9.9626293812512728E-2</v>
      </c>
      <c r="E2054" s="7">
        <f t="shared" ca="1" si="126"/>
        <v>0.32766432002489643</v>
      </c>
      <c r="F2054" s="7">
        <f t="shared" ca="1" si="127"/>
        <v>1.8095237118514768E-2</v>
      </c>
      <c r="G2054" s="7">
        <f ca="1">$C$11/(1+D2054)^1
 +$D$11/(1+D2054)^2
 +$E$11/(1+D2054)^3
 +$F$11/(1+D2054)^4
 +$G$11/(1+D2054)^5
 +$H$11/(1+D2054)^6
 +$I$11/(1+D2054)^7
 + ( $I$11*(1+F2054)/(D2054-F2054) )/(1+D2054)^7</f>
        <v>327.78888264036021</v>
      </c>
      <c r="H2054" s="7">
        <f ca="1">(G2054-$C$8)/$C$9</f>
        <v>1.7883247548640897</v>
      </c>
    </row>
    <row r="2055" spans="3:8" x14ac:dyDescent="0.35">
      <c r="C2055" s="8">
        <f t="shared" ca="1" si="124"/>
        <v>4.9301931724569092E-3</v>
      </c>
      <c r="D2055" s="7">
        <f t="shared" ca="1" si="125"/>
        <v>7.2010661185136549E-2</v>
      </c>
      <c r="E2055" s="7">
        <f t="shared" ca="1" si="126"/>
        <v>0.64866474850207134</v>
      </c>
      <c r="F2055" s="7">
        <f t="shared" ca="1" si="127"/>
        <v>2.1617455618990991E-2</v>
      </c>
      <c r="G2055" s="7">
        <f ca="1">$C$11/(1+D2055)^1
 +$D$11/(1+D2055)^2
 +$E$11/(1+D2055)^3
 +$F$11/(1+D2055)^4
 +$G$11/(1+D2055)^5
 +$H$11/(1+D2055)^6
 +$I$11/(1+D2055)^7
 + ( $I$11*(1+F2055)/(D2055-F2055) )/(1+D2055)^7</f>
        <v>531.44631360325593</v>
      </c>
      <c r="H2055" s="7">
        <f ca="1">(G2055-$C$8)/$C$9</f>
        <v>2.9397123111898233</v>
      </c>
    </row>
    <row r="2056" spans="3:8" x14ac:dyDescent="0.35">
      <c r="C2056" s="8">
        <f t="shared" ca="1" si="124"/>
        <v>0.55378763423792643</v>
      </c>
      <c r="D2056" s="7">
        <f t="shared" ca="1" si="125"/>
        <v>9.134401851162964E-2</v>
      </c>
      <c r="E2056" s="7">
        <f t="shared" ca="1" si="126"/>
        <v>0.11875224019576791</v>
      </c>
      <c r="F2056" s="7">
        <f t="shared" ca="1" si="127"/>
        <v>1.4873443140034935E-2</v>
      </c>
      <c r="G2056" s="7">
        <f ca="1">$C$11/(1+D2056)^1
 +$D$11/(1+D2056)^2
 +$E$11/(1+D2056)^3
 +$F$11/(1+D2056)^4
 +$G$11/(1+D2056)^5
 +$H$11/(1+D2056)^6
 +$I$11/(1+D2056)^7
 + ( $I$11*(1+F2056)/(D2056-F2056) )/(1+D2056)^7</f>
        <v>355.97058658618522</v>
      </c>
      <c r="H2056" s="7">
        <f ca="1">(G2056-$C$8)/$C$9</f>
        <v>1.9476514393158368</v>
      </c>
    </row>
    <row r="2057" spans="3:8" x14ac:dyDescent="0.35">
      <c r="C2057" s="8">
        <f t="shared" ca="1" si="124"/>
        <v>0.13907009283343541</v>
      </c>
      <c r="D2057" s="7">
        <f t="shared" ca="1" si="125"/>
        <v>8.0678833088096147E-2</v>
      </c>
      <c r="E2057" s="7">
        <f t="shared" ca="1" si="126"/>
        <v>0.99214364168355196</v>
      </c>
      <c r="F2057" s="7">
        <f t="shared" ca="1" si="127"/>
        <v>2.8746496245203226E-2</v>
      </c>
      <c r="G2057" s="7">
        <f ca="1">$C$11/(1+D2057)^1
 +$D$11/(1+D2057)^2
 +$E$11/(1+D2057)^3
 +$F$11/(1+D2057)^4
 +$G$11/(1+D2057)^5
 +$H$11/(1+D2057)^6
 +$I$11/(1+D2057)^7
 + ( $I$11*(1+F2057)/(D2057-F2057) )/(1+D2057)^7</f>
        <v>497.04375780922101</v>
      </c>
      <c r="H2057" s="7">
        <f ca="1">(G2057-$C$8)/$C$9</f>
        <v>2.7452157270987168</v>
      </c>
    </row>
    <row r="2058" spans="3:8" x14ac:dyDescent="0.35">
      <c r="C2058" s="8">
        <f t="shared" ca="1" si="124"/>
        <v>0.91392558361766019</v>
      </c>
      <c r="D2058" s="7">
        <f t="shared" ca="1" si="125"/>
        <v>0.10180621914021219</v>
      </c>
      <c r="E2058" s="7">
        <f t="shared" ca="1" si="126"/>
        <v>0.84909316617491515</v>
      </c>
      <c r="F2058" s="7">
        <f t="shared" ca="1" si="127"/>
        <v>2.450624292810312E-2</v>
      </c>
      <c r="G2058" s="7">
        <f ca="1">$C$11/(1+D2058)^1
 +$D$11/(1+D2058)^2
 +$E$11/(1+D2058)^3
 +$F$11/(1+D2058)^4
 +$G$11/(1+D2058)^5
 +$H$11/(1+D2058)^6
 +$I$11/(1+D2058)^7
 + ( $I$11*(1+F2058)/(D2058-F2058) )/(1+D2058)^7</f>
        <v>336.30648805039635</v>
      </c>
      <c r="H2058" s="7">
        <f ca="1">(G2058-$C$8)/$C$9</f>
        <v>1.8364794665897577</v>
      </c>
    </row>
    <row r="2059" spans="3:8" x14ac:dyDescent="0.35">
      <c r="C2059" s="8">
        <f t="shared" ca="1" si="124"/>
        <v>0.71387403296203611</v>
      </c>
      <c r="D2059" s="7">
        <f t="shared" ca="1" si="125"/>
        <v>9.5060848274094945E-2</v>
      </c>
      <c r="E2059" s="7">
        <f t="shared" ca="1" si="126"/>
        <v>0.39371884967787019</v>
      </c>
      <c r="F2059" s="7">
        <f t="shared" ca="1" si="127"/>
        <v>1.8873768643342809E-2</v>
      </c>
      <c r="G2059" s="7">
        <f ca="1">$C$11/(1+D2059)^1
 +$D$11/(1+D2059)^2
 +$E$11/(1+D2059)^3
 +$F$11/(1+D2059)^4
 +$G$11/(1+D2059)^5
 +$H$11/(1+D2059)^6
 +$I$11/(1+D2059)^7
 + ( $I$11*(1+F2059)/(D2059-F2059) )/(1+D2059)^7</f>
        <v>350.62887394045094</v>
      </c>
      <c r="H2059" s="7">
        <f ca="1">(G2059-$C$8)/$C$9</f>
        <v>1.917451797492373</v>
      </c>
    </row>
    <row r="2060" spans="3:8" x14ac:dyDescent="0.35">
      <c r="C2060" s="8">
        <f t="shared" ca="1" si="124"/>
        <v>0.34483750677712977</v>
      </c>
      <c r="D2060" s="7">
        <f t="shared" ca="1" si="125"/>
        <v>8.6815669940779827E-2</v>
      </c>
      <c r="E2060" s="7">
        <f t="shared" ca="1" si="126"/>
        <v>0.34636797290637367</v>
      </c>
      <c r="F2060" s="7">
        <f t="shared" ca="1" si="127"/>
        <v>1.8323076028805382E-2</v>
      </c>
      <c r="G2060" s="7">
        <f ca="1">$C$11/(1+D2060)^1
 +$D$11/(1+D2060)^2
 +$E$11/(1+D2060)^3
 +$F$11/(1+D2060)^4
 +$G$11/(1+D2060)^5
 +$H$11/(1+D2060)^6
 +$I$11/(1+D2060)^7
 + ( $I$11*(1+F2060)/(D2060-F2060) )/(1+D2060)^7</f>
        <v>392.9185042254656</v>
      </c>
      <c r="H2060" s="7">
        <f ca="1">(G2060-$C$8)/$C$9</f>
        <v>2.1565383549607957</v>
      </c>
    </row>
    <row r="2061" spans="3:8" x14ac:dyDescent="0.35">
      <c r="C2061" s="8">
        <f t="shared" ca="1" si="124"/>
        <v>0.88695935171309115</v>
      </c>
      <c r="D2061" s="7">
        <f t="shared" ca="1" si="125"/>
        <v>0.1006100209976918</v>
      </c>
      <c r="E2061" s="7">
        <f t="shared" ca="1" si="126"/>
        <v>0.44843223444446667</v>
      </c>
      <c r="F2061" s="7">
        <f t="shared" ca="1" si="127"/>
        <v>1.9470292861833438E-2</v>
      </c>
      <c r="G2061" s="7">
        <f ca="1">$C$11/(1+D2061)^1
 +$D$11/(1+D2061)^2
 +$E$11/(1+D2061)^3
 +$F$11/(1+D2061)^4
 +$G$11/(1+D2061)^5
 +$H$11/(1+D2061)^6
 +$I$11/(1+D2061)^7
 + ( $I$11*(1+F2061)/(D2061-F2061) )/(1+D2061)^7</f>
        <v>327.33462131409794</v>
      </c>
      <c r="H2061" s="7">
        <f ca="1">(G2061-$C$8)/$C$9</f>
        <v>1.7857565655478174</v>
      </c>
    </row>
    <row r="2062" spans="3:8" x14ac:dyDescent="0.35">
      <c r="C2062" s="8">
        <f t="shared" ca="1" si="124"/>
        <v>4.6180004420921961E-2</v>
      </c>
      <c r="D2062" s="7">
        <f t="shared" ca="1" si="125"/>
        <v>7.6153665868826159E-2</v>
      </c>
      <c r="E2062" s="7">
        <f t="shared" ca="1" si="126"/>
        <v>0.3749353847890966</v>
      </c>
      <c r="F2062" s="7">
        <f t="shared" ca="1" si="127"/>
        <v>1.8659507893513311E-2</v>
      </c>
      <c r="G2062" s="7">
        <f ca="1">$C$11/(1+D2062)^1
 +$D$11/(1+D2062)^2
 +$E$11/(1+D2062)^3
 +$F$11/(1+D2062)^4
 +$G$11/(1+D2062)^5
 +$H$11/(1+D2062)^6
 +$I$11/(1+D2062)^7
 + ( $I$11*(1+F2062)/(D2062-F2062) )/(1+D2062)^7</f>
        <v>470.63429311719892</v>
      </c>
      <c r="H2062" s="7">
        <f ca="1">(G2062-$C$8)/$C$9</f>
        <v>2.5959084866417848</v>
      </c>
    </row>
    <row r="2063" spans="3:8" x14ac:dyDescent="0.35">
      <c r="C2063" s="8">
        <f t="shared" ca="1" si="124"/>
        <v>0.17519041512188771</v>
      </c>
      <c r="D2063" s="7">
        <f t="shared" ca="1" si="125"/>
        <v>8.1985663953237975E-2</v>
      </c>
      <c r="E2063" s="7">
        <f t="shared" ca="1" si="126"/>
        <v>0.70086445776554673</v>
      </c>
      <c r="F2063" s="7">
        <f t="shared" ca="1" si="127"/>
        <v>2.2265201460484531E-2</v>
      </c>
      <c r="G2063" s="7">
        <f ca="1">$C$11/(1+D2063)^1
 +$D$11/(1+D2063)^2
 +$E$11/(1+D2063)^3
 +$F$11/(1+D2063)^4
 +$G$11/(1+D2063)^5
 +$H$11/(1+D2063)^6
 +$I$11/(1+D2063)^7
 + ( $I$11*(1+F2063)/(D2063-F2063) )/(1+D2063)^7</f>
        <v>444.42448092649909</v>
      </c>
      <c r="H2063" s="7">
        <f ca="1">(G2063-$C$8)/$C$9</f>
        <v>2.4477299916694881</v>
      </c>
    </row>
    <row r="2064" spans="3:8" x14ac:dyDescent="0.35">
      <c r="C2064" s="8">
        <f t="shared" ca="1" si="124"/>
        <v>0.96991049595915113</v>
      </c>
      <c r="D2064" s="7">
        <f t="shared" ca="1" si="125"/>
        <v>0.10515543467874959</v>
      </c>
      <c r="E2064" s="7">
        <f t="shared" ca="1" si="126"/>
        <v>0.71714140258489778</v>
      </c>
      <c r="F2064" s="7">
        <f t="shared" ca="1" si="127"/>
        <v>2.2478582614758012E-2</v>
      </c>
      <c r="G2064" s="7">
        <f ca="1">$C$11/(1+D2064)^1
 +$D$11/(1+D2064)^2
 +$E$11/(1+D2064)^3
 +$F$11/(1+D2064)^4
 +$G$11/(1+D2064)^5
 +$H$11/(1+D2064)^6
 +$I$11/(1+D2064)^7
 + ( $I$11*(1+F2064)/(D2064-F2064) )/(1+D2064)^7</f>
        <v>316.50485959737097</v>
      </c>
      <c r="H2064" s="7">
        <f ca="1">(G2064-$C$8)/$C$9</f>
        <v>1.7245299615409937</v>
      </c>
    </row>
    <row r="2065" spans="3:8" x14ac:dyDescent="0.35">
      <c r="C2065" s="8">
        <f t="shared" ref="C2065:C2116" ca="1" si="128">RAND()</f>
        <v>0.94805401346073048</v>
      </c>
      <c r="D2065" s="7">
        <f t="shared" ref="D2065:D2116" ca="1" si="129">IF(C2065&lt;(0.0905-0.07)/(0.11-0.07),
 0.07+SQRT(C2065*(0.11-0.07)*(0.0905-0.07)),
 0.11-SQRT((1-C2065)*(0.11-0.07)*(0.11-0.0905))
)</f>
        <v>0.10363463516358801</v>
      </c>
      <c r="E2065" s="7">
        <f t="shared" ref="E2065:E2116" ca="1" si="130">RAND()</f>
        <v>0.43444506923788984</v>
      </c>
      <c r="F2065" s="7">
        <f t="shared" ref="F2065:F2116" ca="1" si="131">MIN(
 IF(E2065&lt;(0.02-0.01)/(0.03-0.01),
   0.01+SQRT(E2065*(0.03-0.01)*(0.02-0.01)),
   0.03-SQRT((1-E2065)*(0.03-0.01)*(0.03-0.02))
 ),
 D2065-0.005
)</f>
        <v>1.9321427672174363E-2</v>
      </c>
      <c r="G2065" s="7">
        <f ca="1">$C$11/(1+D2065)^1
 +$D$11/(1+D2065)^2
 +$E$11/(1+D2065)^3
 +$F$11/(1+D2065)^4
 +$G$11/(1+D2065)^5
 +$H$11/(1+D2065)^6
 +$I$11/(1+D2065)^7
 + ( $I$11*(1+F2065)/(D2065-F2065) )/(1+D2065)^7</f>
        <v>314.64831990519684</v>
      </c>
      <c r="H2065" s="7">
        <f ca="1">(G2065-$C$8)/$C$9</f>
        <v>1.7140339207666035</v>
      </c>
    </row>
    <row r="2066" spans="3:8" x14ac:dyDescent="0.35">
      <c r="C2066" s="8">
        <f t="shared" ca="1" si="128"/>
        <v>0.87305172267159803</v>
      </c>
      <c r="D2066" s="7">
        <f t="shared" ca="1" si="129"/>
        <v>0.10004913791090674</v>
      </c>
      <c r="E2066" s="7">
        <f t="shared" ca="1" si="130"/>
        <v>0.69493259692222897</v>
      </c>
      <c r="F2066" s="7">
        <f t="shared" ca="1" si="131"/>
        <v>2.2188887363790342E-2</v>
      </c>
      <c r="G2066" s="7">
        <f ca="1">$C$11/(1+D2066)^1
 +$D$11/(1+D2066)^2
 +$E$11/(1+D2066)^3
 +$F$11/(1+D2066)^4
 +$G$11/(1+D2066)^5
 +$H$11/(1+D2066)^6
 +$I$11/(1+D2066)^7
 + ( $I$11*(1+F2066)/(D2066-F2066) )/(1+D2066)^7</f>
        <v>337.4367551625229</v>
      </c>
      <c r="H2066" s="7">
        <f ca="1">(G2066-$C$8)/$C$9</f>
        <v>1.8428694887071624</v>
      </c>
    </row>
    <row r="2067" spans="3:8" x14ac:dyDescent="0.35">
      <c r="C2067" s="8">
        <f t="shared" ca="1" si="128"/>
        <v>0.7120276246363193</v>
      </c>
      <c r="D2067" s="7">
        <f t="shared" ca="1" si="129"/>
        <v>9.5012723636908838E-2</v>
      </c>
      <c r="E2067" s="7">
        <f t="shared" ca="1" si="130"/>
        <v>0.29864999795563607</v>
      </c>
      <c r="F2067" s="7">
        <f t="shared" ca="1" si="131"/>
        <v>1.7728518589686333E-2</v>
      </c>
      <c r="G2067" s="7">
        <f ca="1">$C$11/(1+D2067)^1
 +$D$11/(1+D2067)^2
 +$E$11/(1+D2067)^3
 +$F$11/(1+D2067)^4
 +$G$11/(1+D2067)^5
 +$H$11/(1+D2067)^6
 +$I$11/(1+D2067)^7
 + ( $I$11*(1+F2067)/(D2067-F2067) )/(1+D2067)^7</f>
        <v>347.29879255975578</v>
      </c>
      <c r="H2067" s="7">
        <f ca="1">(G2067-$C$8)/$C$9</f>
        <v>1.8986250144717083</v>
      </c>
    </row>
    <row r="2068" spans="3:8" x14ac:dyDescent="0.35">
      <c r="C2068" s="8">
        <f t="shared" ca="1" si="128"/>
        <v>0.70352953316268629</v>
      </c>
      <c r="D2068" s="7">
        <f t="shared" ca="1" si="129"/>
        <v>9.47931934932707E-2</v>
      </c>
      <c r="E2068" s="7">
        <f t="shared" ca="1" si="130"/>
        <v>0.64538876312268345</v>
      </c>
      <c r="F2068" s="7">
        <f t="shared" ca="1" si="131"/>
        <v>2.1578465260092831E-2</v>
      </c>
      <c r="G2068" s="7">
        <f ca="1">$C$11/(1+D2068)^1
 +$D$11/(1+D2068)^2
 +$E$11/(1+D2068)^3
 +$F$11/(1+D2068)^4
 +$G$11/(1+D2068)^5
 +$H$11/(1+D2068)^6
 +$I$11/(1+D2068)^7
 + ( $I$11*(1+F2068)/(D2068-F2068) )/(1+D2068)^7</f>
        <v>360.83826097238875</v>
      </c>
      <c r="H2068" s="7">
        <f ca="1">(G2068-$C$8)/$C$9</f>
        <v>1.9751710819334505</v>
      </c>
    </row>
    <row r="2069" spans="3:8" x14ac:dyDescent="0.35">
      <c r="C2069" s="8">
        <f t="shared" ca="1" si="128"/>
        <v>3.3882148043358873E-2</v>
      </c>
      <c r="D2069" s="7">
        <f t="shared" ca="1" si="129"/>
        <v>7.5270992448823501E-2</v>
      </c>
      <c r="E2069" s="7">
        <f t="shared" ca="1" si="130"/>
        <v>0.80090966106396477</v>
      </c>
      <c r="F2069" s="7">
        <f t="shared" ca="1" si="131"/>
        <v>2.3689844075840356E-2</v>
      </c>
      <c r="G2069" s="7">
        <f ca="1">$C$11/(1+D2069)^1
 +$D$11/(1+D2069)^2
 +$E$11/(1+D2069)^3
 +$F$11/(1+D2069)^4
 +$G$11/(1+D2069)^5
 +$H$11/(1+D2069)^6
 +$I$11/(1+D2069)^7
 + ( $I$11*(1+F2069)/(D2069-F2069) )/(1+D2069)^7</f>
        <v>513.41365103099952</v>
      </c>
      <c r="H2069" s="7">
        <f ca="1">(G2069-$C$8)/$C$9</f>
        <v>2.8377637439563519</v>
      </c>
    </row>
    <row r="2070" spans="3:8" x14ac:dyDescent="0.35">
      <c r="C2070" s="8">
        <f t="shared" ca="1" si="128"/>
        <v>0.61688206451321292</v>
      </c>
      <c r="D2070" s="7">
        <f t="shared" ca="1" si="129"/>
        <v>9.2713242360705869E-2</v>
      </c>
      <c r="E2070" s="7">
        <f t="shared" ca="1" si="130"/>
        <v>0.15569023004628635</v>
      </c>
      <c r="F2070" s="7">
        <f t="shared" ca="1" si="131"/>
        <v>1.5580147489919711E-2</v>
      </c>
      <c r="G2070" s="7">
        <f ca="1">$C$11/(1+D2070)^1
 +$D$11/(1+D2070)^2
 +$E$11/(1+D2070)^3
 +$F$11/(1+D2070)^4
 +$G$11/(1+D2070)^5
 +$H$11/(1+D2070)^6
 +$I$11/(1+D2070)^7
 + ( $I$11*(1+F2070)/(D2070-F2070) )/(1+D2070)^7</f>
        <v>351.57667611987074</v>
      </c>
      <c r="H2070" s="7">
        <f ca="1">(G2070-$C$8)/$C$9</f>
        <v>1.9228102449110738</v>
      </c>
    </row>
    <row r="2071" spans="3:8" x14ac:dyDescent="0.35">
      <c r="C2071" s="8">
        <f t="shared" ca="1" si="128"/>
        <v>0.32360169130903049</v>
      </c>
      <c r="D2071" s="7">
        <f t="shared" ca="1" si="129"/>
        <v>8.6289671171432686E-2</v>
      </c>
      <c r="E2071" s="7">
        <f t="shared" ca="1" si="130"/>
        <v>0.8762671743264957</v>
      </c>
      <c r="F2071" s="7">
        <f t="shared" ca="1" si="131"/>
        <v>2.5025408043396841E-2</v>
      </c>
      <c r="G2071" s="7">
        <f ca="1">$C$11/(1+D2071)^1
 +$D$11/(1+D2071)^2
 +$E$11/(1+D2071)^3
 +$F$11/(1+D2071)^4
 +$G$11/(1+D2071)^5
 +$H$11/(1+D2071)^6
 +$I$11/(1+D2071)^7
 + ( $I$11*(1+F2071)/(D2071-F2071) )/(1+D2071)^7</f>
        <v>426.99771983173935</v>
      </c>
      <c r="H2071" s="7">
        <f ca="1">(G2071-$C$8)/$C$9</f>
        <v>2.3492069189944558</v>
      </c>
    </row>
    <row r="2072" spans="3:8" x14ac:dyDescent="0.35">
      <c r="C2072" s="8">
        <f t="shared" ca="1" si="128"/>
        <v>3.5250654387443126E-3</v>
      </c>
      <c r="D2072" s="7">
        <f t="shared" ca="1" si="129"/>
        <v>7.1700162833310488E-2</v>
      </c>
      <c r="E2072" s="7">
        <f t="shared" ca="1" si="130"/>
        <v>0.19340160295989739</v>
      </c>
      <c r="F2072" s="7">
        <f t="shared" ca="1" si="131"/>
        <v>1.6219350495990676E-2</v>
      </c>
      <c r="G2072" s="7">
        <f ca="1">$C$11/(1+D2072)^1
 +$D$11/(1+D2072)^2
 +$E$11/(1+D2072)^3
 +$F$11/(1+D2072)^4
 +$G$11/(1+D2072)^5
 +$H$11/(1+D2072)^6
 +$I$11/(1+D2072)^7
 + ( $I$11*(1+F2072)/(D2072-F2072) )/(1+D2072)^7</f>
        <v>494.39164931131552</v>
      </c>
      <c r="H2072" s="7">
        <f ca="1">(G2072-$C$8)/$C$9</f>
        <v>2.7302218979608521</v>
      </c>
    </row>
    <row r="2073" spans="3:8" x14ac:dyDescent="0.35">
      <c r="C2073" s="8">
        <f t="shared" ca="1" si="128"/>
        <v>0.32787242573758735</v>
      </c>
      <c r="D2073" s="7">
        <f t="shared" ca="1" si="129"/>
        <v>8.6396810333257551E-2</v>
      </c>
      <c r="E2073" s="7">
        <f t="shared" ca="1" si="130"/>
        <v>3.2699696745799645E-2</v>
      </c>
      <c r="F2073" s="7">
        <f t="shared" ca="1" si="131"/>
        <v>1.2557330512303783E-2</v>
      </c>
      <c r="G2073" s="7">
        <f ca="1">$C$11/(1+D2073)^1
 +$D$11/(1+D2073)^2
 +$E$11/(1+D2073)^3
 +$F$11/(1+D2073)^4
 +$G$11/(1+D2073)^5
 +$H$11/(1+D2073)^6
 +$I$11/(1+D2073)^7
 + ( $I$11*(1+F2073)/(D2073-F2073) )/(1+D2073)^7</f>
        <v>373.42923224066374</v>
      </c>
      <c r="H2073" s="7">
        <f ca="1">(G2073-$C$8)/$C$9</f>
        <v>2.0463547729571672</v>
      </c>
    </row>
    <row r="2074" spans="3:8" x14ac:dyDescent="0.35">
      <c r="C2074" s="8">
        <f t="shared" ca="1" si="128"/>
        <v>0.21981331511437485</v>
      </c>
      <c r="D2074" s="7">
        <f t="shared" ca="1" si="129"/>
        <v>8.3425606816594458E-2</v>
      </c>
      <c r="E2074" s="7">
        <f t="shared" ca="1" si="130"/>
        <v>0.41156058208287549</v>
      </c>
      <c r="F2074" s="7">
        <f t="shared" ca="1" si="131"/>
        <v>1.9072602516178865E-2</v>
      </c>
      <c r="G2074" s="7">
        <f ca="1">$C$11/(1+D2074)^1
 +$D$11/(1+D2074)^2
 +$E$11/(1+D2074)^3
 +$F$11/(1+D2074)^4
 +$G$11/(1+D2074)^5
 +$H$11/(1+D2074)^6
 +$I$11/(1+D2074)^7
 + ( $I$11*(1+F2074)/(D2074-F2074) )/(1+D2074)^7</f>
        <v>417.76274643405708</v>
      </c>
      <c r="H2074" s="7">
        <f ca="1">(G2074-$C$8)/$C$9</f>
        <v>2.2969965311739995</v>
      </c>
    </row>
    <row r="2075" spans="3:8" x14ac:dyDescent="0.35">
      <c r="C2075" s="8">
        <f t="shared" ca="1" si="128"/>
        <v>0.2929429482049154</v>
      </c>
      <c r="D2075" s="7">
        <f t="shared" ca="1" si="129"/>
        <v>8.5498813423227946E-2</v>
      </c>
      <c r="E2075" s="7">
        <f t="shared" ca="1" si="130"/>
        <v>0.60645554284142011</v>
      </c>
      <c r="F2075" s="7">
        <f t="shared" ca="1" si="131"/>
        <v>2.1128196833128228E-2</v>
      </c>
      <c r="G2075" s="7">
        <f ca="1">$C$11/(1+D2075)^1
 +$D$11/(1+D2075)^2
 +$E$11/(1+D2075)^3
 +$F$11/(1+D2075)^4
 +$G$11/(1+D2075)^5
 +$H$11/(1+D2075)^6
 +$I$11/(1+D2075)^7
 + ( $I$11*(1+F2075)/(D2075-F2075) )/(1+D2075)^7</f>
        <v>413.46634822765941</v>
      </c>
      <c r="H2075" s="7">
        <f ca="1">(G2075-$C$8)/$C$9</f>
        <v>2.2727066272481875</v>
      </c>
    </row>
    <row r="2076" spans="3:8" x14ac:dyDescent="0.35">
      <c r="C2076" s="8">
        <f t="shared" ca="1" si="128"/>
        <v>0.92193567524319797</v>
      </c>
      <c r="D2076" s="7">
        <f t="shared" ca="1" si="129"/>
        <v>0.10219678442497546</v>
      </c>
      <c r="E2076" s="7">
        <f t="shared" ca="1" si="130"/>
        <v>0.42131584971258063</v>
      </c>
      <c r="F2076" s="7">
        <f t="shared" ca="1" si="131"/>
        <v>1.9179497259791307E-2</v>
      </c>
      <c r="G2076" s="7">
        <f ca="1">$C$11/(1+D2076)^1
 +$D$11/(1+D2076)^2
 +$E$11/(1+D2076)^3
 +$F$11/(1+D2076)^4
 +$G$11/(1+D2076)^5
 +$H$11/(1+D2076)^6
 +$I$11/(1+D2076)^7
 + ( $I$11*(1+F2076)/(D2076-F2076) )/(1+D2076)^7</f>
        <v>320.01291564928931</v>
      </c>
      <c r="H2076" s="7">
        <f ca="1">(G2076-$C$8)/$C$9</f>
        <v>1.7443629333406223</v>
      </c>
    </row>
    <row r="2077" spans="3:8" x14ac:dyDescent="0.35">
      <c r="C2077" s="8">
        <f t="shared" ca="1" si="128"/>
        <v>0.12385445574020348</v>
      </c>
      <c r="D2077" s="7">
        <f t="shared" ca="1" si="129"/>
        <v>8.0077730583170345E-2</v>
      </c>
      <c r="E2077" s="7">
        <f t="shared" ca="1" si="130"/>
        <v>0.61856910341446225</v>
      </c>
      <c r="F2077" s="7">
        <f t="shared" ca="1" si="131"/>
        <v>2.1265804025721223E-2</v>
      </c>
      <c r="G2077" s="7">
        <f ca="1">$C$11/(1+D2077)^1
 +$D$11/(1+D2077)^2
 +$E$11/(1+D2077)^3
 +$F$11/(1+D2077)^4
 +$G$11/(1+D2077)^5
 +$H$11/(1+D2077)^6
 +$I$11/(1+D2077)^7
 + ( $I$11*(1+F2077)/(D2077-F2077) )/(1+D2077)^7</f>
        <v>453.77912152881112</v>
      </c>
      <c r="H2077" s="7">
        <f ca="1">(G2077-$C$8)/$C$9</f>
        <v>2.500616924066096</v>
      </c>
    </row>
    <row r="2078" spans="3:8" x14ac:dyDescent="0.35">
      <c r="C2078" s="8">
        <f t="shared" ca="1" si="128"/>
        <v>0.92868422103798154</v>
      </c>
      <c r="D2078" s="7">
        <f t="shared" ca="1" si="129"/>
        <v>0.10254169539436915</v>
      </c>
      <c r="E2078" s="7">
        <f t="shared" ca="1" si="130"/>
        <v>0.89910497136120004</v>
      </c>
      <c r="F2078" s="7">
        <f t="shared" ca="1" si="131"/>
        <v>2.5507895178453647E-2</v>
      </c>
      <c r="G2078" s="7">
        <f ca="1">$C$11/(1+D2078)^1
 +$D$11/(1+D2078)^2
 +$E$11/(1+D2078)^3
 +$F$11/(1+D2078)^4
 +$G$11/(1+D2078)^5
 +$H$11/(1+D2078)^6
 +$I$11/(1+D2078)^7
 + ( $I$11*(1+F2078)/(D2078-F2078) )/(1+D2078)^7</f>
        <v>335.93347253522597</v>
      </c>
      <c r="H2078" s="7">
        <f ca="1">(G2078-$C$8)/$C$9</f>
        <v>1.8343706045636927</v>
      </c>
    </row>
    <row r="2079" spans="3:8" x14ac:dyDescent="0.35">
      <c r="C2079" s="8">
        <f t="shared" ca="1" si="128"/>
        <v>0.81933639475510167</v>
      </c>
      <c r="D2079" s="7">
        <f t="shared" ca="1" si="129"/>
        <v>9.812912757666814E-2</v>
      </c>
      <c r="E2079" s="7">
        <f t="shared" ca="1" si="130"/>
        <v>0.10845459530638768</v>
      </c>
      <c r="F2079" s="7">
        <f t="shared" ca="1" si="131"/>
        <v>1.4657351077734804E-2</v>
      </c>
      <c r="G2079" s="7">
        <f ca="1">$C$11/(1+D2079)^1
 +$D$11/(1+D2079)^2
 +$E$11/(1+D2079)^3
 +$F$11/(1+D2079)^4
 +$G$11/(1+D2079)^5
 +$H$11/(1+D2079)^6
 +$I$11/(1+D2079)^7
 + ( $I$11*(1+F2079)/(D2079-F2079) )/(1+D2079)^7</f>
        <v>324.96467911364596</v>
      </c>
      <c r="H2079" s="7">
        <f ca="1">(G2079-$C$8)/$C$9</f>
        <v>1.7723579778021592</v>
      </c>
    </row>
    <row r="2080" spans="3:8" x14ac:dyDescent="0.35">
      <c r="C2080" s="8">
        <f t="shared" ca="1" si="128"/>
        <v>0.58185731758432258</v>
      </c>
      <c r="D2080" s="7">
        <f t="shared" ca="1" si="129"/>
        <v>9.1940340748390942E-2</v>
      </c>
      <c r="E2080" s="7">
        <f t="shared" ca="1" si="130"/>
        <v>0.56684668635561908</v>
      </c>
      <c r="F2080" s="7">
        <f t="shared" ca="1" si="131"/>
        <v>2.0692440560013802E-2</v>
      </c>
      <c r="G2080" s="7">
        <f ca="1">$C$11/(1+D2080)^1
 +$D$11/(1+D2080)^2
 +$E$11/(1+D2080)^3
 +$F$11/(1+D2080)^4
 +$G$11/(1+D2080)^5
 +$H$11/(1+D2080)^6
 +$I$11/(1+D2080)^7
 + ( $I$11*(1+F2080)/(D2080-F2080) )/(1+D2080)^7</f>
        <v>372.8027703299353</v>
      </c>
      <c r="H2080" s="7">
        <f ca="1">(G2080-$C$8)/$C$9</f>
        <v>2.0428130389525965</v>
      </c>
    </row>
    <row r="2081" spans="3:8" x14ac:dyDescent="0.35">
      <c r="C2081" s="8">
        <f t="shared" ca="1" si="128"/>
        <v>0.38680493133362082</v>
      </c>
      <c r="D2081" s="7">
        <f t="shared" ca="1" si="129"/>
        <v>8.7809549227691561E-2</v>
      </c>
      <c r="E2081" s="7">
        <f t="shared" ca="1" si="130"/>
        <v>0.57464850599151196</v>
      </c>
      <c r="F2081" s="7">
        <f t="shared" ca="1" si="131"/>
        <v>2.0776643842846707E-2</v>
      </c>
      <c r="G2081" s="7">
        <f ca="1">$C$11/(1+D2081)^1
 +$D$11/(1+D2081)^2
 +$E$11/(1+D2081)^3
 +$F$11/(1+D2081)^4
 +$G$11/(1+D2081)^5
 +$H$11/(1+D2081)^6
 +$I$11/(1+D2081)^7
 + ( $I$11*(1+F2081)/(D2081-F2081) )/(1+D2081)^7</f>
        <v>397.08525662027114</v>
      </c>
      <c r="H2081" s="7">
        <f ca="1">(G2081-$C$8)/$C$9</f>
        <v>2.1800952997527765</v>
      </c>
    </row>
    <row r="2082" spans="3:8" x14ac:dyDescent="0.35">
      <c r="C2082" s="8">
        <f t="shared" ca="1" si="128"/>
        <v>0.45482271371080185</v>
      </c>
      <c r="D2082" s="7">
        <f t="shared" ca="1" si="129"/>
        <v>8.9312033172166461E-2</v>
      </c>
      <c r="E2082" s="7">
        <f t="shared" ca="1" si="130"/>
        <v>0.3860915893325082</v>
      </c>
      <c r="F2082" s="7">
        <f t="shared" ca="1" si="131"/>
        <v>1.8787395397186907E-2</v>
      </c>
      <c r="G2082" s="7">
        <f ca="1">$C$11/(1+D2082)^1
 +$D$11/(1+D2082)^2
 +$E$11/(1+D2082)^3
 +$F$11/(1+D2082)^4
 +$G$11/(1+D2082)^5
 +$H$11/(1+D2082)^6
 +$I$11/(1+D2082)^7
 + ( $I$11*(1+F2082)/(D2082-F2082) )/(1+D2082)^7</f>
        <v>380.25719698355533</v>
      </c>
      <c r="H2082" s="7">
        <f ca="1">(G2082-$C$8)/$C$9</f>
        <v>2.0849570159631123</v>
      </c>
    </row>
    <row r="2083" spans="3:8" x14ac:dyDescent="0.35">
      <c r="C2083" s="8">
        <f t="shared" ca="1" si="128"/>
        <v>0.38107011666357393</v>
      </c>
      <c r="D2083" s="7">
        <f t="shared" ca="1" si="129"/>
        <v>8.767703299946375E-2</v>
      </c>
      <c r="E2083" s="7">
        <f t="shared" ca="1" si="130"/>
        <v>0.62797334780594283</v>
      </c>
      <c r="F2083" s="7">
        <f t="shared" ca="1" si="131"/>
        <v>2.1374147552919106E-2</v>
      </c>
      <c r="G2083" s="7">
        <f ca="1">$C$11/(1+D2083)^1
 +$D$11/(1+D2083)^2
 +$E$11/(1+D2083)^3
 +$F$11/(1+D2083)^4
 +$G$11/(1+D2083)^5
 +$H$11/(1+D2083)^6
 +$I$11/(1+D2083)^7
 + ( $I$11*(1+F2083)/(D2083-F2083) )/(1+D2083)^7</f>
        <v>400.47037091330708</v>
      </c>
      <c r="H2083" s="7">
        <f ca="1">(G2083-$C$8)/$C$9</f>
        <v>2.1992332141186512</v>
      </c>
    </row>
    <row r="2084" spans="3:8" x14ac:dyDescent="0.35">
      <c r="C2084" s="8">
        <f t="shared" ca="1" si="128"/>
        <v>0.87781423305628303</v>
      </c>
      <c r="D2084" s="7">
        <f t="shared" ca="1" si="129"/>
        <v>0.10023757723635679</v>
      </c>
      <c r="E2084" s="7">
        <f t="shared" ca="1" si="130"/>
        <v>0.92811329110753849</v>
      </c>
      <c r="F2084" s="7">
        <f t="shared" ca="1" si="131"/>
        <v>2.6208253465948402E-2</v>
      </c>
      <c r="G2084" s="7">
        <f ca="1">$C$11/(1+D2084)^1
 +$D$11/(1+D2084)^2
 +$E$11/(1+D2084)^3
 +$F$11/(1+D2084)^4
 +$G$11/(1+D2084)^5
 +$H$11/(1+D2084)^6
 +$I$11/(1+D2084)^7
 + ( $I$11*(1+F2084)/(D2084-F2084) )/(1+D2084)^7</f>
        <v>348.95936337778863</v>
      </c>
      <c r="H2084" s="7">
        <f ca="1">(G2084-$C$8)/$C$9</f>
        <v>1.908013135333495</v>
      </c>
    </row>
    <row r="2085" spans="3:8" x14ac:dyDescent="0.35">
      <c r="C2085" s="8">
        <f t="shared" ca="1" si="128"/>
        <v>0.33955263556702686</v>
      </c>
      <c r="D2085" s="7">
        <f t="shared" ca="1" si="129"/>
        <v>8.6686316584703826E-2</v>
      </c>
      <c r="E2085" s="7">
        <f t="shared" ca="1" si="130"/>
        <v>0.73837446053634415</v>
      </c>
      <c r="F2085" s="7">
        <f t="shared" ca="1" si="131"/>
        <v>2.2766390396715401E-2</v>
      </c>
      <c r="G2085" s="7">
        <f ca="1">$C$11/(1+D2085)^1
 +$D$11/(1+D2085)^2
 +$E$11/(1+D2085)^3
 +$F$11/(1+D2085)^4
 +$G$11/(1+D2085)^5
 +$H$11/(1+D2085)^6
 +$I$11/(1+D2085)^7
 + ( $I$11*(1+F2085)/(D2085-F2085) )/(1+D2085)^7</f>
        <v>413.17569642771031</v>
      </c>
      <c r="H2085" s="7">
        <f ca="1">(G2085-$C$8)/$C$9</f>
        <v>2.2710634126397009</v>
      </c>
    </row>
    <row r="2086" spans="3:8" x14ac:dyDescent="0.35">
      <c r="C2086" s="8">
        <f t="shared" ca="1" si="128"/>
        <v>8.5791970265793105E-2</v>
      </c>
      <c r="D2086" s="7">
        <f t="shared" ca="1" si="129"/>
        <v>7.8387455848941939E-2</v>
      </c>
      <c r="E2086" s="7">
        <f t="shared" ca="1" si="130"/>
        <v>8.4120972026770491E-2</v>
      </c>
      <c r="F2086" s="7">
        <f t="shared" ca="1" si="131"/>
        <v>1.4101730659776931E-2</v>
      </c>
      <c r="G2086" s="7">
        <f ca="1">$C$11/(1+D2086)^1
 +$D$11/(1+D2086)^2
 +$E$11/(1+D2086)^3
 +$F$11/(1+D2086)^4
 +$G$11/(1+D2086)^5
 +$H$11/(1+D2086)^6
 +$I$11/(1+D2086)^7
 + ( $I$11*(1+F2086)/(D2086-F2086) )/(1+D2086)^7</f>
        <v>428.5586655399602</v>
      </c>
      <c r="H2086" s="7">
        <f ca="1">(G2086-$C$8)/$C$9</f>
        <v>2.3580318042738591</v>
      </c>
    </row>
    <row r="2087" spans="3:8" x14ac:dyDescent="0.35">
      <c r="C2087" s="8">
        <f t="shared" ca="1" si="128"/>
        <v>4.4592134075550516E-2</v>
      </c>
      <c r="D2087" s="7">
        <f t="shared" ca="1" si="129"/>
        <v>7.6046945505125002E-2</v>
      </c>
      <c r="E2087" s="7">
        <f t="shared" ca="1" si="130"/>
        <v>0.40148248273696108</v>
      </c>
      <c r="F2087" s="7">
        <f t="shared" ca="1" si="131"/>
        <v>1.8960831241988226E-2</v>
      </c>
      <c r="G2087" s="7">
        <f ca="1">$C$11/(1+D2087)^1
 +$D$11/(1+D2087)^2
 +$E$11/(1+D2087)^3
 +$F$11/(1+D2087)^4
 +$G$11/(1+D2087)^5
 +$H$11/(1+D2087)^6
 +$I$11/(1+D2087)^7
 + ( $I$11*(1+F2087)/(D2087-F2087) )/(1+D2087)^7</f>
        <v>473.4119522717973</v>
      </c>
      <c r="H2087" s="7">
        <f ca="1">(G2087-$C$8)/$C$9</f>
        <v>2.611612122748741</v>
      </c>
    </row>
    <row r="2088" spans="3:8" x14ac:dyDescent="0.35">
      <c r="C2088" s="8">
        <f t="shared" ca="1" si="128"/>
        <v>0.79898783811935326</v>
      </c>
      <c r="D2088" s="7">
        <f t="shared" ca="1" si="129"/>
        <v>9.747843914414403E-2</v>
      </c>
      <c r="E2088" s="7">
        <f t="shared" ca="1" si="130"/>
        <v>0.85875133805105197</v>
      </c>
      <c r="F2088" s="7">
        <f t="shared" ca="1" si="131"/>
        <v>2.4684952268343247E-2</v>
      </c>
      <c r="G2088" s="7">
        <f ca="1">$C$11/(1+D2088)^1
 +$D$11/(1+D2088)^2
 +$E$11/(1+D2088)^3
 +$F$11/(1+D2088)^4
 +$G$11/(1+D2088)^5
 +$H$11/(1+D2088)^6
 +$I$11/(1+D2088)^7
 + ( $I$11*(1+F2088)/(D2088-F2088) )/(1+D2088)^7</f>
        <v>357.68701969457095</v>
      </c>
      <c r="H2088" s="7">
        <f ca="1">(G2088-$C$8)/$C$9</f>
        <v>1.9573553804532504</v>
      </c>
    </row>
    <row r="2089" spans="3:8" x14ac:dyDescent="0.35">
      <c r="C2089" s="8">
        <f t="shared" ca="1" si="128"/>
        <v>0.9383480835753204</v>
      </c>
      <c r="D2089" s="7">
        <f t="shared" ca="1" si="129"/>
        <v>0.1030654131477607</v>
      </c>
      <c r="E2089" s="7">
        <f t="shared" ca="1" si="130"/>
        <v>0.92784171556552764</v>
      </c>
      <c r="F2089" s="7">
        <f t="shared" ca="1" si="131"/>
        <v>2.6201097936654004E-2</v>
      </c>
      <c r="G2089" s="7">
        <f ca="1">$C$11/(1+D2089)^1
 +$D$11/(1+D2089)^2
 +$E$11/(1+D2089)^3
 +$F$11/(1+D2089)^4
 +$G$11/(1+D2089)^5
 +$H$11/(1+D2089)^6
 +$I$11/(1+D2089)^7
 + ( $I$11*(1+F2089)/(D2089-F2089) )/(1+D2089)^7</f>
        <v>335.61099143417403</v>
      </c>
      <c r="H2089" s="7">
        <f ca="1">(G2089-$C$8)/$C$9</f>
        <v>1.8325474413962799</v>
      </c>
    </row>
    <row r="2090" spans="3:8" x14ac:dyDescent="0.35">
      <c r="C2090" s="8">
        <f t="shared" ca="1" si="128"/>
        <v>0.44489099030981827</v>
      </c>
      <c r="D2090" s="7">
        <f t="shared" ca="1" si="129"/>
        <v>8.9100016022350639E-2</v>
      </c>
      <c r="E2090" s="7">
        <f t="shared" ca="1" si="130"/>
        <v>0.72450715124702225</v>
      </c>
      <c r="F2090" s="7">
        <f t="shared" ca="1" si="131"/>
        <v>2.25771589165202E-2</v>
      </c>
      <c r="G2090" s="7">
        <f ca="1">$C$11/(1+D2090)^1
 +$D$11/(1+D2090)^2
 +$E$11/(1+D2090)^3
 +$F$11/(1+D2090)^4
 +$G$11/(1+D2090)^5
 +$H$11/(1+D2090)^6
 +$I$11/(1+D2090)^7
 + ( $I$11*(1+F2090)/(D2090-F2090) )/(1+D2090)^7</f>
        <v>396.77204737945249</v>
      </c>
      <c r="H2090" s="7">
        <f ca="1">(G2090-$C$8)/$C$9</f>
        <v>2.1783245555147697</v>
      </c>
    </row>
    <row r="2091" spans="3:8" x14ac:dyDescent="0.35">
      <c r="C2091" s="8">
        <f t="shared" ca="1" si="128"/>
        <v>0.25913459233947966</v>
      </c>
      <c r="D2091" s="7">
        <f t="shared" ca="1" si="129"/>
        <v>8.4577049280234101E-2</v>
      </c>
      <c r="E2091" s="7">
        <f t="shared" ca="1" si="130"/>
        <v>0.42028127060489628</v>
      </c>
      <c r="F2091" s="7">
        <f t="shared" ca="1" si="131"/>
        <v>1.9168219790176237E-2</v>
      </c>
      <c r="G2091" s="7">
        <f ca="1">$C$11/(1+D2091)^1
 +$D$11/(1+D2091)^2
 +$E$11/(1+D2091)^3
 +$F$11/(1+D2091)^4
 +$G$11/(1+D2091)^5
 +$H$11/(1+D2091)^6
 +$I$11/(1+D2091)^7
 + ( $I$11*(1+F2091)/(D2091-F2091) )/(1+D2091)^7</f>
        <v>410.55334364666322</v>
      </c>
      <c r="H2091" s="7">
        <f ca="1">(G2091-$C$8)/$C$9</f>
        <v>2.2562378089476662</v>
      </c>
    </row>
    <row r="2092" spans="3:8" x14ac:dyDescent="0.35">
      <c r="C2092" s="8">
        <f t="shared" ca="1" si="128"/>
        <v>1.4040303734716097E-2</v>
      </c>
      <c r="D2092" s="7">
        <f t="shared" ca="1" si="129"/>
        <v>7.3393088425382877E-2</v>
      </c>
      <c r="E2092" s="7">
        <f t="shared" ca="1" si="130"/>
        <v>0.59533735286817113</v>
      </c>
      <c r="F2092" s="7">
        <f t="shared" ca="1" si="131"/>
        <v>2.1003749146096148E-2</v>
      </c>
      <c r="G2092" s="7">
        <f ca="1">$C$11/(1+D2092)^1
 +$D$11/(1+D2092)^2
 +$E$11/(1+D2092)^3
 +$F$11/(1+D2092)^4
 +$G$11/(1+D2092)^5
 +$H$11/(1+D2092)^6
 +$I$11/(1+D2092)^7
 + ( $I$11*(1+F2092)/(D2092-F2092) )/(1+D2092)^7</f>
        <v>512.13762061819534</v>
      </c>
      <c r="H2092" s="7">
        <f ca="1">(G2092-$C$8)/$C$9</f>
        <v>2.8305496416677709</v>
      </c>
    </row>
    <row r="2093" spans="3:8" x14ac:dyDescent="0.35">
      <c r="C2093" s="8">
        <f t="shared" ca="1" si="128"/>
        <v>0.79836718144972174</v>
      </c>
      <c r="D2093" s="7">
        <f t="shared" ca="1" si="129"/>
        <v>9.7459122898727657E-2</v>
      </c>
      <c r="E2093" s="7">
        <f t="shared" ca="1" si="130"/>
        <v>0.63321423324005077</v>
      </c>
      <c r="F2093" s="7">
        <f t="shared" ca="1" si="131"/>
        <v>2.1435120937690372E-2</v>
      </c>
      <c r="G2093" s="7">
        <f ca="1">$C$11/(1+D2093)^1
 +$D$11/(1+D2093)^2
 +$E$11/(1+D2093)^3
 +$F$11/(1+D2093)^4
 +$G$11/(1+D2093)^5
 +$H$11/(1+D2093)^6
 +$I$11/(1+D2093)^7
 + ( $I$11*(1+F2093)/(D2093-F2093) )/(1+D2093)^7</f>
        <v>347.17845197866467</v>
      </c>
      <c r="H2093" s="7">
        <f ca="1">(G2093-$C$8)/$C$9</f>
        <v>1.8979446629277739</v>
      </c>
    </row>
    <row r="2094" spans="3:8" x14ac:dyDescent="0.35">
      <c r="C2094" s="8">
        <f t="shared" ca="1" si="128"/>
        <v>0.15679246867339947</v>
      </c>
      <c r="D2094" s="7">
        <f t="shared" ca="1" si="129"/>
        <v>8.1338863448872978E-2</v>
      </c>
      <c r="E2094" s="7">
        <f t="shared" ca="1" si="130"/>
        <v>0.71591720545043358</v>
      </c>
      <c r="F2094" s="7">
        <f t="shared" ca="1" si="131"/>
        <v>2.2462324037880555E-2</v>
      </c>
      <c r="G2094" s="7">
        <f ca="1">$C$11/(1+D2094)^1
 +$D$11/(1+D2094)^2
 +$E$11/(1+D2094)^3
 +$F$11/(1+D2094)^4
 +$G$11/(1+D2094)^5
 +$H$11/(1+D2094)^6
 +$I$11/(1+D2094)^7
 + ( $I$11*(1+F2094)/(D2094-F2094) )/(1+D2094)^7</f>
        <v>450.58402834899306</v>
      </c>
      <c r="H2094" s="7">
        <f ca="1">(G2094-$C$8)/$C$9</f>
        <v>2.4825533036465006</v>
      </c>
    </row>
    <row r="2095" spans="3:8" x14ac:dyDescent="0.35">
      <c r="C2095" s="8">
        <f t="shared" ca="1" si="128"/>
        <v>0.77042447522911928</v>
      </c>
      <c r="D2095" s="7">
        <f t="shared" ca="1" si="129"/>
        <v>9.6618336825293832E-2</v>
      </c>
      <c r="E2095" s="7">
        <f t="shared" ca="1" si="130"/>
        <v>0.22827427624096208</v>
      </c>
      <c r="F2095" s="7">
        <f t="shared" ca="1" si="131"/>
        <v>1.675683766626019E-2</v>
      </c>
      <c r="G2095" s="7">
        <f ca="1">$C$11/(1+D2095)^1
 +$D$11/(1+D2095)^2
 +$E$11/(1+D2095)^3
 +$F$11/(1+D2095)^4
 +$G$11/(1+D2095)^5
 +$H$11/(1+D2095)^6
 +$I$11/(1+D2095)^7
 + ( $I$11*(1+F2095)/(D2095-F2095) )/(1+D2095)^7</f>
        <v>337.09576958418165</v>
      </c>
      <c r="H2095" s="7">
        <f ca="1">(G2095-$C$8)/$C$9</f>
        <v>1.84094170954422</v>
      </c>
    </row>
    <row r="2096" spans="3:8" x14ac:dyDescent="0.35">
      <c r="C2096" s="8">
        <f t="shared" ca="1" si="128"/>
        <v>0.68839533370433181</v>
      </c>
      <c r="D2096" s="7">
        <f t="shared" ca="1" si="129"/>
        <v>9.4409886475377375E-2</v>
      </c>
      <c r="E2096" s="7">
        <f t="shared" ca="1" si="130"/>
        <v>0.92414946621594163</v>
      </c>
      <c r="F2096" s="7">
        <f t="shared" ca="1" si="131"/>
        <v>2.6105117876390652E-2</v>
      </c>
      <c r="G2096" s="7">
        <f ca="1">$C$11/(1+D2096)^1
 +$D$11/(1+D2096)^2
 +$E$11/(1+D2096)^3
 +$F$11/(1+D2096)^4
 +$G$11/(1+D2096)^5
 +$H$11/(1+D2096)^6
 +$I$11/(1+D2096)^7
 + ( $I$11*(1+F2096)/(D2096-F2096) )/(1+D2096)^7</f>
        <v>379.52592182739693</v>
      </c>
      <c r="H2096" s="7">
        <f ca="1">(G2096-$C$8)/$C$9</f>
        <v>2.080822714989806</v>
      </c>
    </row>
    <row r="2097" spans="3:8" x14ac:dyDescent="0.35">
      <c r="C2097" s="8">
        <f t="shared" ca="1" si="128"/>
        <v>0.84984905391693566</v>
      </c>
      <c r="D2097" s="7">
        <f t="shared" ca="1" si="129"/>
        <v>9.9177905103687639E-2</v>
      </c>
      <c r="E2097" s="7">
        <f t="shared" ca="1" si="130"/>
        <v>0.48371156354090106</v>
      </c>
      <c r="F2097" s="7">
        <f t="shared" ca="1" si="131"/>
        <v>1.9835767011686489E-2</v>
      </c>
      <c r="G2097" s="7">
        <f ca="1">$C$11/(1+D2097)^1
 +$D$11/(1+D2097)^2
 +$E$11/(1+D2097)^3
 +$F$11/(1+D2097)^4
 +$G$11/(1+D2097)^5
 +$H$11/(1+D2097)^6
 +$I$11/(1+D2097)^7
 + ( $I$11*(1+F2097)/(D2097-F2097) )/(1+D2097)^7</f>
        <v>334.53081325203698</v>
      </c>
      <c r="H2097" s="7">
        <f ca="1">(G2097-$C$8)/$C$9</f>
        <v>1.8264405995705391</v>
      </c>
    </row>
    <row r="2098" spans="3:8" x14ac:dyDescent="0.35">
      <c r="C2098" s="8">
        <f t="shared" ca="1" si="128"/>
        <v>0.36293951302422855</v>
      </c>
      <c r="D2098" s="7">
        <f t="shared" ca="1" si="129"/>
        <v>8.725138836963181E-2</v>
      </c>
      <c r="E2098" s="7">
        <f t="shared" ca="1" si="130"/>
        <v>0.64602670488143266</v>
      </c>
      <c r="F2098" s="7">
        <f t="shared" ca="1" si="131"/>
        <v>2.1586043794759004E-2</v>
      </c>
      <c r="G2098" s="7">
        <f ca="1">$C$11/(1+D2098)^1
 +$D$11/(1+D2098)^2
 +$E$11/(1+D2098)^3
 +$F$11/(1+D2098)^4
 +$G$11/(1+D2098)^5
 +$H$11/(1+D2098)^6
 +$I$11/(1+D2098)^7
 + ( $I$11*(1+F2098)/(D2098-F2098) )/(1+D2098)^7</f>
        <v>404.09605874008895</v>
      </c>
      <c r="H2098" s="7">
        <f ca="1">(G2098-$C$8)/$C$9</f>
        <v>2.2197312230896027</v>
      </c>
    </row>
    <row r="2099" spans="3:8" x14ac:dyDescent="0.35">
      <c r="C2099" s="8">
        <f t="shared" ca="1" si="128"/>
        <v>0.73255069530979378</v>
      </c>
      <c r="D2099" s="7">
        <f t="shared" ca="1" si="129"/>
        <v>9.5556646592347028E-2</v>
      </c>
      <c r="E2099" s="7">
        <f t="shared" ca="1" si="130"/>
        <v>0.14350770198228913</v>
      </c>
      <c r="F2099" s="7">
        <f t="shared" ca="1" si="131"/>
        <v>1.5357381860242728E-2</v>
      </c>
      <c r="G2099" s="7">
        <f ca="1">$C$11/(1+D2099)^1
 +$D$11/(1+D2099)^2
 +$E$11/(1+D2099)^3
 +$F$11/(1+D2099)^4
 +$G$11/(1+D2099)^5
 +$H$11/(1+D2099)^6
 +$I$11/(1+D2099)^7
 + ( $I$11*(1+F2099)/(D2099-F2099) )/(1+D2099)^7</f>
        <v>337.82400032103868</v>
      </c>
      <c r="H2099" s="7">
        <f ca="1">(G2099-$C$8)/$C$9</f>
        <v>1.8450587987394769</v>
      </c>
    </row>
    <row r="2100" spans="3:8" x14ac:dyDescent="0.35">
      <c r="C2100" s="8">
        <f t="shared" ca="1" si="128"/>
        <v>0.23553237020893603</v>
      </c>
      <c r="D2100" s="7">
        <f t="shared" ca="1" si="129"/>
        <v>8.3897357431228697E-2</v>
      </c>
      <c r="E2100" s="7">
        <f t="shared" ca="1" si="130"/>
        <v>5.2474791493522188E-2</v>
      </c>
      <c r="F2100" s="7">
        <f t="shared" ca="1" si="131"/>
        <v>1.3239592304396409E-2</v>
      </c>
      <c r="G2100" s="7">
        <f ca="1">$C$11/(1+D2100)^1
 +$D$11/(1+D2100)^2
 +$E$11/(1+D2100)^3
 +$F$11/(1+D2100)^4
 +$G$11/(1+D2100)^5
 +$H$11/(1+D2100)^6
 +$I$11/(1+D2100)^7
 + ( $I$11*(1+F2100)/(D2100-F2100) )/(1+D2100)^7</f>
        <v>389.82099216711123</v>
      </c>
      <c r="H2100" s="7">
        <f ca="1">(G2100-$C$8)/$C$9</f>
        <v>2.1390264143323789</v>
      </c>
    </row>
    <row r="2101" spans="3:8" x14ac:dyDescent="0.35">
      <c r="C2101" s="8">
        <f t="shared" ca="1" si="128"/>
        <v>0.99360266668894726</v>
      </c>
      <c r="D2101" s="7">
        <f t="shared" ca="1" si="129"/>
        <v>0.10776618712005209</v>
      </c>
      <c r="E2101" s="7">
        <f t="shared" ca="1" si="130"/>
        <v>0.37115964274358115</v>
      </c>
      <c r="F2101" s="7">
        <f t="shared" ca="1" si="131"/>
        <v>1.8615795294035033E-2</v>
      </c>
      <c r="G2101" s="7">
        <f ca="1">$C$11/(1+D2101)^1
 +$D$11/(1+D2101)^2
 +$E$11/(1+D2101)^3
 +$F$11/(1+D2101)^4
 +$G$11/(1+D2101)^5
 +$H$11/(1+D2101)^6
 +$I$11/(1+D2101)^7
 + ( $I$11*(1+F2101)/(D2101-F2101) )/(1+D2101)^7</f>
        <v>297.7080069406062</v>
      </c>
      <c r="H2101" s="7">
        <f ca="1">(G2101-$C$8)/$C$9</f>
        <v>1.6182610071269006</v>
      </c>
    </row>
    <row r="2102" spans="3:8" x14ac:dyDescent="0.35">
      <c r="C2102" s="8">
        <f t="shared" ca="1" si="128"/>
        <v>0.36228694411555618</v>
      </c>
      <c r="D2102" s="7">
        <f t="shared" ca="1" si="129"/>
        <v>8.723587230675478E-2</v>
      </c>
      <c r="E2102" s="7">
        <f t="shared" ca="1" si="130"/>
        <v>0.62563664893208482</v>
      </c>
      <c r="F2102" s="7">
        <f t="shared" ca="1" si="131"/>
        <v>2.1347100473622552E-2</v>
      </c>
      <c r="G2102" s="7">
        <f ca="1">$C$11/(1+D2102)^1
 +$D$11/(1+D2102)^2
 +$E$11/(1+D2102)^3
 +$F$11/(1+D2102)^4
 +$G$11/(1+D2102)^5
 +$H$11/(1+D2102)^6
 +$I$11/(1+D2102)^7
 + ( $I$11*(1+F2102)/(D2102-F2102) )/(1+D2102)^7</f>
        <v>403.14017310153775</v>
      </c>
      <c r="H2102" s="7">
        <f ca="1">(G2102-$C$8)/$C$9</f>
        <v>2.2143270754270565</v>
      </c>
    </row>
    <row r="2103" spans="3:8" x14ac:dyDescent="0.35">
      <c r="C2103" s="8">
        <f t="shared" ca="1" si="128"/>
        <v>0.5726920878780063</v>
      </c>
      <c r="D2103" s="7">
        <f t="shared" ca="1" si="129"/>
        <v>9.1743489614519558E-2</v>
      </c>
      <c r="E2103" s="7">
        <f t="shared" ca="1" si="130"/>
        <v>0.92987457014203745</v>
      </c>
      <c r="F2103" s="7">
        <f t="shared" ca="1" si="131"/>
        <v>2.6254991859609313E-2</v>
      </c>
      <c r="G2103" s="7">
        <f ca="1">$C$11/(1+D2103)^1
 +$D$11/(1+D2103)^2
 +$E$11/(1+D2103)^3
 +$F$11/(1+D2103)^4
 +$G$11/(1+D2103)^5
 +$H$11/(1+D2103)^6
 +$I$11/(1+D2103)^7
 + ( $I$11*(1+F2103)/(D2103-F2103) )/(1+D2103)^7</f>
        <v>396.15424992586065</v>
      </c>
      <c r="H2103" s="7">
        <f ca="1">(G2103-$C$8)/$C$9</f>
        <v>2.1748318064555665</v>
      </c>
    </row>
    <row r="2104" spans="3:8" x14ac:dyDescent="0.35">
      <c r="C2104" s="8">
        <f t="shared" ca="1" si="128"/>
        <v>0.99561068148707077</v>
      </c>
      <c r="D2104" s="7">
        <f t="shared" ca="1" si="129"/>
        <v>0.10814968423233093</v>
      </c>
      <c r="E2104" s="7">
        <f t="shared" ca="1" si="130"/>
        <v>0.53639363183227706</v>
      </c>
      <c r="F2104" s="7">
        <f t="shared" ca="1" si="131"/>
        <v>2.0370811372003111E-2</v>
      </c>
      <c r="G2104" s="7">
        <f ca="1">$C$11/(1+D2104)^1
 +$D$11/(1+D2104)^2
 +$E$11/(1+D2104)^3
 +$F$11/(1+D2104)^4
 +$G$11/(1+D2104)^5
 +$H$11/(1+D2104)^6
 +$I$11/(1+D2104)^7
 + ( $I$11*(1+F2104)/(D2104-F2104) )/(1+D2104)^7</f>
        <v>300.17167565866794</v>
      </c>
      <c r="H2104" s="7">
        <f ca="1">(G2104-$C$8)/$C$9</f>
        <v>1.6321894824664627</v>
      </c>
    </row>
    <row r="2105" spans="3:8" x14ac:dyDescent="0.35">
      <c r="C2105" s="8">
        <f t="shared" ca="1" si="128"/>
        <v>0.90308290987439632</v>
      </c>
      <c r="D2105" s="7">
        <f t="shared" ca="1" si="129"/>
        <v>0.10130544248981176</v>
      </c>
      <c r="E2105" s="7">
        <f t="shared" ca="1" si="130"/>
        <v>0.51063099649844801</v>
      </c>
      <c r="F2105" s="7">
        <f t="shared" ca="1" si="131"/>
        <v>2.0106881143930881E-2</v>
      </c>
      <c r="G2105" s="7">
        <f ca="1">$C$11/(1+D2105)^1
 +$D$11/(1+D2105)^2
 +$E$11/(1+D2105)^3
 +$F$11/(1+D2105)^4
 +$G$11/(1+D2105)^5
 +$H$11/(1+D2105)^6
 +$I$11/(1+D2105)^7
 + ( $I$11*(1+F2105)/(D2105-F2105) )/(1+D2105)^7</f>
        <v>326.11471035279772</v>
      </c>
      <c r="H2105" s="7">
        <f ca="1">(G2105-$C$8)/$C$9</f>
        <v>1.7788597374083994</v>
      </c>
    </row>
    <row r="2106" spans="3:8" x14ac:dyDescent="0.35">
      <c r="C2106" s="8">
        <f t="shared" ca="1" si="128"/>
        <v>0.37440002446971066</v>
      </c>
      <c r="D2106" s="7">
        <f t="shared" ca="1" si="129"/>
        <v>8.7521644331088416E-2</v>
      </c>
      <c r="E2106" s="7">
        <f t="shared" ca="1" si="130"/>
        <v>0.6643796907675521</v>
      </c>
      <c r="F2106" s="7">
        <f t="shared" ca="1" si="131"/>
        <v>2.1807072449576428E-2</v>
      </c>
      <c r="G2106" s="7">
        <f ca="1">$C$11/(1+D2106)^1
 +$D$11/(1+D2106)^2
 +$E$11/(1+D2106)^3
 +$F$11/(1+D2106)^4
 +$G$11/(1+D2106)^5
 +$H$11/(1+D2106)^6
 +$I$11/(1+D2106)^7
 + ( $I$11*(1+F2106)/(D2106-F2106) )/(1+D2106)^7</f>
        <v>403.34778064502757</v>
      </c>
      <c r="H2106" s="7">
        <f ca="1">(G2106-$C$8)/$C$9</f>
        <v>2.2155007951437558</v>
      </c>
    </row>
    <row r="2107" spans="3:8" x14ac:dyDescent="0.35">
      <c r="C2107" s="8">
        <f t="shared" ca="1" si="128"/>
        <v>0.25531448746912289</v>
      </c>
      <c r="D2107" s="7">
        <f t="shared" ca="1" si="129"/>
        <v>8.4469204529782585E-2</v>
      </c>
      <c r="E2107" s="7">
        <f t="shared" ca="1" si="130"/>
        <v>0.62970146503659352</v>
      </c>
      <c r="F2107" s="7">
        <f t="shared" ca="1" si="131"/>
        <v>2.1394205034241096E-2</v>
      </c>
      <c r="G2107" s="7">
        <f ca="1">$C$11/(1+D2107)^1
 +$D$11/(1+D2107)^2
 +$E$11/(1+D2107)^3
 +$F$11/(1+D2107)^4
 +$G$11/(1+D2107)^5
 +$H$11/(1+D2107)^6
 +$I$11/(1+D2107)^7
 + ( $I$11*(1+F2107)/(D2107-F2107) )/(1+D2107)^7</f>
        <v>421.74122535139736</v>
      </c>
      <c r="H2107" s="7">
        <f ca="1">(G2107-$C$8)/$C$9</f>
        <v>2.3194890623665612</v>
      </c>
    </row>
    <row r="2108" spans="3:8" x14ac:dyDescent="0.35">
      <c r="C2108" s="8">
        <f t="shared" ca="1" si="128"/>
        <v>0.51340628358241136</v>
      </c>
      <c r="D2108" s="7">
        <f t="shared" ca="1" si="129"/>
        <v>9.0518134103589581E-2</v>
      </c>
      <c r="E2108" s="7">
        <f t="shared" ca="1" si="130"/>
        <v>5.1332255284496808E-2</v>
      </c>
      <c r="F2108" s="7">
        <f t="shared" ca="1" si="131"/>
        <v>1.3204130312097086E-2</v>
      </c>
      <c r="G2108" s="7">
        <f ca="1">$C$11/(1+D2108)^1
 +$D$11/(1+D2108)^2
 +$E$11/(1+D2108)^3
 +$F$11/(1+D2108)^4
 +$G$11/(1+D2108)^5
 +$H$11/(1+D2108)^6
 +$I$11/(1+D2108)^7
 + ( $I$11*(1+F2108)/(D2108-F2108) )/(1+D2108)^7</f>
        <v>354.69851074383109</v>
      </c>
      <c r="H2108" s="7">
        <f ca="1">(G2108-$C$8)/$C$9</f>
        <v>1.9404596943907229</v>
      </c>
    </row>
    <row r="2109" spans="3:8" x14ac:dyDescent="0.35">
      <c r="C2109" s="8">
        <f t="shared" ca="1" si="128"/>
        <v>0.88336510995275241</v>
      </c>
      <c r="D2109" s="7">
        <f t="shared" ca="1" si="129"/>
        <v>0.10046190720128741</v>
      </c>
      <c r="E2109" s="7">
        <f t="shared" ca="1" si="130"/>
        <v>0.31984650631488087</v>
      </c>
      <c r="F2109" s="7">
        <f t="shared" ca="1" si="131"/>
        <v>1.7998081098799648E-2</v>
      </c>
      <c r="G2109" s="7">
        <f ca="1">$C$11/(1+D2109)^1
 +$D$11/(1+D2109)^2
 +$E$11/(1+D2109)^3
 +$F$11/(1+D2109)^4
 +$G$11/(1+D2109)^5
 +$H$11/(1+D2109)^6
 +$I$11/(1+D2109)^7
 + ( $I$11*(1+F2109)/(D2109-F2109) )/(1+D2109)^7</f>
        <v>324.04600539081696</v>
      </c>
      <c r="H2109" s="7">
        <f ca="1">(G2109-$C$8)/$C$9</f>
        <v>1.767164209581733</v>
      </c>
    </row>
    <row r="2110" spans="3:8" x14ac:dyDescent="0.35">
      <c r="C2110" s="8">
        <f t="shared" ca="1" si="128"/>
        <v>0.55004354515719267</v>
      </c>
      <c r="D2110" s="7">
        <f t="shared" ca="1" si="129"/>
        <v>9.1265912491466539E-2</v>
      </c>
      <c r="E2110" s="7">
        <f t="shared" ca="1" si="130"/>
        <v>0.12691175280633726</v>
      </c>
      <c r="F2110" s="7">
        <f t="shared" ca="1" si="131"/>
        <v>1.5038089971533601E-2</v>
      </c>
      <c r="G2110" s="7">
        <f ca="1">$C$11/(1+D2110)^1
 +$D$11/(1+D2110)^2
 +$E$11/(1+D2110)^3
 +$F$11/(1+D2110)^4
 +$G$11/(1+D2110)^5
 +$H$11/(1+D2110)^6
 +$I$11/(1+D2110)^7
 + ( $I$11*(1+F2110)/(D2110-F2110) )/(1+D2110)^7</f>
        <v>356.88105089456565</v>
      </c>
      <c r="H2110" s="7">
        <f ca="1">(G2110-$C$8)/$C$9</f>
        <v>1.95279879519768</v>
      </c>
    </row>
    <row r="2111" spans="3:8" x14ac:dyDescent="0.35">
      <c r="C2111" s="8">
        <f t="shared" ca="1" si="128"/>
        <v>0.23300412637568202</v>
      </c>
      <c r="D2111" s="7">
        <f t="shared" ca="1" si="129"/>
        <v>8.3822567910054172E-2</v>
      </c>
      <c r="E2111" s="7">
        <f t="shared" ca="1" si="130"/>
        <v>0.44231579883218708</v>
      </c>
      <c r="F2111" s="7">
        <f t="shared" ca="1" si="131"/>
        <v>1.940548562097872E-2</v>
      </c>
      <c r="G2111" s="7">
        <f ca="1">$C$11/(1+D2111)^1
 +$D$11/(1+D2111)^2
 +$E$11/(1+D2111)^3
 +$F$11/(1+D2111)^4
 +$G$11/(1+D2111)^5
 +$H$11/(1+D2111)^6
 +$I$11/(1+D2111)^7
 + ( $I$11*(1+F2111)/(D2111-F2111) )/(1+D2111)^7</f>
        <v>416.65074692029327</v>
      </c>
      <c r="H2111" s="7">
        <f ca="1">(G2111-$C$8)/$C$9</f>
        <v>2.2907097858451677</v>
      </c>
    </row>
    <row r="2112" spans="3:8" x14ac:dyDescent="0.35">
      <c r="C2112" s="8">
        <f t="shared" ca="1" si="128"/>
        <v>0.99074041346188002</v>
      </c>
      <c r="D2112" s="7">
        <f t="shared" ca="1" si="129"/>
        <v>0.10731253325606928</v>
      </c>
      <c r="E2112" s="7">
        <f t="shared" ca="1" si="130"/>
        <v>0.70089554246617269</v>
      </c>
      <c r="F2112" s="7">
        <f t="shared" ca="1" si="131"/>
        <v>2.2265603352118184E-2</v>
      </c>
      <c r="G2112" s="7">
        <f ca="1">$C$11/(1+D2112)^1
 +$D$11/(1+D2112)^2
 +$E$11/(1+D2112)^3
 +$F$11/(1+D2112)^4
 +$G$11/(1+D2112)^5
 +$H$11/(1+D2112)^6
 +$I$11/(1+D2112)^7
 + ( $I$11*(1+F2112)/(D2112-F2112) )/(1+D2112)^7</f>
        <v>307.59038525226788</v>
      </c>
      <c r="H2112" s="7">
        <f ca="1">(G2112-$C$8)/$C$9</f>
        <v>1.6741315312769554</v>
      </c>
    </row>
    <row r="2113" spans="3:8" x14ac:dyDescent="0.35">
      <c r="C2113" s="8">
        <f t="shared" ca="1" si="128"/>
        <v>0.45484112470263871</v>
      </c>
      <c r="D2113" s="7">
        <f t="shared" ca="1" si="129"/>
        <v>8.9312424038845151E-2</v>
      </c>
      <c r="E2113" s="7">
        <f t="shared" ca="1" si="130"/>
        <v>0.2385016534143386</v>
      </c>
      <c r="F2113" s="7">
        <f t="shared" ca="1" si="131"/>
        <v>1.6906542599801129E-2</v>
      </c>
      <c r="G2113" s="7">
        <f ca="1">$C$11/(1+D2113)^1
 +$D$11/(1+D2113)^2
 +$E$11/(1+D2113)^3
 +$F$11/(1+D2113)^4
 +$G$11/(1+D2113)^5
 +$H$11/(1+D2113)^6
 +$I$11/(1+D2113)^7
 + ( $I$11*(1+F2113)/(D2113-F2113) )/(1+D2113)^7</f>
        <v>373.29959388185057</v>
      </c>
      <c r="H2113" s="7">
        <f ca="1">(G2113-$C$8)/$C$9</f>
        <v>2.0456218559579971</v>
      </c>
    </row>
    <row r="2114" spans="3:8" x14ac:dyDescent="0.35">
      <c r="C2114" s="8">
        <f t="shared" ca="1" si="128"/>
        <v>1.2919928882687115E-2</v>
      </c>
      <c r="D2114" s="7">
        <f t="shared" ca="1" si="129"/>
        <v>7.325489503422207E-2</v>
      </c>
      <c r="E2114" s="7">
        <f t="shared" ca="1" si="130"/>
        <v>0.15006211693860405</v>
      </c>
      <c r="F2114" s="7">
        <f t="shared" ca="1" si="131"/>
        <v>1.5478359552614342E-2</v>
      </c>
      <c r="G2114" s="7">
        <f ca="1">$C$11/(1+D2114)^1
 +$D$11/(1+D2114)^2
 +$E$11/(1+D2114)^3
 +$F$11/(1+D2114)^4
 +$G$11/(1+D2114)^5
 +$H$11/(1+D2114)^6
 +$I$11/(1+D2114)^7
 + ( $I$11*(1+F2114)/(D2114-F2114) )/(1+D2114)^7</f>
        <v>475.75426498908257</v>
      </c>
      <c r="H2114" s="7">
        <f ca="1">(G2114-$C$8)/$C$9</f>
        <v>2.6248545058179702</v>
      </c>
    </row>
    <row r="2115" spans="3:8" x14ac:dyDescent="0.35">
      <c r="C2115" s="8">
        <f t="shared" ca="1" si="128"/>
        <v>0.6198297311084553</v>
      </c>
      <c r="D2115" s="7">
        <f t="shared" ca="1" si="129"/>
        <v>9.2779871959378327E-2</v>
      </c>
      <c r="E2115" s="7">
        <f t="shared" ca="1" si="130"/>
        <v>0.81907575258833909</v>
      </c>
      <c r="F2115" s="7">
        <f t="shared" ca="1" si="131"/>
        <v>2.3984615599786478E-2</v>
      </c>
      <c r="G2115" s="7">
        <f ca="1">$C$11/(1+D2115)^1
 +$D$11/(1+D2115)^2
 +$E$11/(1+D2115)^3
 +$F$11/(1+D2115)^4
 +$G$11/(1+D2115)^5
 +$H$11/(1+D2115)^6
 +$I$11/(1+D2115)^7
 + ( $I$11*(1+F2115)/(D2115-F2115) )/(1+D2115)^7</f>
        <v>380.57643550568292</v>
      </c>
      <c r="H2115" s="7">
        <f ca="1">(G2115-$C$8)/$C$9</f>
        <v>2.0867618470470539</v>
      </c>
    </row>
    <row r="2116" spans="3:8" x14ac:dyDescent="0.35">
      <c r="C2116" s="8">
        <f t="shared" ca="1" si="128"/>
        <v>4.9021347408453764E-2</v>
      </c>
      <c r="D2116" s="7">
        <f t="shared" ca="1" si="129"/>
        <v>7.6340150224949888E-2</v>
      </c>
      <c r="E2116" s="7">
        <f t="shared" ca="1" si="130"/>
        <v>5.4752174971286371E-2</v>
      </c>
      <c r="F2116" s="7">
        <f t="shared" ca="1" si="131"/>
        <v>1.3309144148304404E-2</v>
      </c>
      <c r="G2116" s="7">
        <f ca="1">$C$11/(1+D2116)^1
 +$D$11/(1+D2116)^2
 +$E$11/(1+D2116)^3
 +$F$11/(1+D2116)^4
 +$G$11/(1+D2116)^5
 +$H$11/(1+D2116)^6
 +$I$11/(1+D2116)^7
 + ( $I$11*(1+F2116)/(D2116-F2116) )/(1+D2116)^7</f>
        <v>439.19448628423476</v>
      </c>
      <c r="H2116" s="7">
        <f ca="1">(G2116-$C$8)/$C$9</f>
        <v>2.4181619532125436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workbookViewId="0">
      <selection activeCell="B14" sqref="B14"/>
    </sheetView>
  </sheetViews>
  <sheetFormatPr defaultRowHeight="14.5" x14ac:dyDescent="0.35"/>
  <cols>
    <col min="1" max="1" width="40.08984375" customWidth="1"/>
    <col min="2" max="2" width="20.08984375" customWidth="1"/>
    <col min="3" max="3" width="18.81640625" customWidth="1"/>
    <col min="4" max="4" width="17.453125" customWidth="1"/>
    <col min="5" max="5" width="31" customWidth="1"/>
  </cols>
  <sheetData>
    <row r="1" spans="1:13" ht="15" thickBot="1" x14ac:dyDescent="0.4">
      <c r="A1" s="25" t="s">
        <v>270</v>
      </c>
      <c r="B1" s="2">
        <v>45657</v>
      </c>
      <c r="C1" s="2">
        <v>45291</v>
      </c>
      <c r="D1" s="2">
        <v>44926</v>
      </c>
      <c r="E1" s="2">
        <v>44561</v>
      </c>
      <c r="M1">
        <v>1000000</v>
      </c>
    </row>
    <row r="2" spans="1:13" ht="15" thickTop="1" x14ac:dyDescent="0.35">
      <c r="A2" s="60" t="s">
        <v>19</v>
      </c>
      <c r="B2" s="20">
        <v>0</v>
      </c>
      <c r="C2" s="20">
        <v>0</v>
      </c>
      <c r="D2" s="20">
        <v>-359435.685344</v>
      </c>
      <c r="E2" s="20">
        <v>0</v>
      </c>
    </row>
    <row r="3" spans="1:13" x14ac:dyDescent="0.35">
      <c r="A3" s="1" t="s">
        <v>20</v>
      </c>
      <c r="B3" s="20">
        <v>0.23930000000000001</v>
      </c>
      <c r="C3" s="20">
        <v>0.32082500000000003</v>
      </c>
      <c r="D3" s="20">
        <v>0.13824400000000001</v>
      </c>
      <c r="E3" s="20">
        <v>0.12903899999999999</v>
      </c>
    </row>
    <row r="4" spans="1:13" x14ac:dyDescent="0.35">
      <c r="A4" s="1" t="s">
        <v>21</v>
      </c>
      <c r="B4" s="20">
        <v>20.75</v>
      </c>
      <c r="C4" s="20">
        <v>4.1470000000000002</v>
      </c>
      <c r="D4" s="20">
        <v>56.463000000000001</v>
      </c>
      <c r="E4" s="20">
        <v>46.057000000000002</v>
      </c>
    </row>
    <row r="5" spans="1:13" x14ac:dyDescent="0.35">
      <c r="A5" s="1" t="s">
        <v>22</v>
      </c>
      <c r="B5" s="20">
        <v>0</v>
      </c>
      <c r="C5" s="20">
        <v>0</v>
      </c>
      <c r="D5" s="20">
        <v>0</v>
      </c>
      <c r="E5" s="20">
        <v>0</v>
      </c>
    </row>
    <row r="6" spans="1:13" x14ac:dyDescent="0.35">
      <c r="A6" s="1" t="s">
        <v>23</v>
      </c>
      <c r="B6" s="20">
        <v>0</v>
      </c>
      <c r="C6" s="20">
        <v>0</v>
      </c>
      <c r="D6" s="20">
        <v>-2.6</v>
      </c>
      <c r="E6" s="20">
        <v>0</v>
      </c>
    </row>
    <row r="7" spans="1:13" x14ac:dyDescent="0.35">
      <c r="A7" s="1" t="s">
        <v>24</v>
      </c>
      <c r="B7" s="20">
        <v>4.492</v>
      </c>
      <c r="C7" s="20">
        <v>-3.331</v>
      </c>
      <c r="D7" s="20">
        <v>39.616</v>
      </c>
      <c r="E7" s="20">
        <v>34.32</v>
      </c>
    </row>
    <row r="8" spans="1:13" x14ac:dyDescent="0.35">
      <c r="A8" s="1" t="s">
        <v>25</v>
      </c>
      <c r="B8" s="20">
        <v>2.5350000000000001</v>
      </c>
      <c r="C8" s="20">
        <v>1.4910000000000001</v>
      </c>
      <c r="D8" s="20">
        <v>4.18</v>
      </c>
      <c r="E8" s="20">
        <v>1.476</v>
      </c>
    </row>
    <row r="9" spans="1:13" x14ac:dyDescent="0.35">
      <c r="A9" s="1" t="s">
        <v>26</v>
      </c>
      <c r="B9" s="20">
        <v>27.978999999999999</v>
      </c>
      <c r="C9" s="20">
        <v>26.462</v>
      </c>
      <c r="D9" s="20">
        <v>28.155000000000001</v>
      </c>
      <c r="E9" s="20">
        <v>25.553000000000001</v>
      </c>
    </row>
    <row r="10" spans="1:13" x14ac:dyDescent="0.35">
      <c r="A10" s="1" t="s">
        <v>27</v>
      </c>
      <c r="B10" s="20">
        <v>20.75</v>
      </c>
      <c r="C10" s="20">
        <v>4.1470000000000002</v>
      </c>
      <c r="D10" s="20">
        <v>56.463000000000001</v>
      </c>
      <c r="E10" s="20">
        <v>46.057000000000002</v>
      </c>
    </row>
    <row r="11" spans="1:13" x14ac:dyDescent="0.35">
      <c r="A11" s="1" t="s">
        <v>28</v>
      </c>
      <c r="B11" s="20">
        <v>18.215</v>
      </c>
      <c r="C11" s="20">
        <v>2.6560000000000001</v>
      </c>
      <c r="D11" s="20">
        <v>52.283000000000001</v>
      </c>
      <c r="E11" s="20">
        <v>44.581000000000003</v>
      </c>
    </row>
    <row r="12" spans="1:13" x14ac:dyDescent="0.35">
      <c r="A12" s="1" t="s">
        <v>29</v>
      </c>
      <c r="B12" s="20">
        <v>-4.1120000000000001</v>
      </c>
      <c r="C12" s="20">
        <v>-3.58</v>
      </c>
      <c r="D12" s="20">
        <v>-6.2160000000000002</v>
      </c>
      <c r="E12" s="20">
        <v>-4.1829999999999998</v>
      </c>
    </row>
    <row r="13" spans="1:13" x14ac:dyDescent="0.35">
      <c r="A13" s="1" t="s">
        <v>30</v>
      </c>
      <c r="B13" s="20">
        <v>5.8789999999999996</v>
      </c>
      <c r="C13" s="20">
        <v>4.548</v>
      </c>
      <c r="D13" s="20">
        <v>4.6500000000000004</v>
      </c>
      <c r="E13" s="20">
        <v>3.9809999999999999</v>
      </c>
    </row>
    <row r="14" spans="1:13" x14ac:dyDescent="0.35">
      <c r="A14" s="1" t="s">
        <v>31</v>
      </c>
      <c r="B14" s="20">
        <v>1.5820000000000001</v>
      </c>
      <c r="C14" s="20">
        <v>1.036</v>
      </c>
      <c r="D14" s="20">
        <v>0.104</v>
      </c>
      <c r="E14" s="20">
        <v>0.17100000000000001</v>
      </c>
    </row>
    <row r="15" spans="1:13" x14ac:dyDescent="0.35">
      <c r="A15" s="1" t="s">
        <v>32</v>
      </c>
      <c r="B15" s="20">
        <v>4.492</v>
      </c>
      <c r="C15" s="20">
        <v>-3.331</v>
      </c>
      <c r="D15" s="20">
        <v>44.456564314655999</v>
      </c>
      <c r="E15" s="20">
        <v>34.32</v>
      </c>
    </row>
    <row r="16" spans="1:13" x14ac:dyDescent="0.35">
      <c r="A16" s="1" t="s">
        <v>33</v>
      </c>
      <c r="B16" s="20">
        <v>68.572999999999993</v>
      </c>
      <c r="C16" s="20">
        <v>1.3460000000000001</v>
      </c>
      <c r="D16" s="20">
        <v>39.616</v>
      </c>
      <c r="E16" s="20">
        <v>34.32</v>
      </c>
    </row>
    <row r="17" spans="1:5" x14ac:dyDescent="0.35">
      <c r="A17" s="1" t="s">
        <v>34</v>
      </c>
      <c r="B17" s="20">
        <v>40.962000000000003</v>
      </c>
      <c r="C17" s="20">
        <v>50.500999999999998</v>
      </c>
      <c r="D17" s="20">
        <v>11.823</v>
      </c>
      <c r="E17" s="20">
        <v>8.1430000000000007</v>
      </c>
    </row>
    <row r="18" spans="1:5" x14ac:dyDescent="0.35">
      <c r="A18" s="1" t="s">
        <v>35</v>
      </c>
      <c r="B18" s="20">
        <v>16.66</v>
      </c>
      <c r="C18" s="20">
        <v>-1.196</v>
      </c>
      <c r="D18" s="20">
        <v>53.107999999999997</v>
      </c>
      <c r="E18" s="20">
        <v>44.642000000000003</v>
      </c>
    </row>
    <row r="19" spans="1:5" x14ac:dyDescent="0.35">
      <c r="A19" s="1" t="s">
        <v>36</v>
      </c>
      <c r="B19" s="20">
        <v>174.38</v>
      </c>
      <c r="C19" s="20">
        <v>159.73099999999999</v>
      </c>
      <c r="D19" s="20">
        <v>159.70400000000001</v>
      </c>
      <c r="E19" s="20">
        <v>160.547</v>
      </c>
    </row>
    <row r="20" spans="1:5" x14ac:dyDescent="0.35">
      <c r="A20" s="1" t="s">
        <v>37</v>
      </c>
      <c r="B20" s="20">
        <v>173.78100000000001</v>
      </c>
      <c r="C20" s="20">
        <v>158.548</v>
      </c>
      <c r="D20" s="20">
        <v>157.53399999999999</v>
      </c>
      <c r="E20" s="20">
        <v>156.553</v>
      </c>
    </row>
    <row r="21" spans="1:5" x14ac:dyDescent="0.35">
      <c r="A21" s="1" t="s">
        <v>38</v>
      </c>
      <c r="B21" s="20">
        <v>0.39300000000000002</v>
      </c>
      <c r="C21" s="20">
        <v>8.0000000000000002E-3</v>
      </c>
      <c r="D21" s="20">
        <v>0.248</v>
      </c>
      <c r="E21" s="20">
        <v>0.214</v>
      </c>
    </row>
    <row r="22" spans="1:5" x14ac:dyDescent="0.35">
      <c r="A22" s="1" t="s">
        <v>39</v>
      </c>
      <c r="B22" s="20">
        <v>0.39500000000000002</v>
      </c>
      <c r="C22" s="20">
        <v>8.0000000000000002E-3</v>
      </c>
      <c r="D22" s="20">
        <v>0.251</v>
      </c>
      <c r="E22" s="20">
        <v>0.219</v>
      </c>
    </row>
    <row r="23" spans="1:5" x14ac:dyDescent="0.35">
      <c r="A23" s="1" t="s">
        <v>40</v>
      </c>
      <c r="B23" s="20">
        <v>68.572999999999993</v>
      </c>
      <c r="C23" s="20">
        <v>1.3460000000000001</v>
      </c>
      <c r="D23" s="20">
        <v>39.616</v>
      </c>
      <c r="E23" s="20">
        <v>34.32</v>
      </c>
    </row>
    <row r="24" spans="1:5" x14ac:dyDescent="0.35">
      <c r="A24" s="1" t="s">
        <v>41</v>
      </c>
      <c r="B24" s="20">
        <v>68.572999999999993</v>
      </c>
      <c r="C24" s="20">
        <v>1.3460000000000001</v>
      </c>
      <c r="D24" s="20">
        <v>39.616</v>
      </c>
      <c r="E24" s="20">
        <v>34.32</v>
      </c>
    </row>
    <row r="25" spans="1:5" x14ac:dyDescent="0.35">
      <c r="A25" s="1" t="s">
        <v>42</v>
      </c>
      <c r="B25" s="20">
        <v>0</v>
      </c>
      <c r="C25" s="20">
        <v>0</v>
      </c>
      <c r="D25" s="20">
        <v>0</v>
      </c>
      <c r="E25" s="20">
        <v>0</v>
      </c>
    </row>
    <row r="26" spans="1:5" x14ac:dyDescent="0.35">
      <c r="A26" s="1" t="s">
        <v>43</v>
      </c>
      <c r="B26" s="20">
        <v>68.572999999999993</v>
      </c>
      <c r="C26" s="20">
        <v>1.3460000000000001</v>
      </c>
      <c r="D26" s="20">
        <v>39.616</v>
      </c>
      <c r="E26" s="20">
        <v>34.32</v>
      </c>
    </row>
    <row r="27" spans="1:5" x14ac:dyDescent="0.35">
      <c r="A27" s="1" t="s">
        <v>44</v>
      </c>
      <c r="B27" s="20">
        <v>-4.8929999999999998</v>
      </c>
      <c r="C27" s="20">
        <v>-2.0470000000000002</v>
      </c>
      <c r="D27" s="20">
        <v>-1.4330000000000001</v>
      </c>
      <c r="E27" s="20">
        <v>-1.042</v>
      </c>
    </row>
    <row r="28" spans="1:5" x14ac:dyDescent="0.35">
      <c r="A28" s="1" t="s">
        <v>45</v>
      </c>
      <c r="B28" s="20">
        <v>73.465999999999994</v>
      </c>
      <c r="C28" s="20">
        <v>3.3919999999999999</v>
      </c>
      <c r="D28" s="20">
        <v>41.048999999999999</v>
      </c>
      <c r="E28" s="20">
        <v>35.362000000000002</v>
      </c>
    </row>
    <row r="29" spans="1:5" x14ac:dyDescent="0.35">
      <c r="A29" s="1" t="s">
        <v>46</v>
      </c>
      <c r="B29" s="20">
        <v>64.081000000000003</v>
      </c>
      <c r="C29" s="20">
        <v>4.6769999999999996</v>
      </c>
      <c r="D29" s="20">
        <v>0</v>
      </c>
      <c r="E29" s="20">
        <v>0</v>
      </c>
    </row>
    <row r="30" spans="1:5" x14ac:dyDescent="0.35">
      <c r="A30" s="1" t="s">
        <v>47</v>
      </c>
      <c r="B30" s="20">
        <v>9.3849999999999998</v>
      </c>
      <c r="C30" s="20">
        <v>-1.2849999999999999</v>
      </c>
      <c r="D30" s="20">
        <v>41.048999999999999</v>
      </c>
      <c r="E30" s="20">
        <v>35.362000000000002</v>
      </c>
    </row>
    <row r="31" spans="1:5" x14ac:dyDescent="0.35">
      <c r="A31" s="1" t="s">
        <v>48</v>
      </c>
      <c r="B31" s="20">
        <v>2.952</v>
      </c>
      <c r="C31" s="20">
        <v>-0.60699999999999998</v>
      </c>
      <c r="D31" s="20">
        <v>6.585</v>
      </c>
      <c r="E31" s="20">
        <v>5.2389999999999999</v>
      </c>
    </row>
    <row r="32" spans="1:5" x14ac:dyDescent="0.35">
      <c r="A32" s="1" t="s">
        <v>49</v>
      </c>
      <c r="B32" s="20">
        <v>12.336</v>
      </c>
      <c r="C32" s="20">
        <v>-1.8919999999999999</v>
      </c>
      <c r="D32" s="20">
        <v>47.633000000000003</v>
      </c>
      <c r="E32" s="20">
        <v>40.6</v>
      </c>
    </row>
    <row r="33" spans="1:5" x14ac:dyDescent="0.35">
      <c r="A33" s="1" t="s">
        <v>50</v>
      </c>
      <c r="B33" s="20">
        <v>0</v>
      </c>
      <c r="C33" s="20">
        <v>3.1219999999999999</v>
      </c>
      <c r="D33" s="20">
        <v>0.25</v>
      </c>
      <c r="E33" s="20">
        <v>0</v>
      </c>
    </row>
    <row r="34" spans="1:5" x14ac:dyDescent="0.35">
      <c r="A34" s="1" t="s">
        <v>51</v>
      </c>
      <c r="B34" s="20">
        <v>0</v>
      </c>
      <c r="C34" s="20">
        <v>0</v>
      </c>
      <c r="D34" s="20">
        <v>-2.6</v>
      </c>
      <c r="E34" s="20">
        <v>0</v>
      </c>
    </row>
    <row r="35" spans="1:5" x14ac:dyDescent="0.35">
      <c r="A35" s="1" t="s">
        <v>52</v>
      </c>
      <c r="B35" s="20">
        <v>0</v>
      </c>
      <c r="C35" s="20">
        <v>-3.1219999999999999</v>
      </c>
      <c r="D35" s="20">
        <v>-0.25</v>
      </c>
      <c r="E35" s="20">
        <v>0</v>
      </c>
    </row>
    <row r="36" spans="1:5" x14ac:dyDescent="0.35">
      <c r="A36" s="1" t="s">
        <v>53</v>
      </c>
      <c r="B36" s="20">
        <v>-4.1120000000000001</v>
      </c>
      <c r="C36" s="20">
        <v>-3.58</v>
      </c>
      <c r="D36" s="20">
        <v>-6.2160000000000002</v>
      </c>
      <c r="E36" s="20">
        <v>-4.1829999999999998</v>
      </c>
    </row>
    <row r="37" spans="1:5" x14ac:dyDescent="0.35">
      <c r="A37" s="1" t="s">
        <v>54</v>
      </c>
      <c r="B37" s="20">
        <v>-0.185</v>
      </c>
      <c r="C37" s="20">
        <v>6.8000000000000005E-2</v>
      </c>
      <c r="D37" s="20">
        <v>1.67</v>
      </c>
      <c r="E37" s="20">
        <v>0.373</v>
      </c>
    </row>
    <row r="38" spans="1:5" x14ac:dyDescent="0.35">
      <c r="A38" s="1" t="s">
        <v>55</v>
      </c>
      <c r="B38" s="20">
        <v>5.8789999999999996</v>
      </c>
      <c r="C38" s="20">
        <v>4.548</v>
      </c>
      <c r="D38" s="20">
        <v>4.6500000000000004</v>
      </c>
      <c r="E38" s="20">
        <v>3.9809999999999999</v>
      </c>
    </row>
    <row r="39" spans="1:5" x14ac:dyDescent="0.35">
      <c r="A39" s="1" t="s">
        <v>56</v>
      </c>
      <c r="B39" s="20">
        <v>1.5820000000000001</v>
      </c>
      <c r="C39" s="20">
        <v>1.036</v>
      </c>
      <c r="D39" s="20">
        <v>0.104</v>
      </c>
      <c r="E39" s="20">
        <v>0.17100000000000001</v>
      </c>
    </row>
    <row r="40" spans="1:5" x14ac:dyDescent="0.35">
      <c r="A40" s="1" t="s">
        <v>57</v>
      </c>
      <c r="B40" s="20">
        <v>16.658999999999999</v>
      </c>
      <c r="C40" s="20">
        <v>-1.196</v>
      </c>
      <c r="D40" s="20">
        <v>55.709000000000003</v>
      </c>
      <c r="E40" s="20">
        <v>44.640999999999998</v>
      </c>
    </row>
    <row r="41" spans="1:5" x14ac:dyDescent="0.35">
      <c r="A41" s="1" t="s">
        <v>58</v>
      </c>
      <c r="B41" s="20">
        <v>12.983000000000001</v>
      </c>
      <c r="C41" s="20">
        <v>24.039000000000001</v>
      </c>
      <c r="D41" s="20">
        <v>-16.332000000000001</v>
      </c>
      <c r="E41" s="20">
        <v>-17.41</v>
      </c>
    </row>
    <row r="42" spans="1:5" x14ac:dyDescent="0.35">
      <c r="A42" s="1" t="s">
        <v>59</v>
      </c>
      <c r="B42" s="20">
        <v>11.547000000000001</v>
      </c>
      <c r="C42" s="20">
        <v>15.731</v>
      </c>
      <c r="D42" s="20">
        <v>9.7620000000000005</v>
      </c>
      <c r="E42" s="20">
        <v>8.907</v>
      </c>
    </row>
    <row r="43" spans="1:5" x14ac:dyDescent="0.35">
      <c r="A43" s="1" t="s">
        <v>60</v>
      </c>
      <c r="B43" s="20">
        <v>2.4449999999999998</v>
      </c>
      <c r="C43" s="20">
        <v>1.393</v>
      </c>
      <c r="D43" s="20">
        <v>1.58</v>
      </c>
      <c r="E43" s="20">
        <v>1.476</v>
      </c>
    </row>
    <row r="44" spans="1:5" x14ac:dyDescent="0.35">
      <c r="A44" s="1" t="s">
        <v>61</v>
      </c>
      <c r="B44" s="20">
        <v>1.1579999999999999</v>
      </c>
      <c r="C44" s="20">
        <v>8.5999999999999993E-2</v>
      </c>
      <c r="D44" s="20">
        <v>0.39600000000000002</v>
      </c>
      <c r="E44" s="20">
        <v>0.44700000000000001</v>
      </c>
    </row>
    <row r="45" spans="1:5" x14ac:dyDescent="0.35">
      <c r="A45" s="1" t="s">
        <v>62</v>
      </c>
      <c r="B45" s="20">
        <v>1.2869999999999999</v>
      </c>
      <c r="C45" s="20">
        <v>1.3069999999999999</v>
      </c>
      <c r="D45" s="20">
        <v>1.1839999999999999</v>
      </c>
      <c r="E45" s="20">
        <v>1.0289999999999999</v>
      </c>
    </row>
    <row r="46" spans="1:5" x14ac:dyDescent="0.35">
      <c r="A46" s="1" t="s">
        <v>63</v>
      </c>
      <c r="B46" s="20">
        <v>29.641999999999999</v>
      </c>
      <c r="C46" s="20">
        <v>22.843</v>
      </c>
      <c r="D46" s="20">
        <v>39.377000000000002</v>
      </c>
      <c r="E46" s="20">
        <v>27.231000000000002</v>
      </c>
    </row>
    <row r="47" spans="1:5" x14ac:dyDescent="0.35">
      <c r="A47" s="1" t="s">
        <v>64</v>
      </c>
      <c r="B47" s="20">
        <v>27.978999999999999</v>
      </c>
      <c r="C47" s="20">
        <v>26.462</v>
      </c>
      <c r="D47" s="20">
        <v>28.155000000000001</v>
      </c>
      <c r="E47" s="20">
        <v>25.553000000000001</v>
      </c>
    </row>
    <row r="48" spans="1:5" x14ac:dyDescent="0.35">
      <c r="A48" s="1" t="s">
        <v>65</v>
      </c>
      <c r="B48" s="20">
        <v>57.621000000000002</v>
      </c>
      <c r="C48" s="20">
        <v>49.305</v>
      </c>
      <c r="D48" s="20">
        <v>67.531999999999996</v>
      </c>
      <c r="E48" s="20">
        <v>52.783999999999999</v>
      </c>
    </row>
    <row r="49" spans="1:5" x14ac:dyDescent="0.35">
      <c r="A49" s="1" t="s">
        <v>66</v>
      </c>
      <c r="B49" s="20">
        <v>57.621000000000002</v>
      </c>
      <c r="C49" s="20">
        <v>49.305</v>
      </c>
      <c r="D49" s="20">
        <v>67.531999999999996</v>
      </c>
      <c r="E49" s="20">
        <v>52.783999999999999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4"/>
  <sheetViews>
    <sheetView workbookViewId="0">
      <selection activeCell="C11" sqref="C11"/>
    </sheetView>
  </sheetViews>
  <sheetFormatPr defaultRowHeight="14.5" x14ac:dyDescent="0.35"/>
  <cols>
    <col min="1" max="1" width="38.7265625" customWidth="1"/>
    <col min="2" max="2" width="22.90625" customWidth="1"/>
    <col min="3" max="3" width="25.6328125" customWidth="1"/>
    <col min="4" max="4" width="23.36328125" customWidth="1"/>
    <col min="5" max="5" width="52.6328125" customWidth="1"/>
  </cols>
  <sheetData>
    <row r="1" spans="1:5" ht="15" thickBot="1" x14ac:dyDescent="0.4">
      <c r="A1" s="25" t="s">
        <v>271</v>
      </c>
      <c r="B1" s="2">
        <v>45657</v>
      </c>
      <c r="C1" s="2">
        <v>45291</v>
      </c>
      <c r="D1" s="2">
        <v>44926</v>
      </c>
      <c r="E1" s="2">
        <v>44561</v>
      </c>
    </row>
    <row r="2" spans="1:5" ht="15" thickTop="1" x14ac:dyDescent="0.35">
      <c r="A2" s="60" t="s">
        <v>67</v>
      </c>
      <c r="B2" s="20">
        <v>2.6298999999999999E-2</v>
      </c>
      <c r="C2" s="20">
        <v>2.6298999999999999E-2</v>
      </c>
      <c r="D2" s="20">
        <v>2.6298999999999999E-2</v>
      </c>
      <c r="E2" s="20">
        <v>2.6298999999999999E-2</v>
      </c>
    </row>
    <row r="3" spans="1:5" x14ac:dyDescent="0.35">
      <c r="A3" s="1" t="s">
        <v>68</v>
      </c>
      <c r="B3" s="20">
        <v>176.851911</v>
      </c>
      <c r="C3" s="20">
        <v>158.82308800000001</v>
      </c>
      <c r="D3" s="20">
        <v>158.02866900000001</v>
      </c>
      <c r="E3" s="20">
        <v>156.59099399999999</v>
      </c>
    </row>
    <row r="4" spans="1:5" x14ac:dyDescent="0.35">
      <c r="A4" s="1" t="s">
        <v>69</v>
      </c>
      <c r="B4" s="20">
        <v>176.87821</v>
      </c>
      <c r="C4" s="20">
        <v>158.84938700000001</v>
      </c>
      <c r="D4" s="20">
        <v>158.054968</v>
      </c>
      <c r="E4" s="20">
        <v>156.61729299999999</v>
      </c>
    </row>
    <row r="5" spans="1:5" x14ac:dyDescent="0.35">
      <c r="A5" s="1" t="s">
        <v>70</v>
      </c>
      <c r="B5" s="20">
        <v>11.465</v>
      </c>
      <c r="C5" s="20">
        <v>50.795999999999999</v>
      </c>
      <c r="D5" s="20">
        <v>36.131</v>
      </c>
      <c r="E5" s="20">
        <v>18.187999999999999</v>
      </c>
    </row>
    <row r="6" spans="1:5" x14ac:dyDescent="0.35">
      <c r="A6" s="1" t="s">
        <v>71</v>
      </c>
      <c r="B6" s="20">
        <v>102.533</v>
      </c>
      <c r="C6" s="20">
        <v>93.855999999999995</v>
      </c>
      <c r="D6" s="20">
        <v>92.965999999999994</v>
      </c>
      <c r="E6" s="20">
        <v>83.007999999999996</v>
      </c>
    </row>
    <row r="7" spans="1:5" x14ac:dyDescent="0.35">
      <c r="A7" s="1" t="s">
        <v>72</v>
      </c>
      <c r="B7" s="20">
        <v>156.26900000000001</v>
      </c>
      <c r="C7" s="20">
        <v>105.3</v>
      </c>
      <c r="D7" s="20">
        <v>132.07</v>
      </c>
      <c r="E7" s="20">
        <v>110.004</v>
      </c>
    </row>
    <row r="8" spans="1:5" x14ac:dyDescent="0.35">
      <c r="A8" s="1" t="s">
        <v>73</v>
      </c>
      <c r="B8" s="20">
        <v>298.39999999999998</v>
      </c>
      <c r="C8" s="20">
        <v>203.01</v>
      </c>
      <c r="D8" s="20">
        <v>229.75800000000001</v>
      </c>
      <c r="E8" s="20">
        <v>207.173</v>
      </c>
    </row>
    <row r="9" spans="1:5" x14ac:dyDescent="0.35">
      <c r="A9" s="1" t="s">
        <v>74</v>
      </c>
      <c r="B9" s="20">
        <v>90.884</v>
      </c>
      <c r="C9" s="20">
        <v>34.195999999999998</v>
      </c>
      <c r="D9" s="20">
        <v>61.369</v>
      </c>
      <c r="E9" s="20">
        <v>61.779000000000003</v>
      </c>
    </row>
    <row r="10" spans="1:5" x14ac:dyDescent="0.35">
      <c r="A10" s="1" t="s">
        <v>75</v>
      </c>
      <c r="B10" s="20">
        <v>156.26900000000001</v>
      </c>
      <c r="C10" s="20">
        <v>105.3</v>
      </c>
      <c r="D10" s="20">
        <v>132.07</v>
      </c>
      <c r="E10" s="20">
        <v>110.004</v>
      </c>
    </row>
    <row r="11" spans="1:5" x14ac:dyDescent="0.35">
      <c r="A11" s="1" t="s">
        <v>76</v>
      </c>
      <c r="B11" s="20">
        <v>2.9260000000000002</v>
      </c>
      <c r="C11" s="20">
        <v>4.0430000000000001</v>
      </c>
      <c r="D11" s="20">
        <v>3.2639999999999998</v>
      </c>
      <c r="E11" s="20">
        <v>1.613</v>
      </c>
    </row>
    <row r="12" spans="1:5" x14ac:dyDescent="0.35">
      <c r="A12" s="1" t="s">
        <v>77</v>
      </c>
      <c r="B12" s="20">
        <v>198.79300000000001</v>
      </c>
      <c r="C12" s="20">
        <v>113.197</v>
      </c>
      <c r="D12" s="20">
        <v>140.05600000000001</v>
      </c>
      <c r="E12" s="20">
        <v>125.77800000000001</v>
      </c>
    </row>
    <row r="13" spans="1:5" x14ac:dyDescent="0.35">
      <c r="A13" s="1" t="s">
        <v>78</v>
      </c>
      <c r="B13" s="20">
        <v>298.39999999999998</v>
      </c>
      <c r="C13" s="20">
        <v>202.947</v>
      </c>
      <c r="D13" s="20">
        <v>229.70599999999999</v>
      </c>
      <c r="E13" s="20">
        <v>207.13300000000001</v>
      </c>
    </row>
    <row r="14" spans="1:5" x14ac:dyDescent="0.35">
      <c r="A14" s="1" t="s">
        <v>79</v>
      </c>
      <c r="B14" s="20">
        <v>202.56800000000001</v>
      </c>
      <c r="C14" s="20">
        <v>115.125</v>
      </c>
      <c r="D14" s="20">
        <v>142.14400000000001</v>
      </c>
      <c r="E14" s="20">
        <v>127.39400000000001</v>
      </c>
    </row>
    <row r="15" spans="1:5" x14ac:dyDescent="0.35">
      <c r="A15" s="1" t="s">
        <v>80</v>
      </c>
      <c r="B15" s="20">
        <v>3.7749999999999999</v>
      </c>
      <c r="C15" s="20">
        <v>1.9279999999999999</v>
      </c>
      <c r="D15" s="20">
        <v>2.0880000000000001</v>
      </c>
      <c r="E15" s="20">
        <v>1.6160000000000001</v>
      </c>
    </row>
    <row r="16" spans="1:5" x14ac:dyDescent="0.35">
      <c r="A16" s="1" t="s">
        <v>81</v>
      </c>
      <c r="B16" s="20">
        <v>198.79300000000001</v>
      </c>
      <c r="C16" s="20">
        <v>113.197</v>
      </c>
      <c r="D16" s="20">
        <v>140.05600000000001</v>
      </c>
      <c r="E16" s="20">
        <v>125.77800000000001</v>
      </c>
    </row>
    <row r="17" spans="1:5" x14ac:dyDescent="0.35">
      <c r="A17" s="1" t="s">
        <v>82</v>
      </c>
      <c r="B17" s="20">
        <v>0</v>
      </c>
      <c r="C17" s="20">
        <v>-1E-3</v>
      </c>
      <c r="D17" s="20">
        <v>0</v>
      </c>
      <c r="E17" s="20">
        <v>-1E-3</v>
      </c>
    </row>
    <row r="18" spans="1:5" x14ac:dyDescent="0.35">
      <c r="A18" s="1" t="s">
        <v>83</v>
      </c>
      <c r="B18" s="20">
        <v>104.166</v>
      </c>
      <c r="C18" s="20">
        <v>52.914000000000001</v>
      </c>
      <c r="D18" s="20">
        <v>65.472999999999999</v>
      </c>
      <c r="E18" s="20">
        <v>33.606999999999999</v>
      </c>
    </row>
    <row r="19" spans="1:5" x14ac:dyDescent="0.35">
      <c r="A19" s="1" t="s">
        <v>84</v>
      </c>
      <c r="B19" s="20">
        <v>38.968000000000004</v>
      </c>
      <c r="C19" s="20">
        <v>38.968000000000004</v>
      </c>
      <c r="D19" s="20">
        <v>38.968000000000004</v>
      </c>
      <c r="E19" s="20">
        <v>38.968000000000004</v>
      </c>
    </row>
    <row r="20" spans="1:5" x14ac:dyDescent="0.35">
      <c r="A20" s="1" t="s">
        <v>85</v>
      </c>
      <c r="B20" s="20">
        <v>35.198</v>
      </c>
      <c r="C20" s="20">
        <v>0.77200000000000002</v>
      </c>
      <c r="D20" s="20">
        <v>0.77200000000000002</v>
      </c>
      <c r="E20" s="20">
        <v>0.77200000000000002</v>
      </c>
    </row>
    <row r="21" spans="1:5" x14ac:dyDescent="0.35">
      <c r="A21" s="1" t="s">
        <v>86</v>
      </c>
      <c r="B21" s="20">
        <v>35.198</v>
      </c>
      <c r="C21" s="20">
        <v>0.77200000000000002</v>
      </c>
      <c r="D21" s="20">
        <v>0.77200000000000002</v>
      </c>
      <c r="E21" s="20">
        <v>0.77200000000000002</v>
      </c>
    </row>
    <row r="22" spans="1:5" x14ac:dyDescent="0.35">
      <c r="A22" s="1" t="s">
        <v>87</v>
      </c>
      <c r="B22" s="20">
        <v>140.75399999999999</v>
      </c>
      <c r="C22" s="20">
        <v>126.422</v>
      </c>
      <c r="D22" s="20">
        <v>128.36799999999999</v>
      </c>
      <c r="E22" s="20">
        <v>112.869</v>
      </c>
    </row>
    <row r="23" spans="1:5" x14ac:dyDescent="0.35">
      <c r="A23" s="1" t="s">
        <v>88</v>
      </c>
      <c r="B23" s="20">
        <v>110.346</v>
      </c>
      <c r="C23" s="20">
        <v>98.944000000000003</v>
      </c>
      <c r="D23" s="20">
        <v>107.61499999999999</v>
      </c>
      <c r="E23" s="20">
        <v>94.216999999999999</v>
      </c>
    </row>
    <row r="24" spans="1:5" x14ac:dyDescent="0.35">
      <c r="A24" s="1" t="s">
        <v>89</v>
      </c>
      <c r="B24" s="20">
        <v>0.54800000000000004</v>
      </c>
      <c r="C24" s="20">
        <v>0.48299999999999998</v>
      </c>
      <c r="D24" s="20">
        <v>7.343</v>
      </c>
      <c r="E24" s="20">
        <v>7.5519999999999996</v>
      </c>
    </row>
    <row r="25" spans="1:5" x14ac:dyDescent="0.35">
      <c r="A25" s="1" t="s">
        <v>90</v>
      </c>
      <c r="B25" s="20">
        <v>8.5359999999999996</v>
      </c>
      <c r="C25" s="20">
        <v>5.9909999999999997</v>
      </c>
      <c r="D25" s="20">
        <v>8.4179999999999993</v>
      </c>
      <c r="E25" s="20">
        <v>4.6269999999999998</v>
      </c>
    </row>
    <row r="26" spans="1:5" x14ac:dyDescent="0.35">
      <c r="A26" s="1" t="s">
        <v>91</v>
      </c>
      <c r="B26" s="20">
        <v>101.262</v>
      </c>
      <c r="C26" s="20">
        <v>92.47</v>
      </c>
      <c r="D26" s="20">
        <v>91.853999999999999</v>
      </c>
      <c r="E26" s="20">
        <v>82.037999999999997</v>
      </c>
    </row>
    <row r="27" spans="1:5" x14ac:dyDescent="0.35">
      <c r="A27" s="1" t="s">
        <v>92</v>
      </c>
      <c r="B27" s="20">
        <v>1.655</v>
      </c>
      <c r="C27" s="20">
        <v>2.72</v>
      </c>
      <c r="D27" s="20">
        <v>2.2040000000000002</v>
      </c>
      <c r="E27" s="20">
        <v>0.68300000000000005</v>
      </c>
    </row>
    <row r="28" spans="1:5" x14ac:dyDescent="0.35">
      <c r="A28" s="1" t="s">
        <v>93</v>
      </c>
      <c r="B28" s="20">
        <v>99.606999999999999</v>
      </c>
      <c r="C28" s="20">
        <v>89.75</v>
      </c>
      <c r="D28" s="20">
        <v>89.65</v>
      </c>
      <c r="E28" s="20">
        <v>81.355000000000004</v>
      </c>
    </row>
    <row r="29" spans="1:5" x14ac:dyDescent="0.35">
      <c r="A29" s="1" t="s">
        <v>94</v>
      </c>
      <c r="B29" s="20">
        <v>30.408000000000001</v>
      </c>
      <c r="C29" s="20">
        <v>27.478000000000002</v>
      </c>
      <c r="D29" s="20">
        <v>20.753</v>
      </c>
      <c r="E29" s="20">
        <v>18.652000000000001</v>
      </c>
    </row>
    <row r="30" spans="1:5" x14ac:dyDescent="0.35">
      <c r="A30" s="1" t="s">
        <v>95</v>
      </c>
      <c r="B30" s="20">
        <v>1.7250000000000001</v>
      </c>
      <c r="C30" s="20">
        <v>7.1159999999999997</v>
      </c>
      <c r="D30" s="20">
        <v>3.714</v>
      </c>
      <c r="E30" s="20">
        <v>3.3460000000000001</v>
      </c>
    </row>
    <row r="31" spans="1:5" x14ac:dyDescent="0.35">
      <c r="A31" s="1" t="s">
        <v>96</v>
      </c>
      <c r="B31" s="20">
        <v>1.2709999999999999</v>
      </c>
      <c r="C31" s="20">
        <v>1.3859999999999999</v>
      </c>
      <c r="D31" s="20">
        <v>1.1120000000000001</v>
      </c>
      <c r="E31" s="20">
        <v>0.97</v>
      </c>
    </row>
    <row r="32" spans="1:5" x14ac:dyDescent="0.35">
      <c r="A32" s="1" t="s">
        <v>97</v>
      </c>
      <c r="B32" s="20">
        <v>1.2709999999999999</v>
      </c>
      <c r="C32" s="20">
        <v>1.323</v>
      </c>
      <c r="D32" s="20">
        <v>1.06</v>
      </c>
      <c r="E32" s="20">
        <v>0.93</v>
      </c>
    </row>
    <row r="33" spans="1:5" x14ac:dyDescent="0.35">
      <c r="A33" s="1" t="s">
        <v>98</v>
      </c>
      <c r="B33" s="20">
        <v>0</v>
      </c>
      <c r="C33" s="20">
        <v>6.3E-2</v>
      </c>
      <c r="D33" s="20">
        <v>5.1999999999999998E-2</v>
      </c>
      <c r="E33" s="20">
        <v>0.04</v>
      </c>
    </row>
    <row r="34" spans="1:5" x14ac:dyDescent="0.35">
      <c r="A34" s="1" t="s">
        <v>99</v>
      </c>
      <c r="B34" s="20">
        <v>11.044</v>
      </c>
      <c r="C34" s="20">
        <v>4.0369999999999999</v>
      </c>
      <c r="D34" s="20">
        <v>1.645</v>
      </c>
      <c r="E34" s="20">
        <v>2.1890000000000001</v>
      </c>
    </row>
    <row r="35" spans="1:5" x14ac:dyDescent="0.35">
      <c r="A35" s="1" t="s">
        <v>100</v>
      </c>
      <c r="B35" s="20">
        <v>9.76</v>
      </c>
      <c r="C35" s="20">
        <v>1.9359999999999999</v>
      </c>
      <c r="D35" s="20">
        <v>0.47799999999999998</v>
      </c>
      <c r="E35" s="20">
        <v>0.95899999999999996</v>
      </c>
    </row>
    <row r="36" spans="1:5" x14ac:dyDescent="0.35">
      <c r="A36" s="1" t="s">
        <v>101</v>
      </c>
      <c r="B36" s="20">
        <v>1.284</v>
      </c>
      <c r="C36" s="20">
        <v>2.101</v>
      </c>
      <c r="D36" s="20">
        <v>1.167</v>
      </c>
      <c r="E36" s="20">
        <v>1.23</v>
      </c>
    </row>
    <row r="37" spans="1:5" x14ac:dyDescent="0.35">
      <c r="A37" s="1" t="s">
        <v>102</v>
      </c>
      <c r="B37" s="20">
        <v>343.322</v>
      </c>
      <c r="C37" s="20">
        <v>241.547</v>
      </c>
      <c r="D37" s="20">
        <v>270.512</v>
      </c>
      <c r="E37" s="20">
        <v>240.26300000000001</v>
      </c>
    </row>
    <row r="38" spans="1:5" x14ac:dyDescent="0.35">
      <c r="A38" s="1" t="s">
        <v>103</v>
      </c>
      <c r="B38" s="20">
        <v>222.03299999999999</v>
      </c>
      <c r="C38" s="20">
        <v>179.875</v>
      </c>
      <c r="D38" s="20">
        <v>188.38800000000001</v>
      </c>
      <c r="E38" s="20">
        <v>159.834</v>
      </c>
    </row>
    <row r="39" spans="1:5" x14ac:dyDescent="0.35">
      <c r="A39" s="1" t="s">
        <v>104</v>
      </c>
      <c r="B39" s="20">
        <v>1.7330000000000001</v>
      </c>
      <c r="C39" s="20">
        <v>1.8959999999999999</v>
      </c>
      <c r="D39" s="20">
        <v>1.79</v>
      </c>
      <c r="E39" s="20">
        <v>1.8360000000000001</v>
      </c>
    </row>
    <row r="40" spans="1:5" x14ac:dyDescent="0.35">
      <c r="A40" s="1" t="s">
        <v>105</v>
      </c>
      <c r="B40" s="20">
        <v>167.792</v>
      </c>
      <c r="C40" s="20">
        <v>159.41499999999999</v>
      </c>
      <c r="D40" s="20">
        <v>169.49700000000001</v>
      </c>
      <c r="E40" s="20">
        <v>130.404</v>
      </c>
    </row>
    <row r="41" spans="1:5" x14ac:dyDescent="0.35">
      <c r="A41" s="1" t="s">
        <v>106</v>
      </c>
      <c r="B41" s="20">
        <v>167.792</v>
      </c>
      <c r="C41" s="20">
        <v>159.41499999999999</v>
      </c>
      <c r="D41" s="20">
        <v>169.49700000000001</v>
      </c>
      <c r="E41" s="20">
        <v>130.404</v>
      </c>
    </row>
    <row r="42" spans="1:5" x14ac:dyDescent="0.35">
      <c r="A42" s="1" t="s">
        <v>107</v>
      </c>
      <c r="B42" s="20">
        <v>42.524000000000001</v>
      </c>
      <c r="C42" s="20">
        <v>7.8970000000000002</v>
      </c>
      <c r="D42" s="20">
        <v>7.9859999999999998</v>
      </c>
      <c r="E42" s="20">
        <v>15.773999999999999</v>
      </c>
    </row>
    <row r="43" spans="1:5" x14ac:dyDescent="0.35">
      <c r="A43" s="1" t="s">
        <v>108</v>
      </c>
      <c r="B43" s="20">
        <v>12.388999999999999</v>
      </c>
      <c r="C43" s="20">
        <v>1.0999999999999999E-2</v>
      </c>
      <c r="D43" s="20">
        <v>0.1</v>
      </c>
      <c r="E43" s="20">
        <v>0.46</v>
      </c>
    </row>
    <row r="44" spans="1:5" x14ac:dyDescent="0.35">
      <c r="A44" s="1" t="s">
        <v>109</v>
      </c>
      <c r="B44" s="20">
        <v>30.135000000000002</v>
      </c>
      <c r="C44" s="20">
        <v>7.8860000000000001</v>
      </c>
      <c r="D44" s="20">
        <v>7.8860000000000001</v>
      </c>
      <c r="E44" s="20">
        <v>15.314</v>
      </c>
    </row>
    <row r="45" spans="1:5" x14ac:dyDescent="0.35">
      <c r="A45" s="1" t="s">
        <v>110</v>
      </c>
      <c r="B45" s="20">
        <v>2.9319999999999999</v>
      </c>
      <c r="C45" s="20">
        <v>4.1420000000000003</v>
      </c>
      <c r="D45" s="20">
        <v>3.57</v>
      </c>
      <c r="E45" s="20">
        <v>1.754</v>
      </c>
    </row>
    <row r="46" spans="1:5" x14ac:dyDescent="0.35">
      <c r="A46" s="1" t="s">
        <v>111</v>
      </c>
      <c r="B46" s="20">
        <v>-2.4079999999999999</v>
      </c>
      <c r="C46" s="20">
        <v>-2.3340000000000001</v>
      </c>
      <c r="D46" s="20">
        <v>-2.246</v>
      </c>
      <c r="E46" s="20">
        <v>-2.1829999999999998</v>
      </c>
    </row>
    <row r="47" spans="1:5" x14ac:dyDescent="0.35">
      <c r="A47" s="1" t="s">
        <v>112</v>
      </c>
      <c r="B47" s="20">
        <v>5.34</v>
      </c>
      <c r="C47" s="20">
        <v>6.476</v>
      </c>
      <c r="D47" s="20">
        <v>5.8159999999999998</v>
      </c>
      <c r="E47" s="20">
        <v>3.9369999999999998</v>
      </c>
    </row>
    <row r="48" spans="1:5" x14ac:dyDescent="0.35">
      <c r="A48" s="1" t="s">
        <v>113</v>
      </c>
      <c r="B48" s="20">
        <v>2.3E-2</v>
      </c>
      <c r="C48" s="20">
        <v>2.3E-2</v>
      </c>
      <c r="D48" s="20">
        <v>3.3000000000000002E-2</v>
      </c>
      <c r="E48" s="20">
        <v>4.7E-2</v>
      </c>
    </row>
    <row r="49" spans="1:5" x14ac:dyDescent="0.35">
      <c r="A49" s="1" t="s">
        <v>114</v>
      </c>
      <c r="B49" s="20">
        <v>2.532</v>
      </c>
      <c r="C49" s="20">
        <v>2.5209999999999999</v>
      </c>
      <c r="D49" s="20">
        <v>2.4980000000000002</v>
      </c>
      <c r="E49" s="20">
        <v>2.347</v>
      </c>
    </row>
    <row r="50" spans="1:5" x14ac:dyDescent="0.35">
      <c r="A50" s="1" t="s">
        <v>115</v>
      </c>
      <c r="B50" s="20">
        <v>2.7850000000000001</v>
      </c>
      <c r="C50" s="20">
        <v>3.9319999999999999</v>
      </c>
      <c r="D50" s="20">
        <v>3.2850000000000001</v>
      </c>
      <c r="E50" s="20">
        <v>1.5429999999999999</v>
      </c>
    </row>
    <row r="51" spans="1:5" x14ac:dyDescent="0.35">
      <c r="A51" s="1" t="s">
        <v>116</v>
      </c>
      <c r="B51" s="20">
        <v>0</v>
      </c>
      <c r="C51" s="20">
        <v>0</v>
      </c>
      <c r="D51" s="20">
        <v>0</v>
      </c>
      <c r="E51" s="20">
        <v>0</v>
      </c>
    </row>
    <row r="52" spans="1:5" x14ac:dyDescent="0.35">
      <c r="A52" s="1" t="s">
        <v>117</v>
      </c>
      <c r="B52" s="20">
        <v>121.292</v>
      </c>
      <c r="C52" s="20">
        <v>61.673999999999999</v>
      </c>
      <c r="D52" s="20">
        <v>82.122</v>
      </c>
      <c r="E52" s="20">
        <v>80.430999999999997</v>
      </c>
    </row>
    <row r="53" spans="1:5" x14ac:dyDescent="0.35">
      <c r="A53" s="1" t="s">
        <v>118</v>
      </c>
      <c r="B53" s="20">
        <v>0</v>
      </c>
      <c r="C53" s="20">
        <v>0</v>
      </c>
      <c r="D53" s="20">
        <v>0</v>
      </c>
      <c r="E53" s="20">
        <v>-2E-3</v>
      </c>
    </row>
    <row r="54" spans="1:5" x14ac:dyDescent="0.35">
      <c r="A54" s="1" t="s">
        <v>119</v>
      </c>
      <c r="B54" s="20">
        <v>0</v>
      </c>
      <c r="C54" s="20">
        <v>0</v>
      </c>
      <c r="D54" s="20">
        <v>5.7690000000000001</v>
      </c>
      <c r="E54" s="20">
        <v>0</v>
      </c>
    </row>
    <row r="55" spans="1:5" x14ac:dyDescent="0.35">
      <c r="A55" s="1" t="s">
        <v>120</v>
      </c>
      <c r="B55" s="20">
        <v>2</v>
      </c>
      <c r="C55" s="20">
        <v>2</v>
      </c>
      <c r="D55" s="20">
        <v>2</v>
      </c>
      <c r="E55" s="20">
        <v>2</v>
      </c>
    </row>
    <row r="56" spans="1:5" x14ac:dyDescent="0.35">
      <c r="A56" s="1" t="s">
        <v>121</v>
      </c>
      <c r="B56" s="20">
        <v>17.739000000000001</v>
      </c>
      <c r="C56" s="20">
        <v>11.507</v>
      </c>
      <c r="D56" s="20">
        <v>12.055999999999999</v>
      </c>
      <c r="E56" s="20">
        <v>9.2219999999999995</v>
      </c>
    </row>
    <row r="57" spans="1:5" x14ac:dyDescent="0.35">
      <c r="A57" s="1" t="s">
        <v>122</v>
      </c>
      <c r="B57" s="20">
        <v>9.6210000000000004</v>
      </c>
      <c r="C57" s="20">
        <v>8.875</v>
      </c>
      <c r="D57" s="20">
        <v>8.6609999999999996</v>
      </c>
      <c r="E57" s="20">
        <v>6.0019999999999998</v>
      </c>
    </row>
    <row r="58" spans="1:5" x14ac:dyDescent="0.35">
      <c r="A58" s="1" t="s">
        <v>123</v>
      </c>
      <c r="B58" s="20">
        <v>-0.106</v>
      </c>
      <c r="C58" s="20">
        <v>-0.13200000000000001</v>
      </c>
      <c r="D58" s="20">
        <v>-0.109</v>
      </c>
      <c r="E58" s="20">
        <v>-7.3999999999999996E-2</v>
      </c>
    </row>
    <row r="59" spans="1:5" x14ac:dyDescent="0.35">
      <c r="A59" s="1" t="s">
        <v>124</v>
      </c>
      <c r="B59" s="20">
        <v>9.7270000000000003</v>
      </c>
      <c r="C59" s="20">
        <v>9.0069999999999997</v>
      </c>
      <c r="D59" s="20">
        <v>8.77</v>
      </c>
      <c r="E59" s="20">
        <v>6.0759999999999996</v>
      </c>
    </row>
    <row r="60" spans="1:5" x14ac:dyDescent="0.35">
      <c r="A60" s="1" t="s">
        <v>125</v>
      </c>
      <c r="B60" s="20">
        <v>91.932000000000002</v>
      </c>
      <c r="C60" s="20">
        <v>39.292000000000002</v>
      </c>
      <c r="D60" s="20">
        <v>53.636000000000003</v>
      </c>
      <c r="E60" s="20">
        <v>63.207000000000001</v>
      </c>
    </row>
    <row r="61" spans="1:5" x14ac:dyDescent="0.35">
      <c r="A61" s="1" t="s">
        <v>126</v>
      </c>
      <c r="B61" s="20">
        <v>3.79</v>
      </c>
      <c r="C61" s="20">
        <v>0.27500000000000002</v>
      </c>
      <c r="D61" s="20">
        <v>6.5000000000000002E-2</v>
      </c>
      <c r="E61" s="20">
        <v>0</v>
      </c>
    </row>
    <row r="62" spans="1:5" x14ac:dyDescent="0.35">
      <c r="A62" s="1" t="s">
        <v>127</v>
      </c>
      <c r="B62" s="20">
        <v>88.141999999999996</v>
      </c>
      <c r="C62" s="20">
        <v>39.017000000000003</v>
      </c>
      <c r="D62" s="20">
        <v>53.570999999999998</v>
      </c>
      <c r="E62" s="20">
        <v>63.207000000000001</v>
      </c>
    </row>
    <row r="63" spans="1:5" x14ac:dyDescent="0.35">
      <c r="A63" s="1" t="s">
        <v>128</v>
      </c>
      <c r="B63" s="20">
        <v>11.385999999999999</v>
      </c>
      <c r="C63" s="20">
        <v>0.872</v>
      </c>
      <c r="D63" s="20">
        <v>0</v>
      </c>
      <c r="E63" s="20">
        <v>0</v>
      </c>
    </row>
    <row r="64" spans="1:5" x14ac:dyDescent="0.35">
      <c r="A64" s="1" t="s">
        <v>129</v>
      </c>
      <c r="B64" s="20">
        <v>76.756</v>
      </c>
      <c r="C64" s="20">
        <v>38.145000000000003</v>
      </c>
      <c r="D64" s="20">
        <v>53.570999999999998</v>
      </c>
      <c r="E64" s="20">
        <v>63.207000000000001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workbookViewId="0"/>
  </sheetViews>
  <sheetFormatPr defaultRowHeight="14.5" x14ac:dyDescent="0.35"/>
  <cols>
    <col min="1" max="1" width="34.54296875" customWidth="1"/>
    <col min="2" max="2" width="22.26953125" customWidth="1"/>
    <col min="3" max="3" width="24.1796875" customWidth="1"/>
    <col min="4" max="4" width="22.36328125" customWidth="1"/>
    <col min="5" max="5" width="22.26953125" customWidth="1"/>
  </cols>
  <sheetData>
    <row r="1" spans="1:5" ht="15" thickBot="1" x14ac:dyDescent="0.4">
      <c r="A1" s="25" t="s">
        <v>272</v>
      </c>
      <c r="B1" s="2">
        <v>45657</v>
      </c>
      <c r="C1" s="2">
        <v>45291</v>
      </c>
      <c r="D1" s="2">
        <v>44926</v>
      </c>
      <c r="E1" s="2">
        <v>44561</v>
      </c>
    </row>
    <row r="2" spans="1:5" ht="15" thickTop="1" x14ac:dyDescent="0.35">
      <c r="A2" s="60" t="s">
        <v>130</v>
      </c>
      <c r="B2" s="20">
        <v>3.1379999999999999</v>
      </c>
      <c r="C2" s="20">
        <v>12.058</v>
      </c>
      <c r="D2" s="20">
        <v>5.7110000000000003</v>
      </c>
      <c r="E2" s="20">
        <v>10.885</v>
      </c>
    </row>
    <row r="3" spans="1:5" x14ac:dyDescent="0.35">
      <c r="A3" s="1" t="s">
        <v>131</v>
      </c>
      <c r="B3" s="20">
        <v>-50.101999999999997</v>
      </c>
      <c r="C3" s="20">
        <v>0</v>
      </c>
      <c r="D3" s="20">
        <v>-31.52</v>
      </c>
      <c r="E3" s="20">
        <v>0</v>
      </c>
    </row>
    <row r="4" spans="1:5" x14ac:dyDescent="0.35">
      <c r="A4" s="1" t="s">
        <v>132</v>
      </c>
      <c r="B4" s="20">
        <v>59.667999999999999</v>
      </c>
      <c r="C4" s="20">
        <v>1.0999999999999999E-2</v>
      </c>
      <c r="D4" s="20">
        <v>39.790999999999997</v>
      </c>
      <c r="E4" s="20">
        <v>0.14000000000000001</v>
      </c>
    </row>
    <row r="5" spans="1:5" x14ac:dyDescent="0.35">
      <c r="A5" s="1" t="s">
        <v>133</v>
      </c>
      <c r="B5" s="20">
        <v>0</v>
      </c>
      <c r="C5" s="20">
        <v>0</v>
      </c>
      <c r="D5" s="20">
        <v>0</v>
      </c>
      <c r="E5" s="20">
        <v>0.09</v>
      </c>
    </row>
    <row r="6" spans="1:5" x14ac:dyDescent="0.35">
      <c r="A6" s="1" t="s">
        <v>134</v>
      </c>
      <c r="B6" s="20">
        <v>-4.7E-2</v>
      </c>
      <c r="C6" s="20">
        <v>-2.5999999999999999E-2</v>
      </c>
      <c r="D6" s="20">
        <v>-0.33300000000000002</v>
      </c>
      <c r="E6" s="20">
        <v>-0.14000000000000001</v>
      </c>
    </row>
    <row r="7" spans="1:5" x14ac:dyDescent="0.35">
      <c r="A7" s="1" t="s">
        <v>135</v>
      </c>
      <c r="B7" s="20">
        <v>90.141999999999996</v>
      </c>
      <c r="C7" s="20">
        <v>41.017000000000003</v>
      </c>
      <c r="D7" s="20">
        <v>55.944000000000003</v>
      </c>
      <c r="E7" s="20">
        <v>65.206999999999994</v>
      </c>
    </row>
    <row r="8" spans="1:5" x14ac:dyDescent="0.35">
      <c r="A8" s="1" t="s">
        <v>136</v>
      </c>
      <c r="B8" s="20">
        <v>41.017000000000003</v>
      </c>
      <c r="C8" s="20">
        <v>55.944000000000003</v>
      </c>
      <c r="D8" s="20">
        <v>65.206999999999994</v>
      </c>
      <c r="E8" s="20">
        <v>58.002000000000002</v>
      </c>
    </row>
    <row r="9" spans="1:5" x14ac:dyDescent="0.35">
      <c r="A9" s="1" t="s">
        <v>137</v>
      </c>
      <c r="B9" s="20">
        <v>0.153</v>
      </c>
      <c r="C9" s="20">
        <v>-0.14599999999999999</v>
      </c>
      <c r="D9" s="20">
        <v>0.24399999999999999</v>
      </c>
      <c r="E9" s="20">
        <v>0</v>
      </c>
    </row>
    <row r="10" spans="1:5" x14ac:dyDescent="0.35">
      <c r="A10" s="1" t="s">
        <v>138</v>
      </c>
      <c r="B10" s="20">
        <v>48.972000000000001</v>
      </c>
      <c r="C10" s="20">
        <v>-14.781000000000001</v>
      </c>
      <c r="D10" s="20">
        <v>-9.5069999999999997</v>
      </c>
      <c r="E10" s="20">
        <v>7.2050000000000001</v>
      </c>
    </row>
    <row r="11" spans="1:5" x14ac:dyDescent="0.35">
      <c r="A11" s="1" t="s">
        <v>139</v>
      </c>
      <c r="B11" s="20">
        <v>-13.705</v>
      </c>
      <c r="C11" s="20">
        <v>-30.317</v>
      </c>
      <c r="D11" s="20">
        <v>-17.992000000000001</v>
      </c>
      <c r="E11" s="20">
        <v>-22.99</v>
      </c>
    </row>
    <row r="12" spans="1:5" x14ac:dyDescent="0.35">
      <c r="A12" s="1" t="s">
        <v>140</v>
      </c>
      <c r="B12" s="20">
        <v>0</v>
      </c>
      <c r="C12" s="20">
        <v>3.1E-2</v>
      </c>
      <c r="D12" s="20">
        <v>-1E-3</v>
      </c>
      <c r="E12" s="20">
        <v>0</v>
      </c>
    </row>
    <row r="13" spans="1:5" x14ac:dyDescent="0.35">
      <c r="A13" s="1" t="s">
        <v>141</v>
      </c>
      <c r="B13" s="20">
        <v>-22.004000000000001</v>
      </c>
      <c r="C13" s="20">
        <v>-29.193999999999999</v>
      </c>
      <c r="D13" s="20">
        <v>-25.073</v>
      </c>
      <c r="E13" s="20">
        <v>-22.244</v>
      </c>
    </row>
    <row r="14" spans="1:5" x14ac:dyDescent="0.35">
      <c r="A14" s="1" t="s">
        <v>142</v>
      </c>
      <c r="B14" s="20">
        <v>-22.004000000000001</v>
      </c>
      <c r="C14" s="20">
        <v>-29.193999999999999</v>
      </c>
      <c r="D14" s="20">
        <v>0</v>
      </c>
      <c r="E14" s="20">
        <v>0</v>
      </c>
    </row>
    <row r="15" spans="1:5" x14ac:dyDescent="0.35">
      <c r="A15" s="1" t="s">
        <v>143</v>
      </c>
      <c r="B15" s="20">
        <v>0</v>
      </c>
      <c r="C15" s="20">
        <v>0</v>
      </c>
      <c r="D15" s="20">
        <v>0</v>
      </c>
      <c r="E15" s="20">
        <v>0.09</v>
      </c>
    </row>
    <row r="16" spans="1:5" x14ac:dyDescent="0.35">
      <c r="A16" s="1" t="s">
        <v>144</v>
      </c>
      <c r="B16" s="20">
        <v>0</v>
      </c>
      <c r="C16" s="20">
        <v>0</v>
      </c>
      <c r="D16" s="20">
        <v>0</v>
      </c>
      <c r="E16" s="20">
        <v>0.09</v>
      </c>
    </row>
    <row r="17" spans="1:5" x14ac:dyDescent="0.35">
      <c r="A17" s="1" t="s">
        <v>145</v>
      </c>
      <c r="B17" s="20">
        <v>9.5660000000000007</v>
      </c>
      <c r="C17" s="20">
        <v>1.0999999999999999E-2</v>
      </c>
      <c r="D17" s="20">
        <v>8.2710000000000008</v>
      </c>
      <c r="E17" s="20">
        <v>0.14000000000000001</v>
      </c>
    </row>
    <row r="18" spans="1:5" x14ac:dyDescent="0.35">
      <c r="A18" s="1" t="s">
        <v>146</v>
      </c>
      <c r="B18" s="20">
        <v>9.5660000000000007</v>
      </c>
      <c r="C18" s="20">
        <v>1.0999999999999999E-2</v>
      </c>
      <c r="D18" s="20">
        <v>8.2710000000000008</v>
      </c>
      <c r="E18" s="20">
        <v>0.14000000000000001</v>
      </c>
    </row>
    <row r="19" spans="1:5" x14ac:dyDescent="0.35">
      <c r="A19" s="1" t="s">
        <v>147</v>
      </c>
      <c r="B19" s="20">
        <v>-50.101999999999997</v>
      </c>
      <c r="C19" s="20">
        <v>0</v>
      </c>
      <c r="D19" s="20">
        <v>-31.52</v>
      </c>
      <c r="E19" s="20">
        <v>0</v>
      </c>
    </row>
    <row r="20" spans="1:5" x14ac:dyDescent="0.35">
      <c r="A20" s="1" t="s">
        <v>148</v>
      </c>
      <c r="B20" s="20">
        <v>59.667999999999999</v>
      </c>
      <c r="C20" s="20">
        <v>1.0999999999999999E-2</v>
      </c>
      <c r="D20" s="20">
        <v>39.790999999999997</v>
      </c>
      <c r="E20" s="20">
        <v>0.14000000000000001</v>
      </c>
    </row>
    <row r="21" spans="1:5" x14ac:dyDescent="0.35">
      <c r="A21" s="1" t="s">
        <v>149</v>
      </c>
      <c r="B21" s="20">
        <v>59.491999999999997</v>
      </c>
      <c r="C21" s="20">
        <v>3.452</v>
      </c>
      <c r="D21" s="20">
        <v>2.4409999999999998</v>
      </c>
      <c r="E21" s="20">
        <v>19.170000000000002</v>
      </c>
    </row>
    <row r="22" spans="1:5" x14ac:dyDescent="0.35">
      <c r="A22" s="1" t="s">
        <v>150</v>
      </c>
      <c r="B22" s="20">
        <v>0</v>
      </c>
      <c r="C22" s="20">
        <v>0</v>
      </c>
      <c r="D22" s="20">
        <v>-1E-3</v>
      </c>
      <c r="E22" s="20">
        <v>1.389</v>
      </c>
    </row>
    <row r="23" spans="1:5" x14ac:dyDescent="0.35">
      <c r="A23" s="1" t="s">
        <v>151</v>
      </c>
      <c r="B23" s="20">
        <v>1.425</v>
      </c>
      <c r="C23" s="20">
        <v>0.78600000000000003</v>
      </c>
      <c r="D23" s="20">
        <v>8.3000000000000004E-2</v>
      </c>
      <c r="E23" s="20">
        <v>9.0999999999999998E-2</v>
      </c>
    </row>
    <row r="24" spans="1:5" x14ac:dyDescent="0.35">
      <c r="A24" s="1" t="s">
        <v>152</v>
      </c>
      <c r="B24" s="20">
        <v>-2.2410000000000001</v>
      </c>
      <c r="C24" s="20">
        <v>0.17199999999999999</v>
      </c>
      <c r="D24" s="20">
        <v>3.0390000000000001</v>
      </c>
      <c r="E24" s="20">
        <v>17.521999999999998</v>
      </c>
    </row>
    <row r="25" spans="1:5" x14ac:dyDescent="0.35">
      <c r="A25" s="1" t="s">
        <v>153</v>
      </c>
      <c r="B25" s="20">
        <v>0</v>
      </c>
      <c r="C25" s="20">
        <v>0.17199999999999999</v>
      </c>
      <c r="D25" s="20">
        <v>3.0390000000000001</v>
      </c>
      <c r="E25" s="20">
        <v>17.521999999999998</v>
      </c>
    </row>
    <row r="26" spans="1:5" x14ac:dyDescent="0.35">
      <c r="A26" s="1" t="s">
        <v>154</v>
      </c>
      <c r="B26" s="20">
        <v>-2.2410000000000001</v>
      </c>
      <c r="C26" s="20">
        <v>0</v>
      </c>
      <c r="D26" s="20">
        <v>0</v>
      </c>
      <c r="E26" s="20">
        <v>0</v>
      </c>
    </row>
    <row r="27" spans="1:5" x14ac:dyDescent="0.35">
      <c r="A27" s="1" t="s">
        <v>155</v>
      </c>
      <c r="B27" s="20">
        <v>60.762999999999998</v>
      </c>
      <c r="C27" s="20">
        <v>3.9950000000000001</v>
      </c>
      <c r="D27" s="20">
        <v>0.32200000000000001</v>
      </c>
      <c r="E27" s="20">
        <v>0.45200000000000001</v>
      </c>
    </row>
    <row r="28" spans="1:5" x14ac:dyDescent="0.35">
      <c r="A28" s="1" t="s">
        <v>156</v>
      </c>
      <c r="B28" s="20">
        <v>60.762999999999998</v>
      </c>
      <c r="C28" s="20">
        <v>4.202</v>
      </c>
      <c r="D28" s="20">
        <v>0.32200000000000001</v>
      </c>
      <c r="E28" s="20">
        <v>0.45200000000000001</v>
      </c>
    </row>
    <row r="29" spans="1:5" x14ac:dyDescent="0.35">
      <c r="A29" s="1" t="s">
        <v>157</v>
      </c>
      <c r="B29" s="20">
        <v>0</v>
      </c>
      <c r="C29" s="20">
        <v>-0.20699999999999999</v>
      </c>
      <c r="D29" s="20">
        <v>0</v>
      </c>
      <c r="E29" s="20">
        <v>0</v>
      </c>
    </row>
    <row r="30" spans="1:5" x14ac:dyDescent="0.35">
      <c r="A30" s="1" t="s">
        <v>158</v>
      </c>
      <c r="B30" s="20">
        <v>-4.7E-2</v>
      </c>
      <c r="C30" s="20">
        <v>-2.5999999999999999E-2</v>
      </c>
      <c r="D30" s="20">
        <v>-0.33300000000000002</v>
      </c>
      <c r="E30" s="20">
        <v>-0.14000000000000001</v>
      </c>
    </row>
    <row r="31" spans="1:5" x14ac:dyDescent="0.35">
      <c r="A31" s="1" t="s">
        <v>159</v>
      </c>
      <c r="B31" s="20">
        <v>-4.7E-2</v>
      </c>
      <c r="C31" s="20">
        <v>-2.5999999999999999E-2</v>
      </c>
      <c r="D31" s="20">
        <v>-0.33300000000000002</v>
      </c>
      <c r="E31" s="20">
        <v>-0.14000000000000001</v>
      </c>
    </row>
    <row r="32" spans="1:5" x14ac:dyDescent="0.35">
      <c r="A32" s="1" t="s">
        <v>160</v>
      </c>
      <c r="B32" s="20">
        <v>3.1850000000000001</v>
      </c>
      <c r="C32" s="20">
        <v>12.084</v>
      </c>
      <c r="D32" s="20">
        <v>6.0439999999999996</v>
      </c>
      <c r="E32" s="20">
        <v>11.025</v>
      </c>
    </row>
    <row r="33" spans="1:5" x14ac:dyDescent="0.35">
      <c r="A33" s="1" t="s">
        <v>161</v>
      </c>
      <c r="B33" s="20">
        <v>-4.391</v>
      </c>
      <c r="C33" s="20">
        <v>-2.6579999999999999</v>
      </c>
      <c r="D33" s="20">
        <v>-3.149</v>
      </c>
      <c r="E33" s="20">
        <v>-2.5710000000000002</v>
      </c>
    </row>
    <row r="34" spans="1:5" x14ac:dyDescent="0.35">
      <c r="A34" s="1" t="s">
        <v>162</v>
      </c>
      <c r="B34" s="20">
        <v>-3.661</v>
      </c>
      <c r="C34" s="20">
        <v>-4.3730000000000002</v>
      </c>
      <c r="D34" s="20">
        <v>-3.9550000000000001</v>
      </c>
      <c r="E34" s="20">
        <v>-3.9710000000000001</v>
      </c>
    </row>
    <row r="35" spans="1:5" x14ac:dyDescent="0.35">
      <c r="A35" s="1" t="s">
        <v>163</v>
      </c>
      <c r="B35" s="20">
        <v>-7.6349999999999998</v>
      </c>
      <c r="C35" s="20">
        <v>6.056</v>
      </c>
      <c r="D35" s="20">
        <v>-10.269</v>
      </c>
      <c r="E35" s="20">
        <v>4.5419999999999998</v>
      </c>
    </row>
    <row r="36" spans="1:5" x14ac:dyDescent="0.35">
      <c r="A36" s="1" t="s">
        <v>164</v>
      </c>
      <c r="B36" s="20">
        <v>-3.13</v>
      </c>
      <c r="C36" s="20">
        <v>-0.26300000000000001</v>
      </c>
      <c r="D36" s="20">
        <v>-2.2149999999999999</v>
      </c>
      <c r="E36" s="20">
        <v>6.0869999999999997</v>
      </c>
    </row>
    <row r="37" spans="1:5" x14ac:dyDescent="0.35">
      <c r="A37" s="1" t="s">
        <v>165</v>
      </c>
      <c r="B37" s="20">
        <v>-4.5049999999999999</v>
      </c>
      <c r="C37" s="20">
        <v>6.319</v>
      </c>
      <c r="D37" s="20">
        <v>-8.0540000000000003</v>
      </c>
      <c r="E37" s="20">
        <v>-1.5449999999999999</v>
      </c>
    </row>
    <row r="38" spans="1:5" x14ac:dyDescent="0.35">
      <c r="A38" s="1" t="s">
        <v>166</v>
      </c>
      <c r="B38" s="20">
        <v>10.037000000000001</v>
      </c>
      <c r="C38" s="20">
        <v>0.47199999999999998</v>
      </c>
      <c r="D38" s="20">
        <v>5.423</v>
      </c>
      <c r="E38" s="20">
        <v>4.0739999999999998</v>
      </c>
    </row>
    <row r="39" spans="1:5" x14ac:dyDescent="0.35">
      <c r="A39" s="1" t="s">
        <v>167</v>
      </c>
      <c r="B39" s="20">
        <v>0.61199999999999999</v>
      </c>
      <c r="C39" s="20">
        <v>0.97</v>
      </c>
      <c r="D39" s="20">
        <v>2.7269999999999999</v>
      </c>
      <c r="E39" s="20">
        <v>0.78700000000000003</v>
      </c>
    </row>
    <row r="40" spans="1:5" x14ac:dyDescent="0.35">
      <c r="A40" s="1" t="s">
        <v>168</v>
      </c>
      <c r="B40" s="20">
        <v>4.0350000000000001</v>
      </c>
      <c r="C40" s="20">
        <v>0.61799999999999999</v>
      </c>
      <c r="D40" s="20">
        <v>6.585</v>
      </c>
      <c r="E40" s="20">
        <v>5.2389999999999999</v>
      </c>
    </row>
    <row r="41" spans="1:5" x14ac:dyDescent="0.35">
      <c r="A41" s="1" t="s">
        <v>169</v>
      </c>
      <c r="B41" s="20">
        <v>2.5350000000000001</v>
      </c>
      <c r="C41" s="20">
        <v>1.4910000000000001</v>
      </c>
      <c r="D41" s="20">
        <v>4.18</v>
      </c>
      <c r="E41" s="20">
        <v>1.476</v>
      </c>
    </row>
    <row r="42" spans="1:5" x14ac:dyDescent="0.35">
      <c r="A42" s="1" t="s">
        <v>170</v>
      </c>
      <c r="B42" s="20">
        <v>2.5350000000000001</v>
      </c>
      <c r="C42" s="20">
        <v>1.4910000000000001</v>
      </c>
      <c r="D42" s="20">
        <v>4.18</v>
      </c>
      <c r="E42" s="20">
        <v>1.476</v>
      </c>
    </row>
    <row r="43" spans="1:5" x14ac:dyDescent="0.35">
      <c r="A43" s="1" t="s">
        <v>171</v>
      </c>
      <c r="B43" s="20">
        <v>0.61199999999999999</v>
      </c>
      <c r="C43" s="20">
        <v>0.97</v>
      </c>
      <c r="D43" s="20">
        <v>0</v>
      </c>
      <c r="E43" s="20">
        <v>0</v>
      </c>
    </row>
    <row r="44" spans="1:5" x14ac:dyDescent="0.35">
      <c r="A44" s="1" t="s">
        <v>172</v>
      </c>
      <c r="B44" s="20">
        <v>-7.7889999999999997</v>
      </c>
      <c r="C44" s="20">
        <v>6.1150000000000002</v>
      </c>
      <c r="D44" s="20">
        <v>-36.546999999999997</v>
      </c>
      <c r="E44" s="20">
        <v>-33.911999999999999</v>
      </c>
    </row>
    <row r="45" spans="1:5" x14ac:dyDescent="0.35">
      <c r="A45" s="1" t="s">
        <v>173</v>
      </c>
      <c r="B45" s="20">
        <v>-64.025000000000006</v>
      </c>
      <c r="C45" s="20">
        <v>0</v>
      </c>
      <c r="D45" s="20">
        <v>0</v>
      </c>
      <c r="E45" s="20">
        <v>0</v>
      </c>
    </row>
    <row r="46" spans="1:5" x14ac:dyDescent="0.35">
      <c r="A46" s="1" t="s">
        <v>174</v>
      </c>
      <c r="B46" s="20">
        <v>73.465999999999994</v>
      </c>
      <c r="C46" s="20">
        <v>3.3919999999999999</v>
      </c>
      <c r="D46" s="20">
        <v>41.048999999999999</v>
      </c>
      <c r="E46" s="20">
        <v>35.362000000000002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7"/>
  <sheetViews>
    <sheetView workbookViewId="0">
      <selection activeCell="I11" sqref="I11"/>
    </sheetView>
  </sheetViews>
  <sheetFormatPr defaultRowHeight="14.5" x14ac:dyDescent="0.35"/>
  <cols>
    <col min="1" max="1" width="25.54296875" customWidth="1"/>
    <col min="2" max="2" width="18.54296875" customWidth="1"/>
    <col min="3" max="3" width="22.36328125" customWidth="1"/>
    <col min="4" max="4" width="19.81640625" customWidth="1"/>
    <col min="5" max="5" width="17.1796875" customWidth="1"/>
    <col min="6" max="6" width="15.54296875" customWidth="1"/>
    <col min="7" max="7" width="10.54296875" customWidth="1"/>
    <col min="8" max="8" width="11.453125" customWidth="1"/>
  </cols>
  <sheetData>
    <row r="1" spans="1:8" x14ac:dyDescent="0.3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</row>
    <row r="2" spans="1:8" x14ac:dyDescent="0.35">
      <c r="A2" s="2">
        <v>43160</v>
      </c>
      <c r="B2" s="20">
        <v>1.029322925631895</v>
      </c>
      <c r="C2" s="20">
        <v>1.0711353005994799</v>
      </c>
      <c r="D2" s="20">
        <v>0.88543909788131703</v>
      </c>
      <c r="E2" s="20">
        <v>0.88543909788131714</v>
      </c>
      <c r="F2" s="7">
        <v>4990093</v>
      </c>
      <c r="G2" s="7">
        <v>0.11</v>
      </c>
      <c r="H2" s="7">
        <v>0</v>
      </c>
    </row>
    <row r="3" spans="1:8" x14ac:dyDescent="0.35">
      <c r="A3" s="2">
        <v>43191</v>
      </c>
      <c r="B3" s="20">
        <v>0.94533964935409887</v>
      </c>
      <c r="C3" s="20">
        <v>1.063507066393756</v>
      </c>
      <c r="D3" s="20">
        <v>0.91251531032254196</v>
      </c>
      <c r="E3" s="20">
        <v>1.0372476577758789</v>
      </c>
      <c r="F3" s="7">
        <v>2528483</v>
      </c>
      <c r="G3" s="7">
        <v>0</v>
      </c>
      <c r="H3" s="7">
        <v>0</v>
      </c>
    </row>
    <row r="4" spans="1:8" x14ac:dyDescent="0.35">
      <c r="A4" s="2">
        <v>43221</v>
      </c>
      <c r="B4" s="20">
        <v>1.0372476622244431</v>
      </c>
      <c r="C4" s="20">
        <v>1.056942218772317</v>
      </c>
      <c r="D4" s="20">
        <v>0.97685095953692724</v>
      </c>
      <c r="E4" s="20">
        <v>0.97947686910629272</v>
      </c>
      <c r="F4" s="7">
        <v>1366547</v>
      </c>
      <c r="G4" s="7">
        <v>0</v>
      </c>
      <c r="H4" s="7">
        <v>0</v>
      </c>
    </row>
    <row r="5" spans="1:8" x14ac:dyDescent="0.35">
      <c r="A5" s="2">
        <v>43252</v>
      </c>
      <c r="B5" s="20">
        <v>0.98078957816046497</v>
      </c>
      <c r="C5" s="20">
        <v>1.0031101169446479</v>
      </c>
      <c r="D5" s="20">
        <v>0.91907993614921968</v>
      </c>
      <c r="E5" s="20">
        <v>0.92958372831344604</v>
      </c>
      <c r="F5" s="7">
        <v>2155288</v>
      </c>
      <c r="G5" s="7">
        <v>0</v>
      </c>
      <c r="H5" s="7">
        <v>0</v>
      </c>
    </row>
    <row r="6" spans="1:8" x14ac:dyDescent="0.35">
      <c r="A6" s="2">
        <v>43282</v>
      </c>
      <c r="B6" s="20">
        <v>0.9203930460562525</v>
      </c>
      <c r="C6" s="20">
        <v>0.99129353775084939</v>
      </c>
      <c r="D6" s="20">
        <v>0.9151412273463162</v>
      </c>
      <c r="E6" s="20">
        <v>0.97159898281097412</v>
      </c>
      <c r="F6" s="7">
        <v>1426340</v>
      </c>
      <c r="G6" s="7">
        <v>0</v>
      </c>
      <c r="H6" s="7">
        <v>0</v>
      </c>
    </row>
    <row r="7" spans="1:8" x14ac:dyDescent="0.35">
      <c r="A7" s="2">
        <v>43313</v>
      </c>
      <c r="B7" s="20">
        <v>0.97422498006563685</v>
      </c>
      <c r="C7" s="20">
        <v>1.0923924768849911</v>
      </c>
      <c r="D7" s="20">
        <v>0.97159907047374527</v>
      </c>
      <c r="E7" s="20">
        <v>1.063507080078125</v>
      </c>
      <c r="F7" s="7">
        <v>2313478</v>
      </c>
      <c r="G7" s="7">
        <v>0</v>
      </c>
      <c r="H7" s="7">
        <v>0</v>
      </c>
    </row>
    <row r="8" spans="1:8" x14ac:dyDescent="0.35">
      <c r="A8" s="2">
        <v>43344</v>
      </c>
      <c r="B8" s="20">
        <v>1.064819923573175</v>
      </c>
      <c r="C8" s="20">
        <v>1.08976637512545</v>
      </c>
      <c r="D8" s="20">
        <v>1.0516902204676839</v>
      </c>
      <c r="E8" s="20">
        <v>1.0766366720199581</v>
      </c>
      <c r="F8" s="7">
        <v>1093982</v>
      </c>
      <c r="G8" s="7">
        <v>0</v>
      </c>
      <c r="H8" s="7">
        <v>0</v>
      </c>
    </row>
    <row r="9" spans="1:8" x14ac:dyDescent="0.35">
      <c r="A9" s="2">
        <v>43374</v>
      </c>
      <c r="B9" s="20">
        <v>1.0766366727857271</v>
      </c>
      <c r="C9" s="20">
        <v>1.0805756150238579</v>
      </c>
      <c r="D9" s="20">
        <v>0.98472867272271192</v>
      </c>
      <c r="E9" s="20">
        <v>1.0267437696456909</v>
      </c>
      <c r="F9" s="7">
        <v>1565004</v>
      </c>
      <c r="G9" s="7">
        <v>0</v>
      </c>
      <c r="H9" s="7">
        <v>0</v>
      </c>
    </row>
    <row r="10" spans="1:8" x14ac:dyDescent="0.35">
      <c r="A10" s="2">
        <v>43405</v>
      </c>
      <c r="B10" s="20">
        <v>1.045125348775559</v>
      </c>
      <c r="C10" s="20">
        <v>1.0635069484208779</v>
      </c>
      <c r="D10" s="20">
        <v>1.0044232073254951</v>
      </c>
      <c r="E10" s="20">
        <v>1.0438123941421511</v>
      </c>
      <c r="F10" s="7">
        <v>1611618</v>
      </c>
      <c r="G10" s="7">
        <v>0</v>
      </c>
      <c r="H10" s="7">
        <v>0</v>
      </c>
    </row>
    <row r="11" spans="1:8" x14ac:dyDescent="0.35">
      <c r="A11" s="2">
        <v>43435</v>
      </c>
      <c r="B11" s="20">
        <v>1.043812507077218</v>
      </c>
      <c r="C11" s="20">
        <v>1.0503773592137431</v>
      </c>
      <c r="D11" s="20">
        <v>0.93483585204800734</v>
      </c>
      <c r="E11" s="20">
        <v>0.96634715795516968</v>
      </c>
      <c r="F11" s="7">
        <v>1697763</v>
      </c>
      <c r="G11" s="7">
        <v>0</v>
      </c>
      <c r="H11" s="7">
        <v>0</v>
      </c>
    </row>
    <row r="12" spans="1:8" x14ac:dyDescent="0.35">
      <c r="A12" s="2">
        <v>43466</v>
      </c>
      <c r="B12" s="20">
        <v>0.96634718484675863</v>
      </c>
      <c r="C12" s="20">
        <v>1.1396594112887031</v>
      </c>
      <c r="D12" s="20">
        <v>0.96634718484675863</v>
      </c>
      <c r="E12" s="20">
        <v>1.121277809143066</v>
      </c>
      <c r="F12" s="7">
        <v>2716275</v>
      </c>
      <c r="G12" s="7">
        <v>0</v>
      </c>
      <c r="H12" s="7">
        <v>0</v>
      </c>
    </row>
    <row r="13" spans="1:8" x14ac:dyDescent="0.35">
      <c r="A13" s="2">
        <v>43497</v>
      </c>
      <c r="B13" s="20">
        <v>1.125216571685153</v>
      </c>
      <c r="C13" s="20">
        <v>1.172483563423157</v>
      </c>
      <c r="D13" s="20">
        <v>1.109460959945286</v>
      </c>
      <c r="E13" s="20">
        <v>1.172483563423157</v>
      </c>
      <c r="F13" s="7">
        <v>2055495</v>
      </c>
      <c r="G13" s="7">
        <v>0</v>
      </c>
      <c r="H13" s="7">
        <v>0</v>
      </c>
    </row>
    <row r="14" spans="1:8" x14ac:dyDescent="0.35">
      <c r="A14" s="2">
        <v>43525</v>
      </c>
      <c r="B14" s="20">
        <v>1.1737964444344759</v>
      </c>
      <c r="C14" s="20">
        <v>1.193490997004172</v>
      </c>
      <c r="D14" s="20">
        <v>0.99260637297120091</v>
      </c>
      <c r="E14" s="20">
        <v>0.99654531478881836</v>
      </c>
      <c r="F14" s="7">
        <v>2376934</v>
      </c>
      <c r="G14" s="7">
        <v>0.12</v>
      </c>
      <c r="H14" s="7">
        <v>0</v>
      </c>
    </row>
    <row r="15" spans="1:8" x14ac:dyDescent="0.35">
      <c r="A15" s="2">
        <v>43556</v>
      </c>
      <c r="B15" s="20">
        <v>1.0712546727492089</v>
      </c>
      <c r="C15" s="20">
        <v>1.199692349635209</v>
      </c>
      <c r="D15" s="20">
        <v>1.0712546727492089</v>
      </c>
      <c r="E15" s="20">
        <v>1.179932713508606</v>
      </c>
      <c r="F15" s="7">
        <v>1912143</v>
      </c>
      <c r="G15" s="7">
        <v>0</v>
      </c>
      <c r="H15" s="7">
        <v>0</v>
      </c>
    </row>
    <row r="16" spans="1:8" x14ac:dyDescent="0.35">
      <c r="A16" s="2">
        <v>43586</v>
      </c>
      <c r="B16" s="20">
        <v>1.179932747056563</v>
      </c>
      <c r="C16" s="20">
        <v>1.185578285430829</v>
      </c>
      <c r="D16" s="20">
        <v>1.0881915707084999</v>
      </c>
      <c r="E16" s="20">
        <v>1.103716969490051</v>
      </c>
      <c r="F16" s="7">
        <v>1532015</v>
      </c>
      <c r="G16" s="7">
        <v>0</v>
      </c>
      <c r="H16" s="7">
        <v>0</v>
      </c>
    </row>
    <row r="17" spans="1:8" x14ac:dyDescent="0.35">
      <c r="A17" s="2">
        <v>43617</v>
      </c>
      <c r="B17" s="20">
        <v>1.10512838919176</v>
      </c>
      <c r="C17" s="20">
        <v>1.213806436493627</v>
      </c>
      <c r="D17" s="20">
        <v>1.09524861259677</v>
      </c>
      <c r="E17" s="20">
        <v>1.2011038064956669</v>
      </c>
      <c r="F17" s="7">
        <v>1146642</v>
      </c>
      <c r="G17" s="7">
        <v>0</v>
      </c>
      <c r="H17" s="7">
        <v>0</v>
      </c>
    </row>
    <row r="18" spans="1:8" x14ac:dyDescent="0.35">
      <c r="A18" s="2">
        <v>43647</v>
      </c>
      <c r="B18" s="20">
        <v>1.216628874445713</v>
      </c>
      <c r="C18" s="20">
        <v>1.2194517270799361</v>
      </c>
      <c r="D18" s="20">
        <v>1.137590346705716</v>
      </c>
      <c r="E18" s="20">
        <v>1.191223621368408</v>
      </c>
      <c r="F18" s="7">
        <v>1417151</v>
      </c>
      <c r="G18" s="7">
        <v>0</v>
      </c>
      <c r="H18" s="7">
        <v>0</v>
      </c>
    </row>
    <row r="19" spans="1:8" x14ac:dyDescent="0.35">
      <c r="A19" s="2">
        <v>43678</v>
      </c>
      <c r="B19" s="20">
        <v>1.191223837390422</v>
      </c>
      <c r="C19" s="20">
        <v>1.3380097613307811</v>
      </c>
      <c r="D19" s="20">
        <v>1.1601730416660569</v>
      </c>
      <c r="E19" s="20">
        <v>1.31683874130249</v>
      </c>
      <c r="F19" s="7">
        <v>3578280</v>
      </c>
      <c r="G19" s="7">
        <v>0</v>
      </c>
      <c r="H19" s="7">
        <v>0</v>
      </c>
    </row>
    <row r="20" spans="1:8" x14ac:dyDescent="0.35">
      <c r="A20" s="2">
        <v>43709</v>
      </c>
      <c r="B20" s="20">
        <v>1.3182501204062651</v>
      </c>
      <c r="C20" s="20">
        <v>1.376117642213867</v>
      </c>
      <c r="D20" s="20">
        <v>1.308370260624554</v>
      </c>
      <c r="E20" s="20">
        <v>1.369060635566711</v>
      </c>
      <c r="F20" s="7">
        <v>1563951</v>
      </c>
      <c r="G20" s="7">
        <v>0</v>
      </c>
      <c r="H20" s="7">
        <v>0</v>
      </c>
    </row>
    <row r="21" spans="1:8" x14ac:dyDescent="0.35">
      <c r="A21" s="2">
        <v>43739</v>
      </c>
      <c r="B21" s="20">
        <v>1.376117752675049</v>
      </c>
      <c r="C21" s="20">
        <v>1.485501448612365</v>
      </c>
      <c r="D21" s="20">
        <v>1.3309528560321651</v>
      </c>
      <c r="E21" s="20">
        <v>1.45021641254425</v>
      </c>
      <c r="F21" s="7">
        <v>1860865</v>
      </c>
      <c r="G21" s="7">
        <v>0</v>
      </c>
      <c r="H21" s="7">
        <v>0</v>
      </c>
    </row>
    <row r="22" spans="1:8" x14ac:dyDescent="0.35">
      <c r="A22" s="2">
        <v>43770</v>
      </c>
      <c r="B22" s="20">
        <v>1.4396306917674491</v>
      </c>
      <c r="C22" s="20">
        <v>1.474915724751493</v>
      </c>
      <c r="D22" s="20">
        <v>1.3987000366807281</v>
      </c>
      <c r="E22" s="20">
        <v>1.446687698364258</v>
      </c>
      <c r="F22" s="7">
        <v>18947332</v>
      </c>
      <c r="G22" s="7">
        <v>0</v>
      </c>
      <c r="H22" s="7">
        <v>0</v>
      </c>
    </row>
    <row r="23" spans="1:8" x14ac:dyDescent="0.35">
      <c r="A23" s="2">
        <v>43800</v>
      </c>
      <c r="B23" s="20">
        <v>1.446687676788101</v>
      </c>
      <c r="C23" s="20">
        <v>1.6619266271591191</v>
      </c>
      <c r="D23" s="20">
        <v>1.4114026443303049</v>
      </c>
      <c r="E23" s="20">
        <v>1.6619266271591191</v>
      </c>
      <c r="F23" s="7">
        <v>2424555</v>
      </c>
      <c r="G23" s="7">
        <v>0</v>
      </c>
      <c r="H23" s="7">
        <v>0</v>
      </c>
    </row>
    <row r="24" spans="1:8" x14ac:dyDescent="0.35">
      <c r="A24" s="2">
        <v>43831</v>
      </c>
      <c r="B24" s="20">
        <v>1.661926849483524</v>
      </c>
      <c r="C24" s="20">
        <v>1.915979285417851</v>
      </c>
      <c r="D24" s="20">
        <v>1.570185584568252</v>
      </c>
      <c r="E24" s="20">
        <v>1.8489376306533809</v>
      </c>
      <c r="F24" s="7">
        <v>6461877</v>
      </c>
      <c r="G24" s="7">
        <v>0</v>
      </c>
      <c r="H24" s="7">
        <v>0</v>
      </c>
    </row>
    <row r="25" spans="1:8" x14ac:dyDescent="0.35">
      <c r="A25" s="2">
        <v>43862</v>
      </c>
      <c r="B25" s="20">
        <v>1.8559948402311151</v>
      </c>
      <c r="C25" s="20">
        <v>2.039477205159653</v>
      </c>
      <c r="D25" s="20">
        <v>1.5737142011476739</v>
      </c>
      <c r="E25" s="20">
        <v>1.690154910087585</v>
      </c>
      <c r="F25" s="7">
        <v>9431621</v>
      </c>
      <c r="G25" s="7">
        <v>0</v>
      </c>
      <c r="H25" s="7">
        <v>0</v>
      </c>
    </row>
    <row r="26" spans="1:8" x14ac:dyDescent="0.35">
      <c r="A26" s="2">
        <v>43891</v>
      </c>
      <c r="B26" s="20">
        <v>1.7642535519806331</v>
      </c>
      <c r="C26" s="20">
        <v>1.8665802445353239</v>
      </c>
      <c r="D26" s="20">
        <v>1.051495123710551</v>
      </c>
      <c r="E26" s="20">
        <v>1.226509094238281</v>
      </c>
      <c r="F26" s="7">
        <v>14014280</v>
      </c>
      <c r="G26" s="7">
        <v>0.13</v>
      </c>
      <c r="H26" s="7">
        <v>0</v>
      </c>
    </row>
    <row r="27" spans="1:8" x14ac:dyDescent="0.35">
      <c r="A27" s="2">
        <v>43922</v>
      </c>
      <c r="B27" s="20">
        <v>1.2948298565228671</v>
      </c>
      <c r="C27" s="20">
        <v>1.448833847972967</v>
      </c>
      <c r="D27" s="20">
        <v>1.241003191046733</v>
      </c>
      <c r="E27" s="20">
        <v>1.3785601854324341</v>
      </c>
      <c r="F27" s="7">
        <v>4893037</v>
      </c>
      <c r="G27" s="7">
        <v>0</v>
      </c>
      <c r="H27" s="7">
        <v>0</v>
      </c>
    </row>
    <row r="28" spans="1:8" x14ac:dyDescent="0.35">
      <c r="A28" s="2">
        <v>43952</v>
      </c>
      <c r="B28" s="20">
        <v>1.3785602704932181</v>
      </c>
      <c r="C28" s="20">
        <v>1.420425437531192</v>
      </c>
      <c r="D28" s="20">
        <v>1.2709070220184071</v>
      </c>
      <c r="E28" s="20">
        <v>1.3755699396133421</v>
      </c>
      <c r="F28" s="7">
        <v>3231727</v>
      </c>
      <c r="G28" s="7">
        <v>0</v>
      </c>
      <c r="H28" s="7">
        <v>0</v>
      </c>
    </row>
    <row r="29" spans="1:8" x14ac:dyDescent="0.35">
      <c r="A29" s="2">
        <v>43983</v>
      </c>
      <c r="B29" s="20">
        <v>1.3875312311279151</v>
      </c>
      <c r="C29" s="20">
        <v>1.5288262689466321</v>
      </c>
      <c r="D29" s="20">
        <v>1.356132403150379</v>
      </c>
      <c r="E29" s="20">
        <v>1.450329065322876</v>
      </c>
      <c r="F29" s="7">
        <v>3068382</v>
      </c>
      <c r="G29" s="7">
        <v>0</v>
      </c>
      <c r="H29" s="7">
        <v>0</v>
      </c>
    </row>
    <row r="30" spans="1:8" x14ac:dyDescent="0.35">
      <c r="A30" s="2">
        <v>44013</v>
      </c>
      <c r="B30" s="20">
        <v>1.45182437006746</v>
      </c>
      <c r="C30" s="20">
        <v>1.5026606193096319</v>
      </c>
      <c r="D30" s="20">
        <v>1.4204254499543849</v>
      </c>
      <c r="E30" s="20">
        <v>1.4338821172714229</v>
      </c>
      <c r="F30" s="7">
        <v>2344193</v>
      </c>
      <c r="G30" s="7">
        <v>0</v>
      </c>
      <c r="H30" s="7">
        <v>0</v>
      </c>
    </row>
    <row r="31" spans="1:8" x14ac:dyDescent="0.35">
      <c r="A31" s="2">
        <v>44044</v>
      </c>
      <c r="B31" s="20">
        <v>1.4533194853941831</v>
      </c>
      <c r="C31" s="20">
        <v>1.5512541114281151</v>
      </c>
      <c r="D31" s="20">
        <v>1.442853149344167</v>
      </c>
      <c r="E31" s="20">
        <v>1.5138745307922361</v>
      </c>
      <c r="F31" s="7">
        <v>1988627</v>
      </c>
      <c r="G31" s="7">
        <v>0</v>
      </c>
      <c r="H31" s="7">
        <v>0</v>
      </c>
    </row>
    <row r="32" spans="1:8" x14ac:dyDescent="0.35">
      <c r="A32" s="2">
        <v>44075</v>
      </c>
      <c r="B32" s="20">
        <v>1.5138743546647599</v>
      </c>
      <c r="C32" s="20">
        <v>1.54003996894576</v>
      </c>
      <c r="D32" s="20">
        <v>1.42042523570724</v>
      </c>
      <c r="E32" s="20">
        <v>1.5063984394073491</v>
      </c>
      <c r="F32" s="7">
        <v>2993300</v>
      </c>
      <c r="G32" s="7">
        <v>0</v>
      </c>
      <c r="H32" s="7">
        <v>0</v>
      </c>
    </row>
    <row r="33" spans="1:8" x14ac:dyDescent="0.35">
      <c r="A33" s="2">
        <v>44105</v>
      </c>
      <c r="B33" s="20">
        <v>1.5101363706732309</v>
      </c>
      <c r="C33" s="20">
        <v>1.603585404394297</v>
      </c>
      <c r="D33" s="20">
        <v>1.3830457168957619</v>
      </c>
      <c r="E33" s="20">
        <v>1.49892258644104</v>
      </c>
      <c r="F33" s="7">
        <v>2909625</v>
      </c>
      <c r="G33" s="7">
        <v>0</v>
      </c>
      <c r="H33" s="7">
        <v>0</v>
      </c>
    </row>
    <row r="34" spans="1:8" x14ac:dyDescent="0.35">
      <c r="A34" s="2">
        <v>44136</v>
      </c>
      <c r="B34" s="20">
        <v>1.5288262195963249</v>
      </c>
      <c r="C34" s="20">
        <v>1.6559167818333631</v>
      </c>
      <c r="D34" s="20">
        <v>1.487708595634988</v>
      </c>
      <c r="E34" s="20">
        <v>1.573681712150574</v>
      </c>
      <c r="F34" s="7">
        <v>2338718</v>
      </c>
      <c r="G34" s="7">
        <v>0</v>
      </c>
      <c r="H34" s="7">
        <v>0</v>
      </c>
    </row>
    <row r="35" spans="1:8" x14ac:dyDescent="0.35">
      <c r="A35" s="2">
        <v>44166</v>
      </c>
      <c r="B35" s="20">
        <v>1.637227138991775</v>
      </c>
      <c r="C35" s="20">
        <v>1.775531668268826</v>
      </c>
      <c r="D35" s="20">
        <v>1.599847560570935</v>
      </c>
      <c r="E35" s="20">
        <v>1.7306761741638179</v>
      </c>
      <c r="F35" s="7">
        <v>2711429</v>
      </c>
      <c r="G35" s="7">
        <v>0</v>
      </c>
      <c r="H35" s="7">
        <v>0</v>
      </c>
    </row>
    <row r="36" spans="1:8" x14ac:dyDescent="0.35">
      <c r="A36" s="2">
        <v>44197</v>
      </c>
      <c r="B36" s="20">
        <v>1.7306762045675319</v>
      </c>
      <c r="C36" s="20">
        <v>1.883932567905255</v>
      </c>
      <c r="D36" s="20">
        <v>1.6746067468313259</v>
      </c>
      <c r="E36" s="20">
        <v>1.797959446907043</v>
      </c>
      <c r="F36" s="7">
        <v>2421986</v>
      </c>
      <c r="G36" s="7">
        <v>0</v>
      </c>
      <c r="H36" s="7">
        <v>0</v>
      </c>
    </row>
    <row r="37" spans="1:8" x14ac:dyDescent="0.35">
      <c r="A37" s="2">
        <v>44228</v>
      </c>
      <c r="B37" s="20">
        <v>1.794221458886633</v>
      </c>
      <c r="C37" s="20">
        <v>2.1231619111492819</v>
      </c>
      <c r="D37" s="20">
        <v>1.786745543567934</v>
      </c>
      <c r="E37" s="20">
        <v>1.9624296426773069</v>
      </c>
      <c r="F37" s="7">
        <v>3813927</v>
      </c>
      <c r="G37" s="7">
        <v>0</v>
      </c>
      <c r="H37" s="7">
        <v>0</v>
      </c>
    </row>
    <row r="38" spans="1:8" x14ac:dyDescent="0.35">
      <c r="A38" s="2">
        <v>44256</v>
      </c>
      <c r="B38" s="20">
        <v>1.9624298826398141</v>
      </c>
      <c r="C38" s="20">
        <v>2.1754937626356452</v>
      </c>
      <c r="D38" s="20">
        <v>1.8951466365442431</v>
      </c>
      <c r="E38" s="20">
        <v>1.9586918354034419</v>
      </c>
      <c r="F38" s="7">
        <v>3145378</v>
      </c>
      <c r="G38" s="7">
        <v>7.0000000000000007E-2</v>
      </c>
      <c r="H38" s="7">
        <v>0</v>
      </c>
    </row>
    <row r="39" spans="1:8" x14ac:dyDescent="0.35">
      <c r="A39" s="2">
        <v>44287</v>
      </c>
      <c r="B39" s="20">
        <v>2.007658858727948</v>
      </c>
      <c r="C39" s="20">
        <v>2.180072427484764</v>
      </c>
      <c r="D39" s="20">
        <v>1.938693540842747</v>
      </c>
      <c r="E39" s="20">
        <v>2.1570839881896968</v>
      </c>
      <c r="F39" s="7">
        <v>2674937</v>
      </c>
      <c r="G39" s="7">
        <v>0</v>
      </c>
      <c r="H39" s="7">
        <v>0</v>
      </c>
    </row>
    <row r="40" spans="1:8" x14ac:dyDescent="0.35">
      <c r="A40" s="2">
        <v>44317</v>
      </c>
      <c r="B40" s="20">
        <v>2.1647473474926011</v>
      </c>
      <c r="C40" s="20">
        <v>2.183904293724193</v>
      </c>
      <c r="D40" s="20">
        <v>1.965513973969327</v>
      </c>
      <c r="E40" s="20">
        <v>2.030647993087769</v>
      </c>
      <c r="F40" s="7">
        <v>1945554</v>
      </c>
      <c r="G40" s="7">
        <v>0</v>
      </c>
      <c r="H40" s="7">
        <v>0</v>
      </c>
    </row>
    <row r="41" spans="1:8" x14ac:dyDescent="0.35">
      <c r="A41" s="2">
        <v>44348</v>
      </c>
      <c r="B41" s="20">
        <v>2.0651302724726448</v>
      </c>
      <c r="C41" s="20">
        <v>2.1839039797373609</v>
      </c>
      <c r="D41" s="20">
        <v>2.0421418306823029</v>
      </c>
      <c r="E41" s="20">
        <v>2.1302642822265621</v>
      </c>
      <c r="F41" s="7">
        <v>1853247</v>
      </c>
      <c r="G41" s="7">
        <v>0</v>
      </c>
      <c r="H41" s="7">
        <v>0</v>
      </c>
    </row>
    <row r="42" spans="1:8" x14ac:dyDescent="0.35">
      <c r="A42" s="2">
        <v>44378</v>
      </c>
      <c r="B42" s="20">
        <v>2.1149384263005748</v>
      </c>
      <c r="C42" s="20">
        <v>2.3831370676290882</v>
      </c>
      <c r="D42" s="20">
        <v>2.1111071110966182</v>
      </c>
      <c r="E42" s="20">
        <v>2.3678114414215088</v>
      </c>
      <c r="F42" s="7">
        <v>1743139</v>
      </c>
      <c r="G42" s="7">
        <v>0</v>
      </c>
      <c r="H42" s="7">
        <v>0</v>
      </c>
    </row>
    <row r="43" spans="1:8" x14ac:dyDescent="0.35">
      <c r="A43" s="2">
        <v>44409</v>
      </c>
      <c r="B43" s="20">
        <v>2.337160472444356</v>
      </c>
      <c r="C43" s="20">
        <v>2.5057425638683162</v>
      </c>
      <c r="D43" s="20">
        <v>2.2835207742126999</v>
      </c>
      <c r="E43" s="20">
        <v>2.413788795471191</v>
      </c>
      <c r="F43" s="7">
        <v>2607053</v>
      </c>
      <c r="G43" s="7">
        <v>0</v>
      </c>
      <c r="H43" s="7">
        <v>0</v>
      </c>
    </row>
    <row r="44" spans="1:8" x14ac:dyDescent="0.35">
      <c r="A44" s="2">
        <v>44440</v>
      </c>
      <c r="B44" s="20">
        <v>2.4137889075536179</v>
      </c>
      <c r="C44" s="20">
        <v>2.42528303778903</v>
      </c>
      <c r="D44" s="20">
        <v>1.9808394378404039</v>
      </c>
      <c r="E44" s="20">
        <v>2.0076591968536381</v>
      </c>
      <c r="F44" s="7">
        <v>3202832</v>
      </c>
      <c r="G44" s="7">
        <v>7.0000000000000007E-2</v>
      </c>
      <c r="H44" s="7">
        <v>0</v>
      </c>
    </row>
    <row r="45" spans="1:8" x14ac:dyDescent="0.35">
      <c r="A45" s="2">
        <v>44470</v>
      </c>
      <c r="B45" s="20">
        <v>2.0520297361713968</v>
      </c>
      <c r="C45" s="20">
        <v>2.4326164295354831</v>
      </c>
      <c r="D45" s="20">
        <v>1.9774817885865481</v>
      </c>
      <c r="E45" s="20">
        <v>2.307062149047852</v>
      </c>
      <c r="F45" s="7">
        <v>2860299</v>
      </c>
      <c r="G45" s="7">
        <v>0</v>
      </c>
      <c r="H45" s="7">
        <v>0</v>
      </c>
    </row>
    <row r="46" spans="1:8" x14ac:dyDescent="0.35">
      <c r="A46" s="2">
        <v>44501</v>
      </c>
      <c r="B46" s="20">
        <v>2.3070622377163001</v>
      </c>
      <c r="C46" s="20">
        <v>2.4012279517011401</v>
      </c>
      <c r="D46" s="20">
        <v>2.2050491938087471</v>
      </c>
      <c r="E46" s="20">
        <v>2.2168200016021729</v>
      </c>
      <c r="F46" s="7">
        <v>2257342</v>
      </c>
      <c r="G46" s="7">
        <v>0</v>
      </c>
      <c r="H46" s="7">
        <v>0</v>
      </c>
    </row>
    <row r="47" spans="1:8" x14ac:dyDescent="0.35">
      <c r="A47" s="2">
        <v>44531</v>
      </c>
      <c r="B47" s="20">
        <v>2.2717499698910091</v>
      </c>
      <c r="C47" s="20">
        <v>2.405151583275007</v>
      </c>
      <c r="D47" s="20">
        <v>2.1658134495833168</v>
      </c>
      <c r="E47" s="20">
        <v>2.3816101551055908</v>
      </c>
      <c r="F47" s="7">
        <v>2586310</v>
      </c>
      <c r="G47" s="7">
        <v>0</v>
      </c>
      <c r="H47" s="7">
        <v>0</v>
      </c>
    </row>
    <row r="48" spans="1:8" x14ac:dyDescent="0.35">
      <c r="A48" s="2">
        <v>44562</v>
      </c>
      <c r="B48" s="20">
        <v>2.3855336488860601</v>
      </c>
      <c r="C48" s="20">
        <v>2.499317312678341</v>
      </c>
      <c r="D48" s="20">
        <v>2.0834183713874759</v>
      </c>
      <c r="E48" s="20">
        <v>2.2992150783538818</v>
      </c>
      <c r="F48" s="7">
        <v>3093574</v>
      </c>
      <c r="G48" s="7">
        <v>0</v>
      </c>
      <c r="H48" s="7">
        <v>0</v>
      </c>
    </row>
    <row r="49" spans="1:8" x14ac:dyDescent="0.35">
      <c r="A49" s="2">
        <v>44593</v>
      </c>
      <c r="B49" s="20">
        <v>2.3462980262519721</v>
      </c>
      <c r="C49" s="20">
        <v>2.4129988359842378</v>
      </c>
      <c r="D49" s="20">
        <v>2.0010233565147399</v>
      </c>
      <c r="E49" s="20">
        <v>2.1030364036560059</v>
      </c>
      <c r="F49" s="7">
        <v>3267190</v>
      </c>
      <c r="G49" s="7">
        <v>0</v>
      </c>
      <c r="H49" s="7">
        <v>0</v>
      </c>
    </row>
    <row r="50" spans="1:8" x14ac:dyDescent="0.35">
      <c r="A50" s="2">
        <v>44621</v>
      </c>
      <c r="B50" s="20">
        <v>2.083417905414819</v>
      </c>
      <c r="C50" s="20">
        <v>2.2756731410548849</v>
      </c>
      <c r="D50" s="20">
        <v>1.742066990383766</v>
      </c>
      <c r="E50" s="20">
        <v>1.946092844009399</v>
      </c>
      <c r="F50" s="7">
        <v>5747293</v>
      </c>
      <c r="G50" s="7">
        <v>0.08</v>
      </c>
      <c r="H50" s="7">
        <v>0</v>
      </c>
    </row>
    <row r="51" spans="1:8" x14ac:dyDescent="0.35">
      <c r="A51" s="2">
        <v>44652</v>
      </c>
      <c r="B51" s="20">
        <v>2.0057315682619921</v>
      </c>
      <c r="C51" s="20">
        <v>2.259979288762215</v>
      </c>
      <c r="D51" s="20">
        <v>1.9048396340097851</v>
      </c>
      <c r="E51" s="20">
        <v>2.2236583232879639</v>
      </c>
      <c r="F51" s="7">
        <v>2145910</v>
      </c>
      <c r="G51" s="7">
        <v>0</v>
      </c>
      <c r="H51" s="7">
        <v>0</v>
      </c>
    </row>
    <row r="52" spans="1:8" x14ac:dyDescent="0.35">
      <c r="A52" s="2">
        <v>44682</v>
      </c>
      <c r="B52" s="20">
        <v>2.2357652246616651</v>
      </c>
      <c r="C52" s="20">
        <v>2.2357652246616651</v>
      </c>
      <c r="D52" s="20">
        <v>1.9774819295119661</v>
      </c>
      <c r="E52" s="20">
        <v>2.1752300262451172</v>
      </c>
      <c r="F52" s="7">
        <v>1834507</v>
      </c>
      <c r="G52" s="7">
        <v>0</v>
      </c>
      <c r="H52" s="7">
        <v>0</v>
      </c>
    </row>
    <row r="53" spans="1:8" x14ac:dyDescent="0.35">
      <c r="A53" s="2">
        <v>44713</v>
      </c>
      <c r="B53" s="20">
        <v>2.195408416259093</v>
      </c>
      <c r="C53" s="20">
        <v>2.3568355424791601</v>
      </c>
      <c r="D53" s="20">
        <v>2.126801873182858</v>
      </c>
      <c r="E53" s="20">
        <v>2.2640149593353271</v>
      </c>
      <c r="F53" s="7">
        <v>2430720</v>
      </c>
      <c r="G53" s="7">
        <v>0</v>
      </c>
      <c r="H53" s="7">
        <v>0</v>
      </c>
    </row>
    <row r="54" spans="1:8" x14ac:dyDescent="0.35">
      <c r="A54" s="2">
        <v>44743</v>
      </c>
      <c r="B54" s="20">
        <v>2.2115512845401968</v>
      </c>
      <c r="C54" s="20">
        <v>2.4415849720289389</v>
      </c>
      <c r="D54" s="20">
        <v>2.1954085898851381</v>
      </c>
      <c r="E54" s="20">
        <v>2.421406507492065</v>
      </c>
      <c r="F54" s="7">
        <v>1256741</v>
      </c>
      <c r="G54" s="7">
        <v>0</v>
      </c>
      <c r="H54" s="7">
        <v>0</v>
      </c>
    </row>
    <row r="55" spans="1:8" x14ac:dyDescent="0.35">
      <c r="A55" s="2">
        <v>44774</v>
      </c>
      <c r="B55" s="20">
        <v>2.4214062453248619</v>
      </c>
      <c r="C55" s="20">
        <v>2.5747620203800961</v>
      </c>
      <c r="D55" s="20">
        <v>2.21962239154779</v>
      </c>
      <c r="E55" s="20">
        <v>2.2317295074462891</v>
      </c>
      <c r="F55" s="7">
        <v>1874140</v>
      </c>
      <c r="G55" s="7">
        <v>0</v>
      </c>
      <c r="H55" s="7">
        <v>0</v>
      </c>
    </row>
    <row r="56" spans="1:8" x14ac:dyDescent="0.35">
      <c r="A56" s="2">
        <v>44805</v>
      </c>
      <c r="B56" s="20">
        <v>2.2317294210478802</v>
      </c>
      <c r="C56" s="20">
        <v>2.356835382454026</v>
      </c>
      <c r="D56" s="20">
        <v>1.8685184598231599</v>
      </c>
      <c r="E56" s="20">
        <v>2.005731344223022</v>
      </c>
      <c r="F56" s="7">
        <v>2635995</v>
      </c>
      <c r="G56" s="7">
        <v>7.0000000000000007E-2</v>
      </c>
      <c r="H56" s="7">
        <v>0</v>
      </c>
    </row>
    <row r="57" spans="1:8" x14ac:dyDescent="0.35">
      <c r="A57" s="2">
        <v>44835</v>
      </c>
      <c r="B57" s="20">
        <v>2.0517383578543078</v>
      </c>
      <c r="C57" s="20">
        <v>2.3288885283634131</v>
      </c>
      <c r="D57" s="20">
        <v>1.9524605935725881</v>
      </c>
      <c r="E57" s="20">
        <v>2.0558748245239258</v>
      </c>
      <c r="F57" s="7">
        <v>2021968</v>
      </c>
      <c r="G57" s="7">
        <v>0</v>
      </c>
      <c r="H57" s="7">
        <v>0</v>
      </c>
    </row>
    <row r="58" spans="1:8" x14ac:dyDescent="0.35">
      <c r="A58" s="2">
        <v>44866</v>
      </c>
      <c r="B58" s="20">
        <v>2.0600115574364719</v>
      </c>
      <c r="C58" s="20">
        <v>2.2254743719498551</v>
      </c>
      <c r="D58" s="20">
        <v>1.9979629773380789</v>
      </c>
      <c r="E58" s="20">
        <v>2.151015996932983</v>
      </c>
      <c r="F58" s="7">
        <v>3161587</v>
      </c>
      <c r="G58" s="7">
        <v>0</v>
      </c>
      <c r="H58" s="7">
        <v>0</v>
      </c>
    </row>
    <row r="59" spans="1:8" x14ac:dyDescent="0.35">
      <c r="A59" s="2">
        <v>44896</v>
      </c>
      <c r="B59" s="20">
        <v>2.1634254034091249</v>
      </c>
      <c r="C59" s="20">
        <v>2.2751127486340068</v>
      </c>
      <c r="D59" s="20">
        <v>2.1055134977639551</v>
      </c>
      <c r="E59" s="20">
        <v>2.237883567810059</v>
      </c>
      <c r="F59" s="7">
        <v>1579975</v>
      </c>
      <c r="G59" s="7">
        <v>0</v>
      </c>
      <c r="H59" s="7">
        <v>0</v>
      </c>
    </row>
    <row r="60" spans="1:8" x14ac:dyDescent="0.35">
      <c r="A60" s="2">
        <v>44927</v>
      </c>
      <c r="B60" s="20">
        <v>2.2378837976069859</v>
      </c>
      <c r="C60" s="20">
        <v>2.3661174147552901</v>
      </c>
      <c r="D60" s="20">
        <v>2.2337473311167741</v>
      </c>
      <c r="E60" s="20">
        <v>2.3123421669006352</v>
      </c>
      <c r="F60" s="7">
        <v>1301149</v>
      </c>
      <c r="G60" s="7">
        <v>0</v>
      </c>
      <c r="H60" s="7">
        <v>0</v>
      </c>
    </row>
    <row r="61" spans="1:8" x14ac:dyDescent="0.35">
      <c r="A61" s="2">
        <v>44958</v>
      </c>
      <c r="B61" s="20">
        <v>2.3247515560256828</v>
      </c>
      <c r="C61" s="20">
        <v>2.5233068610001128</v>
      </c>
      <c r="D61" s="20">
        <v>2.295795701438911</v>
      </c>
      <c r="E61" s="20">
        <v>2.4984874725341801</v>
      </c>
      <c r="F61" s="7">
        <v>2102584</v>
      </c>
      <c r="G61" s="7">
        <v>0</v>
      </c>
      <c r="H61" s="7">
        <v>0</v>
      </c>
    </row>
    <row r="62" spans="1:8" x14ac:dyDescent="0.35">
      <c r="A62" s="2">
        <v>44986</v>
      </c>
      <c r="B62" s="20">
        <v>2.5026242108073302</v>
      </c>
      <c r="C62" s="20">
        <v>2.5522629892249209</v>
      </c>
      <c r="D62" s="20">
        <v>2.2047911458078442</v>
      </c>
      <c r="E62" s="20">
        <v>2.308205366134644</v>
      </c>
      <c r="F62" s="7">
        <v>1776773</v>
      </c>
      <c r="G62" s="7">
        <v>0.09</v>
      </c>
      <c r="H62" s="7">
        <v>0</v>
      </c>
    </row>
    <row r="63" spans="1:8" x14ac:dyDescent="0.35">
      <c r="A63" s="2">
        <v>45017</v>
      </c>
      <c r="B63" s="20">
        <v>2.387881537911944</v>
      </c>
      <c r="C63" s="20">
        <v>2.469043902215085</v>
      </c>
      <c r="D63" s="20">
        <v>2.20419821733987</v>
      </c>
      <c r="E63" s="20">
        <v>2.212741613388062</v>
      </c>
      <c r="F63" s="7">
        <v>2011194</v>
      </c>
      <c r="G63" s="7">
        <v>0</v>
      </c>
      <c r="H63" s="7">
        <v>0</v>
      </c>
    </row>
    <row r="64" spans="1:8" x14ac:dyDescent="0.35">
      <c r="A64" s="2">
        <v>45047</v>
      </c>
      <c r="B64" s="20">
        <v>2.2127417044989328</v>
      </c>
      <c r="C64" s="20">
        <v>2.3280776577438629</v>
      </c>
      <c r="D64" s="20">
        <v>2.1657531261444092</v>
      </c>
      <c r="E64" s="20">
        <v>2.1657531261444092</v>
      </c>
      <c r="F64" s="7">
        <v>1544505</v>
      </c>
      <c r="G64" s="7">
        <v>0</v>
      </c>
      <c r="H64" s="7">
        <v>0</v>
      </c>
    </row>
    <row r="65" spans="1:8" x14ac:dyDescent="0.35">
      <c r="A65" s="2">
        <v>45078</v>
      </c>
      <c r="B65" s="20">
        <v>2.1785678360698548</v>
      </c>
      <c r="C65" s="20">
        <v>2.310990564923153</v>
      </c>
      <c r="D65" s="20">
        <v>2.152937650197341</v>
      </c>
      <c r="E65" s="20">
        <v>2.225556612014771</v>
      </c>
      <c r="F65" s="7">
        <v>1105480</v>
      </c>
      <c r="G65" s="7">
        <v>0</v>
      </c>
      <c r="H65" s="7">
        <v>0</v>
      </c>
    </row>
    <row r="66" spans="1:8" x14ac:dyDescent="0.35">
      <c r="A66" s="2">
        <v>45108</v>
      </c>
      <c r="B66" s="20">
        <v>2.225556754909201</v>
      </c>
      <c r="C66" s="20">
        <v>2.2597303382667082</v>
      </c>
      <c r="D66" s="20">
        <v>2.1785679759473169</v>
      </c>
      <c r="E66" s="20">
        <v>2.2170133590698242</v>
      </c>
      <c r="F66" s="7">
        <v>684768</v>
      </c>
      <c r="G66" s="7">
        <v>0</v>
      </c>
      <c r="H66" s="7">
        <v>0</v>
      </c>
    </row>
    <row r="67" spans="1:8" x14ac:dyDescent="0.35">
      <c r="A67" s="2">
        <v>45139</v>
      </c>
      <c r="B67" s="20">
        <v>2.2170132631761441</v>
      </c>
      <c r="C67" s="20">
        <v>2.2640020401055971</v>
      </c>
      <c r="D67" s="20">
        <v>2.0546885455584798</v>
      </c>
      <c r="E67" s="20">
        <v>2.2084698677062988</v>
      </c>
      <c r="F67" s="7">
        <v>1820423</v>
      </c>
      <c r="G67" s="7">
        <v>0</v>
      </c>
      <c r="H67" s="7">
        <v>0</v>
      </c>
    </row>
    <row r="68" spans="1:8" x14ac:dyDescent="0.35">
      <c r="A68" s="2">
        <v>45170</v>
      </c>
      <c r="B68" s="20">
        <v>2.2084699670689218</v>
      </c>
      <c r="C68" s="20">
        <v>2.2212849590049482</v>
      </c>
      <c r="D68" s="20">
        <v>1.9991564631044541</v>
      </c>
      <c r="E68" s="20">
        <v>2.0589604377746582</v>
      </c>
      <c r="F68" s="7">
        <v>1167125</v>
      </c>
      <c r="G68" s="7">
        <v>0.08</v>
      </c>
      <c r="H68" s="7">
        <v>0</v>
      </c>
    </row>
    <row r="69" spans="1:8" x14ac:dyDescent="0.35">
      <c r="A69" s="2">
        <v>45200</v>
      </c>
      <c r="B69" s="20">
        <v>2.1255126777507458</v>
      </c>
      <c r="C69" s="20">
        <v>2.1475614374994101</v>
      </c>
      <c r="D69" s="20">
        <v>1.6915905121363941</v>
      </c>
      <c r="E69" s="20">
        <v>1.748035669326782</v>
      </c>
      <c r="F69" s="7">
        <v>2829812</v>
      </c>
      <c r="G69" s="7">
        <v>0</v>
      </c>
      <c r="H69" s="7">
        <v>0</v>
      </c>
    </row>
    <row r="70" spans="1:8" x14ac:dyDescent="0.35">
      <c r="A70" s="2">
        <v>45231</v>
      </c>
      <c r="B70" s="20">
        <v>1.7480357909250701</v>
      </c>
      <c r="C70" s="20">
        <v>1.9799899918253381</v>
      </c>
      <c r="D70" s="20">
        <v>1.714521492939628</v>
      </c>
      <c r="E70" s="20">
        <v>1.878565311431885</v>
      </c>
      <c r="F70" s="7">
        <v>1878048</v>
      </c>
      <c r="G70" s="7">
        <v>0</v>
      </c>
      <c r="H70" s="7">
        <v>0</v>
      </c>
    </row>
    <row r="71" spans="1:8" x14ac:dyDescent="0.35">
      <c r="A71" s="2">
        <v>45261</v>
      </c>
      <c r="B71" s="20">
        <v>1.8829750037530699</v>
      </c>
      <c r="C71" s="20">
        <v>2.019678082447721</v>
      </c>
      <c r="D71" s="20">
        <v>1.7445080367496519</v>
      </c>
      <c r="E71" s="20">
        <v>2.010858535766602</v>
      </c>
      <c r="F71" s="7">
        <v>2575606</v>
      </c>
      <c r="G71" s="7">
        <v>0</v>
      </c>
      <c r="H71" s="7">
        <v>0</v>
      </c>
    </row>
    <row r="72" spans="1:8" x14ac:dyDescent="0.35">
      <c r="A72" s="2">
        <v>45292</v>
      </c>
      <c r="B72" s="20">
        <v>2.0108584655764652</v>
      </c>
      <c r="C72" s="20">
        <v>2.0814148365626171</v>
      </c>
      <c r="D72" s="20">
        <v>1.922663001843776</v>
      </c>
      <c r="E72" s="20">
        <v>1.9888097047805791</v>
      </c>
      <c r="F72" s="7">
        <v>1842020</v>
      </c>
      <c r="G72" s="7">
        <v>0</v>
      </c>
      <c r="H72" s="7">
        <v>0</v>
      </c>
    </row>
    <row r="73" spans="1:8" x14ac:dyDescent="0.35">
      <c r="A73" s="2">
        <v>45323</v>
      </c>
      <c r="B73" s="20">
        <v>1.975580204168542</v>
      </c>
      <c r="C73" s="20">
        <v>1.993219296237269</v>
      </c>
      <c r="D73" s="20">
        <v>1.6351453697753451</v>
      </c>
      <c r="E73" s="20">
        <v>1.744507908821106</v>
      </c>
      <c r="F73" s="7">
        <v>3586380</v>
      </c>
      <c r="G73" s="7">
        <v>0</v>
      </c>
      <c r="H73" s="7">
        <v>0</v>
      </c>
    </row>
    <row r="74" spans="1:8" x14ac:dyDescent="0.35">
      <c r="A74" s="2">
        <v>45352</v>
      </c>
      <c r="B74" s="20">
        <v>1.748035844582237</v>
      </c>
      <c r="C74" s="20">
        <v>1.7621471615789339</v>
      </c>
      <c r="D74" s="20">
        <v>1.673951588055516</v>
      </c>
      <c r="E74" s="20">
        <v>1.7074658870697019</v>
      </c>
      <c r="F74" s="7">
        <v>1775476</v>
      </c>
      <c r="G74" s="7">
        <v>0.06</v>
      </c>
      <c r="H74" s="7">
        <v>0</v>
      </c>
    </row>
    <row r="75" spans="1:8" x14ac:dyDescent="0.35">
      <c r="A75" s="2">
        <v>45383</v>
      </c>
      <c r="B75" s="20">
        <v>1.76121606833245</v>
      </c>
      <c r="C75" s="20">
        <v>1.878569887185477</v>
      </c>
      <c r="D75" s="20">
        <v>1.712091221494924</v>
      </c>
      <c r="E75" s="20">
        <v>1.8603755235671999</v>
      </c>
      <c r="F75" s="7">
        <v>1816732</v>
      </c>
      <c r="G75" s="7">
        <v>0</v>
      </c>
      <c r="H75" s="7">
        <v>0</v>
      </c>
    </row>
    <row r="76" spans="1:8" x14ac:dyDescent="0.35">
      <c r="A76" s="2">
        <v>45413</v>
      </c>
      <c r="B76" s="20">
        <v>1.8603754167123361</v>
      </c>
      <c r="C76" s="20">
        <v>1.933152867005308</v>
      </c>
      <c r="D76" s="20">
        <v>1.7029939418704829</v>
      </c>
      <c r="E76" s="20">
        <v>1.7375632524490361</v>
      </c>
      <c r="F76" s="7">
        <v>2654211</v>
      </c>
      <c r="G76" s="7">
        <v>0</v>
      </c>
      <c r="H76" s="7">
        <v>0</v>
      </c>
    </row>
    <row r="77" spans="1:8" x14ac:dyDescent="0.35">
      <c r="A77" s="2">
        <v>45444</v>
      </c>
      <c r="B77" s="20">
        <v>1.748480133960532</v>
      </c>
      <c r="C77" s="20">
        <v>1.801243812459973</v>
      </c>
      <c r="D77" s="20">
        <v>1.6629664476842749</v>
      </c>
      <c r="E77" s="20">
        <v>1.69207751750946</v>
      </c>
      <c r="F77" s="7">
        <v>1456968</v>
      </c>
      <c r="G77" s="7">
        <v>0</v>
      </c>
      <c r="H77" s="7">
        <v>0</v>
      </c>
    </row>
    <row r="78" spans="1:8" x14ac:dyDescent="0.35">
      <c r="A78" s="2">
        <v>45474</v>
      </c>
      <c r="B78" s="20">
        <v>1.684799667946745</v>
      </c>
      <c r="C78" s="20">
        <v>1.71936898034424</v>
      </c>
      <c r="D78" s="20">
        <v>1.5920083271832179</v>
      </c>
      <c r="E78" s="20">
        <v>1.7011746168136599</v>
      </c>
      <c r="F78" s="7">
        <v>1447363</v>
      </c>
      <c r="G78" s="7">
        <v>0</v>
      </c>
      <c r="H78" s="7">
        <v>0</v>
      </c>
    </row>
    <row r="79" spans="1:8" x14ac:dyDescent="0.35">
      <c r="A79" s="2">
        <v>45505</v>
      </c>
      <c r="B79" s="20">
        <v>1.7011745397335669</v>
      </c>
      <c r="C79" s="20">
        <v>1.732105021402272</v>
      </c>
      <c r="D79" s="20">
        <v>1.5701749547338339</v>
      </c>
      <c r="E79" s="20">
        <v>1.677521824836731</v>
      </c>
      <c r="F79" s="7">
        <v>1901503</v>
      </c>
      <c r="G79" s="7">
        <v>0</v>
      </c>
      <c r="H79" s="7">
        <v>0</v>
      </c>
    </row>
    <row r="80" spans="1:8" x14ac:dyDescent="0.35">
      <c r="A80" s="2">
        <v>45536</v>
      </c>
      <c r="B80" s="20">
        <v>1.677521872849066</v>
      </c>
      <c r="C80" s="20">
        <v>1.693896821442699</v>
      </c>
      <c r="D80" s="20">
        <v>1.588369471347689</v>
      </c>
      <c r="E80" s="20">
        <v>1.6647858619689939</v>
      </c>
      <c r="F80" s="7">
        <v>1574459</v>
      </c>
      <c r="G80" s="7">
        <v>0.04</v>
      </c>
      <c r="H80" s="7">
        <v>0</v>
      </c>
    </row>
    <row r="81" spans="1:8" x14ac:dyDescent="0.35">
      <c r="A81" s="2">
        <v>45566</v>
      </c>
      <c r="B81" s="20">
        <v>1.7120994481633729</v>
      </c>
      <c r="C81" s="20">
        <v>1.7977044261176871</v>
      </c>
      <c r="D81" s="20">
        <v>1.6581310153327591</v>
      </c>
      <c r="E81" s="20">
        <v>1.676740884780884</v>
      </c>
      <c r="F81" s="7">
        <v>2268840</v>
      </c>
      <c r="G81" s="7">
        <v>0</v>
      </c>
      <c r="H81" s="7">
        <v>0</v>
      </c>
    </row>
    <row r="82" spans="1:8" x14ac:dyDescent="0.35">
      <c r="A82" s="2">
        <v>45597</v>
      </c>
      <c r="B82" s="20">
        <v>1.6841848071364789</v>
      </c>
      <c r="C82" s="20">
        <v>1.7232653912765019</v>
      </c>
      <c r="D82" s="20">
        <v>1.553916378207933</v>
      </c>
      <c r="E82" s="20">
        <v>1.6488262414932251</v>
      </c>
      <c r="F82" s="7">
        <v>2891295</v>
      </c>
      <c r="G82" s="7">
        <v>0</v>
      </c>
      <c r="H82" s="7">
        <v>0</v>
      </c>
    </row>
    <row r="83" spans="1:8" x14ac:dyDescent="0.35">
      <c r="A83" s="2">
        <v>45627</v>
      </c>
      <c r="B83" s="20">
        <v>1.6488261337598811</v>
      </c>
      <c r="C83" s="20">
        <v>1.663713984928356</v>
      </c>
      <c r="D83" s="20">
        <v>1.552055323010612</v>
      </c>
      <c r="E83" s="20">
        <v>1.594857811927795</v>
      </c>
      <c r="F83" s="7">
        <v>3042717</v>
      </c>
      <c r="G83" s="7">
        <v>0</v>
      </c>
      <c r="H83" s="7">
        <v>0</v>
      </c>
    </row>
    <row r="84" spans="1:8" x14ac:dyDescent="0.35">
      <c r="A84" s="2">
        <v>45658</v>
      </c>
      <c r="B84" s="20">
        <v>1.5948577749813759</v>
      </c>
      <c r="C84" s="20">
        <v>1.691628583488856</v>
      </c>
      <c r="D84" s="20">
        <v>1.5818309887029209</v>
      </c>
      <c r="E84" s="20">
        <v>1.6283553838729861</v>
      </c>
      <c r="F84" s="7">
        <v>1520810</v>
      </c>
      <c r="G84" s="7">
        <v>0</v>
      </c>
      <c r="H84" s="7">
        <v>0</v>
      </c>
    </row>
    <row r="85" spans="1:8" x14ac:dyDescent="0.35">
      <c r="A85" s="2">
        <v>45689</v>
      </c>
      <c r="B85" s="20">
        <v>1.611606561221572</v>
      </c>
      <c r="C85" s="20">
        <v>1.860977560546484</v>
      </c>
      <c r="D85" s="20">
        <v>1.581830970833674</v>
      </c>
      <c r="E85" s="20">
        <v>1.799565315246582</v>
      </c>
      <c r="F85" s="7">
        <v>2041307</v>
      </c>
      <c r="G85" s="7">
        <v>0</v>
      </c>
      <c r="H85" s="7">
        <v>0</v>
      </c>
    </row>
    <row r="86" spans="1:8" x14ac:dyDescent="0.35">
      <c r="A86" s="2">
        <v>45717</v>
      </c>
      <c r="B86" s="20">
        <v>1.8088702429699579</v>
      </c>
      <c r="C86" s="20">
        <v>1.907502006646062</v>
      </c>
      <c r="D86" s="20">
        <v>1.7083774147195461</v>
      </c>
      <c r="E86" s="20">
        <v>1.712099432945251</v>
      </c>
      <c r="F86" s="7">
        <v>2670249</v>
      </c>
      <c r="G86" s="7">
        <v>7.0000000000000007E-2</v>
      </c>
      <c r="H86" s="7">
        <v>0</v>
      </c>
    </row>
    <row r="87" spans="1:8" x14ac:dyDescent="0.35">
      <c r="A87" s="2">
        <v>45748</v>
      </c>
      <c r="B87" s="20">
        <v>1.7926783497045029</v>
      </c>
      <c r="C87" s="20">
        <v>1.848579041675128</v>
      </c>
      <c r="D87" s="20">
        <v>1.5228128213346841</v>
      </c>
      <c r="E87" s="20">
        <v>1.8080992698669429</v>
      </c>
      <c r="F87" s="7">
        <v>2497073</v>
      </c>
      <c r="G87" s="7">
        <v>0</v>
      </c>
      <c r="H87" s="7">
        <v>0</v>
      </c>
    </row>
    <row r="88" spans="1:8" x14ac:dyDescent="0.35">
      <c r="A88" s="2">
        <v>45778</v>
      </c>
      <c r="B88" s="20">
        <v>1.808099222432306</v>
      </c>
      <c r="C88" s="20">
        <v>1.873637959061434</v>
      </c>
      <c r="D88" s="20">
        <v>1.7444879571546981</v>
      </c>
      <c r="E88" s="20">
        <v>1.8447238206863401</v>
      </c>
      <c r="F88" s="7">
        <v>1621375</v>
      </c>
      <c r="G88" s="7">
        <v>0</v>
      </c>
      <c r="H88" s="7">
        <v>0</v>
      </c>
    </row>
    <row r="89" spans="1:8" x14ac:dyDescent="0.35">
      <c r="A89" s="2">
        <v>45809</v>
      </c>
      <c r="B89" s="20">
        <v>1.844723869081806</v>
      </c>
      <c r="C89" s="20">
        <v>1.863999961837568</v>
      </c>
      <c r="D89" s="20">
        <v>1.7521984630017431</v>
      </c>
      <c r="E89" s="20">
        <v>1.8080992698669429</v>
      </c>
      <c r="F89" s="7">
        <v>1423416</v>
      </c>
      <c r="G89" s="7">
        <v>0</v>
      </c>
      <c r="H89" s="7">
        <v>0</v>
      </c>
    </row>
    <row r="90" spans="1:8" x14ac:dyDescent="0.35">
      <c r="A90" s="2">
        <v>45839</v>
      </c>
      <c r="B90" s="20">
        <v>1.808099301118286</v>
      </c>
      <c r="C90" s="20">
        <v>1.917973100661944</v>
      </c>
      <c r="D90" s="20">
        <v>1.7676194137158681</v>
      </c>
      <c r="E90" s="20">
        <v>1.858217120170593</v>
      </c>
      <c r="F90" s="7">
        <v>2042049</v>
      </c>
      <c r="G90" s="7">
        <v>0</v>
      </c>
      <c r="H90" s="7">
        <v>0</v>
      </c>
    </row>
    <row r="91" spans="1:8" x14ac:dyDescent="0.35">
      <c r="A91" s="2">
        <v>45870</v>
      </c>
      <c r="B91" s="20">
        <v>1.8582170770670119</v>
      </c>
      <c r="C91" s="20">
        <v>1.9179730561722499</v>
      </c>
      <c r="D91" s="20">
        <v>1.761836498963439</v>
      </c>
      <c r="E91" s="20">
        <v>1.8235200643539431</v>
      </c>
      <c r="F91" s="7">
        <v>2129914</v>
      </c>
      <c r="G91" s="7">
        <v>0</v>
      </c>
      <c r="H91" s="7">
        <v>0</v>
      </c>
    </row>
    <row r="92" spans="1:8" x14ac:dyDescent="0.35">
      <c r="A92" s="2">
        <v>45901</v>
      </c>
      <c r="B92" s="20">
        <v>1.8254477609199951</v>
      </c>
      <c r="C92" s="20">
        <v>1.8794208661384479</v>
      </c>
      <c r="D92" s="20">
        <v>1.7117186767473369</v>
      </c>
      <c r="E92" s="20">
        <v>1.7753298282623291</v>
      </c>
      <c r="F92" s="7">
        <v>2211217</v>
      </c>
      <c r="G92" s="7">
        <v>7.0000000000000007E-2</v>
      </c>
      <c r="H92" s="7">
        <v>0</v>
      </c>
    </row>
    <row r="93" spans="1:8" x14ac:dyDescent="0.35">
      <c r="A93" s="2">
        <v>45931</v>
      </c>
      <c r="B93" s="20">
        <v>1.842000007629395</v>
      </c>
      <c r="C93" s="20">
        <v>1.8500000238418579</v>
      </c>
      <c r="D93" s="20">
        <v>1.76800000667572</v>
      </c>
      <c r="E93" s="20">
        <v>1.825999975204468</v>
      </c>
      <c r="F93" s="7">
        <v>2294449</v>
      </c>
      <c r="G93" s="7">
        <v>0</v>
      </c>
      <c r="H93" s="7">
        <v>0</v>
      </c>
    </row>
    <row r="94" spans="1:8" x14ac:dyDescent="0.35">
      <c r="A94" s="2">
        <v>45962</v>
      </c>
      <c r="B94" s="20">
        <v>1.827999949455261</v>
      </c>
      <c r="C94" s="20">
        <v>1.9259999990463259</v>
      </c>
      <c r="D94" s="20">
        <v>1.76800000667572</v>
      </c>
      <c r="E94" s="20">
        <v>1.861999988555908</v>
      </c>
      <c r="F94" s="7">
        <v>2615424</v>
      </c>
      <c r="G94" s="7">
        <v>0</v>
      </c>
      <c r="H94" s="7">
        <v>0</v>
      </c>
    </row>
    <row r="95" spans="1:8" x14ac:dyDescent="0.35">
      <c r="A95" s="2">
        <v>45992</v>
      </c>
      <c r="B95" s="20">
        <v>1.861999988555908</v>
      </c>
      <c r="C95" s="20">
        <v>1.947999954223633</v>
      </c>
      <c r="D95" s="20">
        <v>1.817999958992004</v>
      </c>
      <c r="E95" s="20">
        <v>1.924000024795532</v>
      </c>
      <c r="F95" s="7">
        <v>2513483</v>
      </c>
      <c r="G95" s="7">
        <v>0</v>
      </c>
      <c r="H95" s="7">
        <v>0</v>
      </c>
    </row>
    <row r="96" spans="1:8" x14ac:dyDescent="0.35">
      <c r="A96" s="2">
        <v>46023</v>
      </c>
      <c r="B96" s="20">
        <v>1.9259999990463259</v>
      </c>
      <c r="C96" s="20">
        <v>1.9960000514984131</v>
      </c>
      <c r="D96" s="20">
        <v>1.8999999761581421</v>
      </c>
      <c r="E96" s="20">
        <v>1.906000018119812</v>
      </c>
      <c r="F96" s="7">
        <v>2593377</v>
      </c>
      <c r="G96" s="7">
        <v>0</v>
      </c>
      <c r="H96" s="7">
        <v>0</v>
      </c>
    </row>
    <row r="97" spans="1:8" x14ac:dyDescent="0.35">
      <c r="A97" s="2">
        <v>46054</v>
      </c>
      <c r="B97" s="20">
        <v>1.907999992370605</v>
      </c>
      <c r="C97" s="20">
        <v>1.9340000152587891</v>
      </c>
      <c r="D97" s="20">
        <v>1.889999985694885</v>
      </c>
      <c r="E97" s="20">
        <v>1.9140000343322749</v>
      </c>
      <c r="F97" s="7">
        <v>215880</v>
      </c>
      <c r="G97" s="7">
        <v>0</v>
      </c>
      <c r="H97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DCF</vt:lpstr>
      <vt:lpstr>Overview</vt:lpstr>
      <vt:lpstr>Capital structure</vt:lpstr>
      <vt:lpstr>Monte Carlo</vt:lpstr>
      <vt:lpstr>Tuloslaskelma</vt:lpstr>
      <vt:lpstr>Tase</vt:lpstr>
      <vt:lpstr>Rahavirtalaskelma</vt:lpstr>
      <vt:lpstr>Hinta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Otto Markkola</cp:lastModifiedBy>
  <dcterms:created xsi:type="dcterms:W3CDTF">2026-02-03T19:31:14Z</dcterms:created>
  <dcterms:modified xsi:type="dcterms:W3CDTF">2026-02-18T21:02:57Z</dcterms:modified>
</cp:coreProperties>
</file>